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krod\Documents\GitHub\RogueAnalysis\csv_input_deck\"/>
    </mc:Choice>
  </mc:AlternateContent>
  <xr:revisionPtr revIDLastSave="0" documentId="13_ncr:1_{C8E695E5-F351-4035-99C2-7B2AC44ECC79}" xr6:coauthVersionLast="47" xr6:coauthVersionMax="47" xr10:uidLastSave="{00000000-0000-0000-0000-000000000000}"/>
  <bookViews>
    <workbookView xWindow="-93" yWindow="-93" windowWidth="19386" windowHeight="12266" activeTab="1" xr2:uid="{00000000-000D-0000-FFFF-FFFF00000000}"/>
  </bookViews>
  <sheets>
    <sheet name="SWOR_PA_PVT" sheetId="2" r:id="rId1"/>
    <sheet name="SWOR_PA_PVT_SDI" sheetId="9" r:id="rId2"/>
    <sheet name="PivotTableSeries" sheetId="12" r:id="rId3"/>
    <sheet name="Sheet1" sheetId="13" r:id="rId4"/>
    <sheet name="References_CSE" sheetId="4" r:id="rId5"/>
    <sheet name="MaxSDIAnalysis" sheetId="11" r:id="rId6"/>
    <sheet name="MaxSDISource" sheetId="10" r:id="rId7"/>
    <sheet name="References Data" sheetId="1" r:id="rId8"/>
    <sheet name="Ashland_CSE" sheetId="3" r:id="rId9"/>
    <sheet name="RA_LFBpS_SWO_PAG_PA" sheetId="6" r:id="rId10"/>
    <sheet name="BpS SWOR" sheetId="8" r:id="rId11"/>
    <sheet name="BpS2013" sheetId="5" r:id="rId12"/>
    <sheet name="Deleted - SWOR_PA_PVT_SDI" sheetId="14" r:id="rId13"/>
  </sheets>
  <definedNames>
    <definedName name="_xlnm._FilterDatabase" localSheetId="12" hidden="1">'Deleted - SWOR_PA_PVT_SDI'!$A$1:$G$247</definedName>
    <definedName name="_xlnm._FilterDatabase" localSheetId="5" hidden="1">MaxSDIAnalysis!$A$1:$I$31</definedName>
    <definedName name="_xlnm._FilterDatabase" localSheetId="6" hidden="1">MaxSDISource!$A$1:$L$29</definedName>
    <definedName name="_xlnm._FilterDatabase" localSheetId="0" hidden="1">SWOR_PA_PVT!$A$1:$I$1</definedName>
    <definedName name="_xlnm._FilterDatabase" localSheetId="1" hidden="1">SWOR_PA_PVT_SDI!$A$1:$G$143</definedName>
  </definedNames>
  <calcPr calcId="191028"/>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7" i="14" l="1"/>
  <c r="E8" i="10"/>
  <c r="E9" i="10"/>
  <c r="E10" i="10"/>
  <c r="E11" i="10"/>
  <c r="E12" i="10"/>
  <c r="E13" i="10"/>
  <c r="E14" i="10"/>
  <c r="E15" i="10"/>
  <c r="E16" i="10"/>
  <c r="E17" i="10"/>
  <c r="E18" i="10"/>
  <c r="E19" i="10"/>
  <c r="E20" i="10"/>
  <c r="E21" i="10"/>
  <c r="E22" i="10"/>
  <c r="E23" i="10"/>
  <c r="E24" i="10"/>
  <c r="E25" i="10"/>
  <c r="E26" i="10"/>
  <c r="E27" i="10"/>
  <c r="E28" i="10"/>
  <c r="E5" i="10"/>
  <c r="E6" i="10"/>
  <c r="E4" i="10"/>
  <c r="E2" i="10"/>
  <c r="E7" i="10"/>
  <c r="E3" i="10"/>
  <c r="B66" i="9"/>
  <c r="B38" i="9"/>
  <c r="B37" i="9"/>
  <c r="B36" i="9"/>
  <c r="B35" i="9"/>
  <c r="B34" i="9"/>
  <c r="B33" i="9"/>
  <c r="B32" i="9"/>
  <c r="B89" i="9"/>
  <c r="B88" i="9"/>
  <c r="B99" i="9"/>
  <c r="B98" i="9"/>
  <c r="B67" i="9"/>
  <c r="B78" i="9"/>
  <c r="B87" i="9"/>
  <c r="B77" i="9"/>
  <c r="B76" i="9"/>
  <c r="B43" i="9"/>
  <c r="B97" i="9"/>
  <c r="B96" i="9"/>
  <c r="B86" i="9"/>
  <c r="B85" i="9"/>
  <c r="B95" i="9"/>
  <c r="B84" i="9"/>
  <c r="B83" i="9"/>
  <c r="B82" i="9"/>
  <c r="B81" i="9"/>
  <c r="B80" i="9"/>
  <c r="B79" i="9"/>
  <c r="B40" i="9"/>
  <c r="B39" i="9"/>
  <c r="B14" i="9"/>
  <c r="B13" i="9"/>
  <c r="B12" i="9"/>
  <c r="B11" i="9"/>
  <c r="B10" i="9"/>
  <c r="B27" i="9"/>
  <c r="B9" i="9"/>
  <c r="B8" i="9"/>
  <c r="B18" i="9"/>
  <c r="B122" i="9"/>
  <c r="B121" i="9"/>
  <c r="B17" i="9"/>
  <c r="B74" i="9"/>
  <c r="B73" i="9"/>
  <c r="B7" i="9"/>
  <c r="B6" i="9"/>
  <c r="B16" i="9"/>
  <c r="B15" i="9"/>
  <c r="B5" i="9"/>
  <c r="B4" i="9"/>
  <c r="B3" i="9"/>
  <c r="B2" i="9"/>
  <c r="B45" i="9"/>
  <c r="B44" i="9"/>
  <c r="B26" i="9"/>
  <c r="B72" i="9"/>
  <c r="B71" i="9"/>
  <c r="B25" i="9"/>
  <c r="B24" i="9"/>
  <c r="B23" i="9"/>
  <c r="B22" i="9"/>
  <c r="B21" i="9"/>
  <c r="B20" i="9"/>
  <c r="B19" i="9"/>
  <c r="B30" i="9"/>
  <c r="B29" i="9"/>
  <c r="B28" i="9"/>
  <c r="B65" i="9"/>
  <c r="B64" i="9"/>
  <c r="B58" i="9"/>
  <c r="B57" i="9"/>
  <c r="B56" i="9"/>
  <c r="B63" i="9"/>
  <c r="B62" i="9"/>
  <c r="B55" i="9"/>
  <c r="B70" i="9"/>
  <c r="B54" i="9"/>
  <c r="B53" i="9"/>
  <c r="B52" i="9"/>
  <c r="B61" i="9"/>
  <c r="B51" i="9"/>
  <c r="B60" i="9"/>
  <c r="B50" i="9"/>
  <c r="B94" i="9"/>
  <c r="B93" i="9"/>
  <c r="B59" i="9"/>
  <c r="B92" i="9"/>
  <c r="B91" i="9"/>
  <c r="B90" i="9"/>
  <c r="B69" i="9"/>
  <c r="B68" i="9"/>
  <c r="B31" i="9"/>
  <c r="B49" i="9"/>
  <c r="B48" i="9"/>
  <c r="B113" i="9"/>
  <c r="B112" i="9"/>
  <c r="B111" i="9"/>
  <c r="B47" i="9"/>
  <c r="B46" i="9"/>
  <c r="B110" i="9"/>
  <c r="B75" i="9"/>
  <c r="B120" i="9"/>
  <c r="B109" i="9"/>
  <c r="B108" i="9"/>
  <c r="B119" i="9"/>
  <c r="B107" i="9"/>
  <c r="B106" i="9"/>
  <c r="B105" i="9"/>
  <c r="B104" i="9"/>
  <c r="B118" i="9"/>
  <c r="B103" i="9"/>
  <c r="B102" i="9"/>
  <c r="B101" i="9"/>
  <c r="B123" i="9"/>
  <c r="B117" i="9"/>
  <c r="B116" i="9"/>
  <c r="B115" i="9"/>
  <c r="B114" i="9"/>
  <c r="B100" i="9"/>
  <c r="B42" i="9"/>
  <c r="B41" i="9"/>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4"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2" i="14"/>
  <c r="B3" i="14"/>
  <c r="B122" i="14"/>
  <c r="B123" i="14"/>
  <c r="B124" i="14"/>
  <c r="B125" i="14"/>
  <c r="B126" i="14"/>
  <c r="I87" i="2"/>
  <c r="I91" i="2"/>
  <c r="I223" i="2"/>
  <c r="I84" i="2"/>
  <c r="I206" i="2"/>
  <c r="I119" i="2"/>
  <c r="I155" i="2"/>
  <c r="I15" i="2"/>
  <c r="I27" i="2"/>
  <c r="I154" i="2"/>
  <c r="I167" i="2"/>
  <c r="I240" i="2"/>
  <c r="I88" i="2"/>
  <c r="I94" i="2"/>
  <c r="I224" i="2"/>
  <c r="I183" i="2"/>
  <c r="I207" i="2"/>
  <c r="I120" i="2"/>
  <c r="I156" i="2"/>
  <c r="I16" i="2"/>
  <c r="I28" i="2"/>
  <c r="I40" i="2"/>
  <c r="I52" i="2"/>
  <c r="I164" i="2"/>
  <c r="I65" i="2"/>
  <c r="I168" i="2"/>
  <c r="I180" i="2"/>
  <c r="I203" i="2"/>
  <c r="I229" i="2"/>
  <c r="I241" i="2"/>
  <c r="I132" i="2"/>
  <c r="I6" i="2"/>
  <c r="I90" i="2"/>
  <c r="I96" i="2"/>
  <c r="I74" i="2"/>
  <c r="I184" i="2"/>
  <c r="I208" i="2"/>
  <c r="I121" i="2"/>
  <c r="I157" i="2"/>
  <c r="I17" i="2"/>
  <c r="I29" i="2"/>
  <c r="I41" i="2"/>
  <c r="I53" i="2"/>
  <c r="I165" i="2"/>
  <c r="I66" i="2"/>
  <c r="I169" i="2"/>
  <c r="I181" i="2"/>
  <c r="I204" i="2"/>
  <c r="I230" i="2"/>
  <c r="I242" i="2"/>
  <c r="I108" i="2"/>
  <c r="I7" i="2"/>
  <c r="I139" i="2"/>
  <c r="I123" i="2"/>
  <c r="I22" i="2"/>
  <c r="I216" i="2"/>
  <c r="I92" i="2"/>
  <c r="I97" i="2"/>
  <c r="I75" i="2"/>
  <c r="I189" i="2"/>
  <c r="I209" i="2"/>
  <c r="I125" i="2"/>
  <c r="I158" i="2"/>
  <c r="I18" i="2"/>
  <c r="I30" i="2"/>
  <c r="I42" i="2"/>
  <c r="I54" i="2"/>
  <c r="I55" i="2"/>
  <c r="I67" i="2"/>
  <c r="I170" i="2"/>
  <c r="I182" i="2"/>
  <c r="I205" i="2"/>
  <c r="I231" i="2"/>
  <c r="I243" i="2"/>
  <c r="I109" i="2"/>
  <c r="I8" i="2"/>
  <c r="I232" i="2"/>
  <c r="I110" i="2"/>
  <c r="I218" i="2"/>
  <c r="I33" i="2"/>
  <c r="I173" i="2"/>
  <c r="I234" i="2"/>
  <c r="I112" i="2"/>
  <c r="I162" i="2"/>
  <c r="I235" i="2"/>
  <c r="I93" i="2"/>
  <c r="I99" i="2"/>
  <c r="I76" i="2"/>
  <c r="I190" i="2"/>
  <c r="I210" i="2"/>
  <c r="I133" i="2"/>
  <c r="I159" i="2"/>
  <c r="I19" i="2"/>
  <c r="I31" i="2"/>
  <c r="I43" i="2"/>
  <c r="I126" i="2"/>
  <c r="I56" i="2"/>
  <c r="I68" i="2"/>
  <c r="I171" i="2"/>
  <c r="I185" i="2"/>
  <c r="I213" i="2"/>
  <c r="I244" i="2"/>
  <c r="I9" i="2"/>
  <c r="I135" i="2"/>
  <c r="I187" i="2"/>
  <c r="I140" i="2"/>
  <c r="I113" i="2"/>
  <c r="I95" i="2"/>
  <c r="I100" i="2"/>
  <c r="I77" i="2"/>
  <c r="I191" i="2"/>
  <c r="I211" i="2"/>
  <c r="I134" i="2"/>
  <c r="I160" i="2"/>
  <c r="I20" i="2"/>
  <c r="I32" i="2"/>
  <c r="I44" i="2"/>
  <c r="I137" i="2"/>
  <c r="I57" i="2"/>
  <c r="I69" i="2"/>
  <c r="I172" i="2"/>
  <c r="I186" i="2"/>
  <c r="I214" i="2"/>
  <c r="I233" i="2"/>
  <c r="I245" i="2"/>
  <c r="I111" i="2"/>
  <c r="I212" i="2"/>
  <c r="I105" i="2"/>
  <c r="I78" i="2"/>
  <c r="I192" i="2"/>
  <c r="I161" i="2"/>
  <c r="I21" i="2"/>
  <c r="I45" i="2"/>
  <c r="I70" i="2"/>
  <c r="I215" i="2"/>
  <c r="I163" i="2"/>
  <c r="I46" i="2"/>
  <c r="I188" i="2"/>
  <c r="I98" i="2"/>
  <c r="I58" i="2"/>
  <c r="I59" i="2"/>
  <c r="I85" i="2"/>
  <c r="I101" i="2"/>
  <c r="I106" i="2"/>
  <c r="I79" i="2"/>
  <c r="I193" i="2"/>
  <c r="I219" i="2"/>
  <c r="I138" i="2"/>
  <c r="I34" i="2"/>
  <c r="I71" i="2"/>
  <c r="I174" i="2"/>
  <c r="I124" i="2"/>
  <c r="I131" i="2"/>
  <c r="I102" i="2"/>
  <c r="I107" i="2"/>
  <c r="I80" i="2"/>
  <c r="I194" i="2"/>
  <c r="I115" i="2"/>
  <c r="I141" i="2"/>
  <c r="I11" i="2"/>
  <c r="I23" i="2"/>
  <c r="I35" i="2"/>
  <c r="I47" i="2"/>
  <c r="I145" i="2"/>
  <c r="I60" i="2"/>
  <c r="I72" i="2"/>
  <c r="I175" i="2"/>
  <c r="I196" i="2"/>
  <c r="I217" i="2"/>
  <c r="I236" i="2"/>
  <c r="I127" i="2"/>
  <c r="I114" i="2"/>
  <c r="I3" i="2"/>
  <c r="I89" i="2"/>
  <c r="I83" i="2"/>
  <c r="I198" i="2"/>
  <c r="I153" i="2"/>
  <c r="I38" i="2"/>
  <c r="I63" i="2"/>
  <c r="I201" i="2"/>
  <c r="I239" i="2"/>
  <c r="I39" i="2"/>
  <c r="I202" i="2"/>
  <c r="I103" i="2"/>
  <c r="I220" i="2"/>
  <c r="I81" i="2"/>
  <c r="I195" i="2"/>
  <c r="I116" i="2"/>
  <c r="I146" i="2"/>
  <c r="I12" i="2"/>
  <c r="I24" i="2"/>
  <c r="I36" i="2"/>
  <c r="I48" i="2"/>
  <c r="I147" i="2"/>
  <c r="I61" i="2"/>
  <c r="I73" i="2"/>
  <c r="I176" i="2"/>
  <c r="I199" i="2"/>
  <c r="I225" i="2"/>
  <c r="I237" i="2"/>
  <c r="I128" i="2"/>
  <c r="I2" i="2"/>
  <c r="I200" i="2"/>
  <c r="I129" i="2"/>
  <c r="I222" i="2"/>
  <c r="I118" i="2"/>
  <c r="I26" i="2"/>
  <c r="I152" i="2"/>
  <c r="I178" i="2"/>
  <c r="I130" i="2"/>
  <c r="I51" i="2"/>
  <c r="I179" i="2"/>
  <c r="I5" i="2"/>
  <c r="I104" i="2"/>
  <c r="I221" i="2"/>
  <c r="I82" i="2"/>
  <c r="I197" i="2"/>
  <c r="I117" i="2"/>
  <c r="I151" i="2"/>
  <c r="I13" i="2"/>
  <c r="I25" i="2"/>
  <c r="I37" i="2"/>
  <c r="I49" i="2"/>
  <c r="I149" i="2"/>
  <c r="I62" i="2"/>
  <c r="I122" i="2"/>
  <c r="I177" i="2"/>
  <c r="I226" i="2"/>
  <c r="I238" i="2"/>
  <c r="I86" i="2"/>
  <c r="I14" i="2"/>
  <c r="I50" i="2"/>
  <c r="I166" i="2"/>
  <c r="I227" i="2"/>
  <c r="I4" i="2"/>
  <c r="I64" i="2"/>
  <c r="I2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Kerry Metlen</author>
  </authors>
  <commentList>
    <comment ref="G8" authorId="0" shapeId="0" xr:uid="{C6328A21-8DE0-4416-BDAF-B244AEEE53AD}">
      <text>
        <r>
          <rPr>
            <sz val="11"/>
            <color theme="1"/>
            <rFont val="Calibri"/>
            <family val="2"/>
            <scheme val="minor"/>
          </rPr>
          <t>Kerry Metlen:
Tanoak value</t>
        </r>
      </text>
    </comment>
  </commentList>
</comments>
</file>

<file path=xl/sharedStrings.xml><?xml version="1.0" encoding="utf-8"?>
<sst xmlns="http://schemas.openxmlformats.org/spreadsheetml/2006/main" count="7427" uniqueCount="1560">
  <si>
    <t>Count</t>
  </si>
  <si>
    <t>Plant Association</t>
  </si>
  <si>
    <t>Potential Vegetation Type</t>
  </si>
  <si>
    <t>Potential Natural Vegetation</t>
  </si>
  <si>
    <t>Existing Vegetation Type</t>
  </si>
  <si>
    <t>Biophysical Setting (BpS)</t>
  </si>
  <si>
    <t>BpS Name</t>
  </si>
  <si>
    <t>Latin plant association</t>
  </si>
  <si>
    <t>English plant association</t>
  </si>
  <si>
    <t>LIDE3/ARCTO3/XETE</t>
  </si>
  <si>
    <t>Tan oak - Douglas-fir - Dry</t>
  </si>
  <si>
    <t>Mediterranean California Mixed-Evergreen Forest -- Interior</t>
  </si>
  <si>
    <t>LIDE3/BENE</t>
  </si>
  <si>
    <t>LIDE3/RHCA</t>
  </si>
  <si>
    <t>LIDE3/RHDI-LOHI</t>
  </si>
  <si>
    <t>LIDE3-ABCO/BENE2</t>
  </si>
  <si>
    <t>LIDE3-CACH6/GASH-QUSA2</t>
  </si>
  <si>
    <t>LIDE3-CACH6-PILA</t>
  </si>
  <si>
    <t>LIDE3-CHLA/GASH</t>
  </si>
  <si>
    <t>LIDE3-PSME/GASH-BENE2</t>
  </si>
  <si>
    <t>LIDE3-PSME/QUSA2-BENE2</t>
  </si>
  <si>
    <t>LIDE3-PSME-QUCH2/BENE2</t>
  </si>
  <si>
    <t>LIDE3-PSME-QUCH2/RHDI6</t>
  </si>
  <si>
    <t>LIDE3-QUCH/BENE</t>
  </si>
  <si>
    <t>LIDE3/VAOV2-RHMA3-GASH</t>
  </si>
  <si>
    <t>Tan oak - Douglas-fir - Moist</t>
  </si>
  <si>
    <t>Mediterranean California Mixed Evergreen Forest -- Coastal</t>
  </si>
  <si>
    <t>LIDE3-ACMA3-QUCH2/POMU</t>
  </si>
  <si>
    <t>LIDE3-CHLA/BENE2-LIBOL</t>
  </si>
  <si>
    <t>LIDE3-CHLA/VAOV2</t>
  </si>
  <si>
    <t>LIDE3-PIMO3/QUVA/XETE</t>
  </si>
  <si>
    <t>Ultramafic, cold</t>
  </si>
  <si>
    <t>LIDE3-PSME/GASH-RHMA3</t>
  </si>
  <si>
    <t>LIDE3-PSME/GASH-VAOV2</t>
  </si>
  <si>
    <t>LIDE3-TSHE/VAOV2/POMU</t>
  </si>
  <si>
    <t>LIDE3-TSHE/VAOV2/POMU-RIP</t>
  </si>
  <si>
    <t>LIDE3-TSHE/VAOV2-RHDI6</t>
  </si>
  <si>
    <t>TSHE-LIDE3/RHMA3</t>
  </si>
  <si>
    <t>TSHE-LIDE3/RHMA3/POMU</t>
  </si>
  <si>
    <t>TSHE-LIDE3/RHMA3-VAOV2</t>
  </si>
  <si>
    <t>TSHE-LIDE3/VAOV2-RHMA3</t>
  </si>
  <si>
    <t>Western hemlock - Moist</t>
  </si>
  <si>
    <t>TSHE-LIDE3-UMCA</t>
  </si>
  <si>
    <t>CHLA/LOHI2/FESTU</t>
  </si>
  <si>
    <t>North Pacific Maritime Mesic-Wet Douglas-fir-Western Hemlock Forest</t>
  </si>
  <si>
    <t>CHLA/QUVA/XETE</t>
  </si>
  <si>
    <t>CHLA/RHMA3-GASH</t>
  </si>
  <si>
    <t>CHLA/RHOC</t>
  </si>
  <si>
    <t>CHLA/VAOV2</t>
  </si>
  <si>
    <t>CHLA/VAOV2/POMUM</t>
  </si>
  <si>
    <t>CHLA-ABCO/BENE2</t>
  </si>
  <si>
    <t>CHLA-LIDE3/GASH</t>
  </si>
  <si>
    <t>CHLA-PIMO3/QUVA</t>
  </si>
  <si>
    <t>CHLA-TSHE/LEDA</t>
  </si>
  <si>
    <t>CHLA-TSHE/POMU</t>
  </si>
  <si>
    <t>TSHE/MANE2/OXOR-NWO Coast</t>
  </si>
  <si>
    <t>TSHE/MANE2/POMU-NWO Coast</t>
  </si>
  <si>
    <t>TSHE/OXOR-ACTR-NWO Coast</t>
  </si>
  <si>
    <t>TSHE/OXOR-COAST</t>
  </si>
  <si>
    <t>TSHE/OXOR-NWO Coast</t>
  </si>
  <si>
    <t>TSHE/POMU-COAST</t>
  </si>
  <si>
    <t>TSHE/POMU-NWO Coast</t>
  </si>
  <si>
    <t>TSHE/POMU-SWO</t>
  </si>
  <si>
    <t>TSHE/POMU-WILL</t>
  </si>
  <si>
    <t>TSHE/RHMA3/POMU</t>
  </si>
  <si>
    <t>TSHE/RHMA3/POMU-NWO Coast</t>
  </si>
  <si>
    <t>TSHE/RUSP</t>
  </si>
  <si>
    <t>TSHE/RUSP-ACCI</t>
  </si>
  <si>
    <t>TSHE/RUSP-COAST</t>
  </si>
  <si>
    <t>TSHE/RUSP-GASH</t>
  </si>
  <si>
    <t>TSHE/VAOV2</t>
  </si>
  <si>
    <t>TSHE/VAOV2/POMU</t>
  </si>
  <si>
    <t>TSHE-CHLA</t>
  </si>
  <si>
    <t>Douglas-fir - Moist</t>
  </si>
  <si>
    <t>TSHE-CHLA/RHMA3-BENE2</t>
  </si>
  <si>
    <t>PIJE/CECU/FEID</t>
  </si>
  <si>
    <t>Jeffrey pine</t>
  </si>
  <si>
    <t>Klamath-Siskiyou Lower Montane Serpentine Mixed Conifer Woodland</t>
  </si>
  <si>
    <t>PIJE/FEID</t>
  </si>
  <si>
    <t>PIJE/QUVA-ARNE</t>
  </si>
  <si>
    <t>PIJE/QUVA-ARNE-GABU2</t>
  </si>
  <si>
    <t>PIJE-CADE27/ARVI4</t>
  </si>
  <si>
    <t>PIJE-CADE27/QUVA</t>
  </si>
  <si>
    <t>PIJE-CADE27-PSME</t>
  </si>
  <si>
    <t>PIMO3-PIJE/QUVA/XETE</t>
  </si>
  <si>
    <t>PSME/ACCI-BENE2</t>
  </si>
  <si>
    <t>Douglas-fir - Dry</t>
  </si>
  <si>
    <t>Mediterranean California Dry-Mesic Mixed Conifer Forest and Woodland</t>
  </si>
  <si>
    <t>PSME/ARNE-SWO</t>
  </si>
  <si>
    <t>PSME/BENE2/POMU</t>
  </si>
  <si>
    <t>PSME/BERE</t>
  </si>
  <si>
    <t>Douglas-fir/Creeping Oregon grape</t>
  </si>
  <si>
    <t>PSME/DRY SHRUB</t>
  </si>
  <si>
    <t>PSME/HODI/WHMO-SWO</t>
  </si>
  <si>
    <t>PSME/HODI-MANE2</t>
  </si>
  <si>
    <t>Douglas-fir/oceanspray/dwarf Oregon grape</t>
  </si>
  <si>
    <t>PSME/HODI-SYMPH</t>
  </si>
  <si>
    <t>Douglas-fir/oceanspray-snowberry</t>
  </si>
  <si>
    <t>PSME/MANE2</t>
  </si>
  <si>
    <t>Douglas-fir/dwarf Oregon grape</t>
  </si>
  <si>
    <t>PSME/QUVA</t>
  </si>
  <si>
    <t>PSME/QUVA-RHMA3</t>
  </si>
  <si>
    <t>Douglas-fir/huckleberry oak-rhodedendron</t>
  </si>
  <si>
    <t>PSME/TODI</t>
  </si>
  <si>
    <t>Douglas-fir/poison oak</t>
  </si>
  <si>
    <t>PSME-ABCO</t>
  </si>
  <si>
    <t>White fir - Intermediate</t>
  </si>
  <si>
    <t>PSME-ABCO/SYMO</t>
  </si>
  <si>
    <t>PSME-CADE27</t>
  </si>
  <si>
    <t>PSME-CADE27/BEPI2</t>
  </si>
  <si>
    <t>PSME-CADE27-PIJE</t>
  </si>
  <si>
    <t>PSME-PIPO/RHDI6</t>
  </si>
  <si>
    <t>PSME-QUCH2/BENE2</t>
  </si>
  <si>
    <t>PSME-QUCH2/RHDI6</t>
  </si>
  <si>
    <t>PSME-QUCH2-LIDE3</t>
  </si>
  <si>
    <t>PSME-QUKE/RHDI6</t>
  </si>
  <si>
    <t>ABCO, ABGR</t>
  </si>
  <si>
    <t>White fir - Cool</t>
  </si>
  <si>
    <t>Mediterranean California Mesic Mixed Conifer Forest and Woodland</t>
  </si>
  <si>
    <t>White fir</t>
  </si>
  <si>
    <t>ABCO/ACCI/OXOR</t>
  </si>
  <si>
    <t>ABCO/ARNE</t>
  </si>
  <si>
    <t>ABCO/BENE2</t>
  </si>
  <si>
    <t>ABCO/BENE2/ACTR</t>
  </si>
  <si>
    <t>ABCO/BENE2/LIBOL</t>
  </si>
  <si>
    <t>ABCO/CACH-CEVE/CAIN9</t>
  </si>
  <si>
    <t>ABCO/CEVE-CACH</t>
  </si>
  <si>
    <t>ABCO/CEVE-CEPR/FRVI</t>
  </si>
  <si>
    <t>ABCO/GASH-BENE2</t>
  </si>
  <si>
    <t>White fir - Warm moist</t>
  </si>
  <si>
    <t>ABCO/QUVA</t>
  </si>
  <si>
    <t>ABCO/RHMA3-BENE2</t>
  </si>
  <si>
    <t>ABCO/RHMA3-QUSA2</t>
  </si>
  <si>
    <t>ABCO/SYMO</t>
  </si>
  <si>
    <t>ABCO/XETE</t>
  </si>
  <si>
    <t>ABCO-ABGR/ASCA3</t>
  </si>
  <si>
    <t>ABCO-ABGR/CHUM</t>
  </si>
  <si>
    <t>ABCO-ABGR/LIBO2</t>
  </si>
  <si>
    <t>ABCO-ABMAS/ACTR</t>
  </si>
  <si>
    <t>ABCO-ABMAS/CHUM-ANDE3</t>
  </si>
  <si>
    <t>ABCO-ABMAS/QUSA2</t>
  </si>
  <si>
    <t>ABCO-ARPA6-ARNE2/CAIN9</t>
  </si>
  <si>
    <t>ABCO-CACH6/PAMY/CHUM</t>
  </si>
  <si>
    <t>ABCO-CADE27/TRLA6</t>
  </si>
  <si>
    <t>ABCO-CADE3/BENE</t>
  </si>
  <si>
    <t>ABCO-LIDE3/CHUM</t>
  </si>
  <si>
    <t>ABCO-PIBR/CHUM-PYPI2</t>
  </si>
  <si>
    <t>ABCO-PIPO/ARPA6</t>
  </si>
  <si>
    <t>Ponderosa pine - Dry</t>
  </si>
  <si>
    <t>ABCO-PSME/BEPI</t>
  </si>
  <si>
    <t>ABCO-PSME/CEVE/ARUV</t>
  </si>
  <si>
    <t>ABCO-PSME/ROGY</t>
  </si>
  <si>
    <t>ABCO-QUSA/BENE-PAMY</t>
  </si>
  <si>
    <t>ABCO-TSHE/BENE2/LIBOL</t>
  </si>
  <si>
    <t>Western hemlock - Hyper-dry</t>
  </si>
  <si>
    <t>ABGR/ACCI/ACTR</t>
  </si>
  <si>
    <t>ABGR/ACCI/POMU</t>
  </si>
  <si>
    <t>ABGR/BENE2-GASH</t>
  </si>
  <si>
    <t>ABGR/CACH</t>
  </si>
  <si>
    <t>ABGR/CHUM</t>
  </si>
  <si>
    <t>ABGR/COCO6/VAHE</t>
  </si>
  <si>
    <t>ABGR/HODI</t>
  </si>
  <si>
    <t>ABGR/HODI/POMU</t>
  </si>
  <si>
    <t>ABGR/MANE2-GASH</t>
  </si>
  <si>
    <t>ABGR/TODI</t>
  </si>
  <si>
    <t>ABGR/TRLA2</t>
  </si>
  <si>
    <t>ABGR/VAGL</t>
  </si>
  <si>
    <t>PIMO3-PSME/QUVA-LIDEE</t>
  </si>
  <si>
    <t>PSME/COCO6-SYMO/POMU</t>
  </si>
  <si>
    <t>PSME/GASH-BENE2</t>
  </si>
  <si>
    <t>PSME/GASH-RHMA3</t>
  </si>
  <si>
    <t>PSME/MANE2-GASH</t>
  </si>
  <si>
    <t>PSME/QUVA-ARNE/XETE</t>
  </si>
  <si>
    <t>PSME/RHMA3-VAOV2</t>
  </si>
  <si>
    <t>PSME-ABCO/HODI</t>
  </si>
  <si>
    <t>PSME-CACH6/BENE2</t>
  </si>
  <si>
    <t>QUGA4/CYEC</t>
  </si>
  <si>
    <t>Oregon white oak</t>
  </si>
  <si>
    <t>Mediterranean California Mixed Oak Woodland</t>
  </si>
  <si>
    <t>QUGA4-PSME/RHDI6</t>
  </si>
  <si>
    <t>ABMAS</t>
  </si>
  <si>
    <t>Shasta red fir - Moist</t>
  </si>
  <si>
    <t>Mediterranean California Red Fir Forest</t>
  </si>
  <si>
    <t>ABMAS/ARNE</t>
  </si>
  <si>
    <t>ABMAS/CACH</t>
  </si>
  <si>
    <t>ABMAS/CACH/CHUM-CAPE</t>
  </si>
  <si>
    <t>ABMAS/CAIN4</t>
  </si>
  <si>
    <t>ABMAS/CAPE</t>
  </si>
  <si>
    <t>ABMAS/CHUM</t>
  </si>
  <si>
    <t>ABMAS/OSCH</t>
  </si>
  <si>
    <t>ABMAS/PAMY/PYSE</t>
  </si>
  <si>
    <t>ABMAS/VAME/CHUM</t>
  </si>
  <si>
    <t>ABMAS-ABCO/CACH6/CHUM</t>
  </si>
  <si>
    <t>ABMAS-ABCO/QUSA2/CHUM</t>
  </si>
  <si>
    <t>ABMAS-ABCO/QUSA2/PYSE</t>
  </si>
  <si>
    <t>ABMAS-ABCO/ROGY/PYSE</t>
  </si>
  <si>
    <t>ABMAS-ABCO/SYMO/CHUM</t>
  </si>
  <si>
    <t>ABMAS-PICO/ARNE/CHUM</t>
  </si>
  <si>
    <t>ABMAS-TSME/ARNE/CAPE</t>
  </si>
  <si>
    <t>ABMAS-TSME/ARNE/CHUM</t>
  </si>
  <si>
    <t>Mountain hemlock - Cold dry</t>
  </si>
  <si>
    <t>ABMAS-TSME/ARNE2/CAIN9</t>
  </si>
  <si>
    <t>PIMO3/XETE</t>
  </si>
  <si>
    <t>THPL/BENE2/POMU</t>
  </si>
  <si>
    <t>Western hemlock - Intermediate</t>
  </si>
  <si>
    <t>North Pacific Maritime Dry-Mesic Douglas-fir-Western Hemlock Forest</t>
  </si>
  <si>
    <t>TSHE/ACCI/POMU-NWO Coast</t>
  </si>
  <si>
    <t>TSHE/ACCI-COCO6-NWO Coast</t>
  </si>
  <si>
    <t>TSHE/ACCI-GASH/POMU-NWO Coast</t>
  </si>
  <si>
    <t>TSHE/ACCI-GASH-SWO</t>
  </si>
  <si>
    <t>TSHE/ACCI-RHMA3</t>
  </si>
  <si>
    <t>TSHE/ACTR-DRY-NWO Coast</t>
  </si>
  <si>
    <t>TSHE/BENE/CHME</t>
  </si>
  <si>
    <t>TSHE/BENE-COAST</t>
  </si>
  <si>
    <t>TSHE/BENE-GASH</t>
  </si>
  <si>
    <t>TSHE/GASH/POMU-SWO</t>
  </si>
  <si>
    <t>TSHE/GASH-BENE2-SWO</t>
  </si>
  <si>
    <t>TSHE/GASH-COAST</t>
  </si>
  <si>
    <t>TSHE/GASH-NWO Cascades</t>
  </si>
  <si>
    <t>TSHE/GASH-NWO Coast</t>
  </si>
  <si>
    <t>TSHE/GASH-OLY</t>
  </si>
  <si>
    <t>TSHE/GASH-RHMA3-SWO</t>
  </si>
  <si>
    <t>TSHE/MANE2-DRY-NWO Coast</t>
  </si>
  <si>
    <t>TSHE/MANE2-GASH-DRY-NWO Coast</t>
  </si>
  <si>
    <t>TSHE/MANE2-GASH-NWO Coast</t>
  </si>
  <si>
    <t>TSHE/MANE2-NWO Coast</t>
  </si>
  <si>
    <t>TSHE/RHMA/LIBOL (SWO)</t>
  </si>
  <si>
    <t>TSHE/RHMA3-BENE2-SWO</t>
  </si>
  <si>
    <t>TSHE/RHMA3-GASH-NWO Coast</t>
  </si>
  <si>
    <t>TSHE/RHMA3-GASH-SWO</t>
  </si>
  <si>
    <t>TSHE/RHMA3-MANE2-NWO Coast</t>
  </si>
  <si>
    <t>TSHE/RHMA3-VAOV2-NWO Coast</t>
  </si>
  <si>
    <t>TSHE/RHMA-BENE-WILL</t>
  </si>
  <si>
    <t>TSHE/RHMA-OLY</t>
  </si>
  <si>
    <t>TSHE-ABCO/ACCI-BENE2</t>
  </si>
  <si>
    <t>TSHE-ABCO/BENE2</t>
  </si>
  <si>
    <t>TSHE-ACMA/POMU</t>
  </si>
  <si>
    <t>TSHE-CACH6/GASH-RHMA3</t>
  </si>
  <si>
    <t>TSHE-CADE27/GASH</t>
  </si>
  <si>
    <t>TSHE-PSME/GASH-SWO</t>
  </si>
  <si>
    <t>TSHE-THPL/RHMA3</t>
  </si>
  <si>
    <t>TSME/ARNE</t>
  </si>
  <si>
    <t>North Pacific Mountain Hemlock Forest - Xeric</t>
  </si>
  <si>
    <t>TSME/ARNE/CHUM</t>
  </si>
  <si>
    <t>TSME/CACH</t>
  </si>
  <si>
    <t>TSME/CAIN4</t>
  </si>
  <si>
    <t>TSME/CHUM</t>
  </si>
  <si>
    <t>TSME/HERB</t>
  </si>
  <si>
    <t>TSME/LUHI</t>
  </si>
  <si>
    <t>TSME/RHMA</t>
  </si>
  <si>
    <t>TSME/RHMA3/XETE</t>
  </si>
  <si>
    <t>TSME/VAME</t>
  </si>
  <si>
    <t>TSME/VAME/PYSE</t>
  </si>
  <si>
    <t>TSME/VAME/XETE</t>
  </si>
  <si>
    <t>TSME/VAME-GP</t>
  </si>
  <si>
    <t>TSME/VASC</t>
  </si>
  <si>
    <t>TSME/VASC/CHUM</t>
  </si>
  <si>
    <t>TSME/VASC-DES</t>
  </si>
  <si>
    <t>TSME/VASC-MTH</t>
  </si>
  <si>
    <t>TSME-ABMAS/RULA2/PYSE</t>
  </si>
  <si>
    <t>TSME-ABMAS/VAME/CHUM</t>
  </si>
  <si>
    <t>PIMO3-LIDE3/QUVA/XETE</t>
  </si>
  <si>
    <t>PIMO3-PICO/LIDE-RHMA3</t>
  </si>
  <si>
    <t>PIPO/PUTR/CAPE-PUM</t>
  </si>
  <si>
    <t>Northern Rocky Mountain Ponderosa Pine Woodland and Savanna - Mesic</t>
  </si>
  <si>
    <t>PIPO/PUTR/FEID-PUMICE</t>
  </si>
  <si>
    <t>PIPO/PUTR-ARTR/FEID</t>
  </si>
  <si>
    <t>PIPO/PUTR-CEVE/STOC-PUM</t>
  </si>
  <si>
    <t>PIPO-PSME</t>
  </si>
  <si>
    <t>PIPO-QUKE</t>
  </si>
  <si>
    <t>PICO/ARNE</t>
  </si>
  <si>
    <t>Lodgepole pine - Cold</t>
  </si>
  <si>
    <t>Sierra Nevada Subalpine Lodgepole Pine Forest and Woodland</t>
  </si>
  <si>
    <t>PICO/CAPE-STOC-BASIN</t>
  </si>
  <si>
    <t>PICO/VAME-VASC</t>
  </si>
  <si>
    <t>PICO/VASC-PUM</t>
  </si>
  <si>
    <t>PICO-ABCO-PSME</t>
  </si>
  <si>
    <t>PICO-CAREX-LUPINUS</t>
  </si>
  <si>
    <t>PICO-TSME/DEP</t>
  </si>
  <si>
    <t>ABAM/ROGY/ACTR</t>
  </si>
  <si>
    <t>Pacific silver fir - Intermediate</t>
  </si>
  <si>
    <t>North Pacific Dry-Mesic Silver Fir-Western Hemlock-Douglas-fir Forest</t>
  </si>
  <si>
    <t>ABAM/VAAL/POMU</t>
  </si>
  <si>
    <t>ABAM/VAME</t>
  </si>
  <si>
    <t>ABAM/VAME/CLUN</t>
  </si>
  <si>
    <t>ABAM/VAME/XETE</t>
  </si>
  <si>
    <t>ABAM-TSHE/CLUN</t>
  </si>
  <si>
    <t>ABAM-TSHE/VAME/ACTR</t>
  </si>
  <si>
    <t>ABAM-TSME/VAME/ACTR</t>
  </si>
  <si>
    <t>TSHE-ABAM</t>
  </si>
  <si>
    <t>PSME-TSHE/RHMA3</t>
  </si>
  <si>
    <t>PlantAssociations</t>
  </si>
  <si>
    <t>Series</t>
  </si>
  <si>
    <t>PVT</t>
  </si>
  <si>
    <t>SDImax</t>
  </si>
  <si>
    <t>Climate adaptive density target species</t>
  </si>
  <si>
    <t>Number of plots</t>
  </si>
  <si>
    <t>Comment</t>
  </si>
  <si>
    <t>PSME</t>
  </si>
  <si>
    <t>Yes, ORGANON</t>
  </si>
  <si>
    <t>PIMO3 - R6Max</t>
  </si>
  <si>
    <t>SCORNECA Max SDI, Cascadian distribution</t>
  </si>
  <si>
    <t>PILA</t>
  </si>
  <si>
    <t>Yes, but possibly PSME if Organon Max SDI's are lower than PILAs</t>
  </si>
  <si>
    <t>CADE27-R6</t>
  </si>
  <si>
    <t>PIPO</t>
  </si>
  <si>
    <t>Yes, ICASCA</t>
  </si>
  <si>
    <t>Yes</t>
  </si>
  <si>
    <t>ABMAS - R6</t>
  </si>
  <si>
    <t>CADE27</t>
  </si>
  <si>
    <t>PIMO3</t>
  </si>
  <si>
    <t>Yes, Klamath/Coast range</t>
  </si>
  <si>
    <t>PIJE</t>
  </si>
  <si>
    <t>Yes, weighted ecoplot</t>
  </si>
  <si>
    <t>DELETE AND REASSIGN PLOTS, not in blue book, "draft PA"</t>
  </si>
  <si>
    <t>PICO-R6</t>
  </si>
  <si>
    <t>PSME/RUSP/POMU</t>
  </si>
  <si>
    <t>QUGA</t>
  </si>
  <si>
    <t>Yes, SCORNECA FVS, ICASCA 440!</t>
  </si>
  <si>
    <t>(Multiple Items)</t>
  </si>
  <si>
    <t>Count of PlantAssociations</t>
  </si>
  <si>
    <t>Adaptive tree species/early seral</t>
  </si>
  <si>
    <t>PICO</t>
  </si>
  <si>
    <t>(blank)</t>
  </si>
  <si>
    <t>Grand Total</t>
  </si>
  <si>
    <t>ABAM</t>
  </si>
  <si>
    <t>ABCO</t>
  </si>
  <si>
    <t>CHLA</t>
  </si>
  <si>
    <t>LIDE</t>
  </si>
  <si>
    <t>THPL</t>
  </si>
  <si>
    <t>TSHE</t>
  </si>
  <si>
    <t>TSME</t>
  </si>
  <si>
    <t>Plot Num</t>
  </si>
  <si>
    <t>PlantSeries</t>
  </si>
  <si>
    <t>Field-PlantAssociation</t>
  </si>
  <si>
    <t>Common Name</t>
  </si>
  <si>
    <t>ABCO/MANE2</t>
  </si>
  <si>
    <t>white fir/Cascade barberry</t>
  </si>
  <si>
    <t>ABCO/MANE2/LIBOL2</t>
  </si>
  <si>
    <t>white fir/Cascade barberry/longtube twinflower</t>
  </si>
  <si>
    <t>white fir/creeping snowberry</t>
  </si>
  <si>
    <t>ABCO-CADE27/TRBOL</t>
  </si>
  <si>
    <t>white fir-incense cedar/broadleaf starflower</t>
  </si>
  <si>
    <t>white fir-Douglas-fir/dwarf rose</t>
  </si>
  <si>
    <t>Tanoak - Douglas-fir - Dry</t>
  </si>
  <si>
    <t>LIDE3-PSME-QUCHE2/BENE2</t>
  </si>
  <si>
    <t>ponderosa pine-Douglas-fir</t>
  </si>
  <si>
    <t>PSME/2SHRUB</t>
  </si>
  <si>
    <t>Douglas-fir/dry shrub</t>
  </si>
  <si>
    <t>PSME/ARNE</t>
  </si>
  <si>
    <t>Douglas-fir/pinemat manzanita (southwest Oregon)</t>
  </si>
  <si>
    <t>PSME/MANE2/POMU</t>
  </si>
  <si>
    <t>Douglas-fir/Cascade barberry/western swordfern</t>
  </si>
  <si>
    <t>PSME/HODI/WHMO</t>
  </si>
  <si>
    <t>Douglas-fir/oceanspray/common whipplea</t>
  </si>
  <si>
    <t>Douglas-fir/huckleberry oak-pinemat manzanita/common beargrass</t>
  </si>
  <si>
    <t>Douglas-fir-white fir</t>
  </si>
  <si>
    <t>Douglas-fir-white fir/creeping snowberry</t>
  </si>
  <si>
    <t>PSME-CADE27/MAAQ2</t>
  </si>
  <si>
    <t>Douglas-fir-incense cedar/hollyleaved barberry</t>
  </si>
  <si>
    <t>PSME-PIPO/TODI</t>
  </si>
  <si>
    <t>Douglas-fir-ponderosa pine/Pacific poison oak</t>
  </si>
  <si>
    <t>Dry/Moist</t>
  </si>
  <si>
    <t>Early Seral</t>
  </si>
  <si>
    <t>Max SDI For Analysis</t>
  </si>
  <si>
    <t>MaxSDI Source</t>
  </si>
  <si>
    <t>FVS_SDI MAX
Variant Specific</t>
  </si>
  <si>
    <t>Ecology Group data</t>
  </si>
  <si>
    <t xml:space="preserve">Tempered SDI Max Value </t>
  </si>
  <si>
    <t>Comments</t>
  </si>
  <si>
    <t>Dry</t>
  </si>
  <si>
    <t>Ponderosa</t>
  </si>
  <si>
    <t>Organon</t>
  </si>
  <si>
    <t> </t>
  </si>
  <si>
    <t>Moist</t>
  </si>
  <si>
    <t>Jeffrey</t>
  </si>
  <si>
    <t>EcoPlots Weighted Max SDI Ultramafic</t>
  </si>
  <si>
    <t>Lodgepole pine - Dry</t>
  </si>
  <si>
    <t>Lodgepole</t>
  </si>
  <si>
    <t xml:space="preserve">FVS R6 S Central OR NE CA </t>
  </si>
  <si>
    <t>Lodgepole pine cold</t>
  </si>
  <si>
    <t>Mixed Conifer - Cold/dry</t>
  </si>
  <si>
    <t>Douglas-fir</t>
  </si>
  <si>
    <t>Mixed Conifer - Dry</t>
  </si>
  <si>
    <t>Mixed Conifer - Moist</t>
  </si>
  <si>
    <t>Mountain hemlock - Cold/Dry</t>
  </si>
  <si>
    <t>Shasta red</t>
  </si>
  <si>
    <t xml:space="preserve"> FVS ICASCA R6 plant association</t>
  </si>
  <si>
    <t>Mountain hemlock - Cold/Dry (Coastal/W.Cascades)</t>
  </si>
  <si>
    <t>Mountain hemlock - Intermediate</t>
  </si>
  <si>
    <t>White oak</t>
  </si>
  <si>
    <t>Oregon white oak - Ponderosa pine</t>
  </si>
  <si>
    <t>Pacific silver fir - Warm</t>
  </si>
  <si>
    <t>Ponderosa pine - Dry, with juniper</t>
  </si>
  <si>
    <t>Ponderosa pine - Lodgepole pine</t>
  </si>
  <si>
    <t>Shasta red fir - Dry</t>
  </si>
  <si>
    <t>Sitka spruce</t>
  </si>
  <si>
    <t xml:space="preserve"> FVS Pacific Northwest Coastal Variant</t>
  </si>
  <si>
    <t>ICASCA Variant FVS</t>
  </si>
  <si>
    <t>Ultramafic</t>
  </si>
  <si>
    <t>Western hemlock - Hyperdry</t>
  </si>
  <si>
    <t xml:space="preserve"> </t>
  </si>
  <si>
    <t>White fir - Moist</t>
  </si>
  <si>
    <t>Code</t>
  </si>
  <si>
    <t>PA_Code</t>
  </si>
  <si>
    <t>Common</t>
  </si>
  <si>
    <t>Needed for Analysis</t>
  </si>
  <si>
    <t>Climate Adaptive Max SDI</t>
  </si>
  <si>
    <t>ORGANON MAXSDI</t>
  </si>
  <si>
    <t>FVS ICASCA R5 Max SDI</t>
  </si>
  <si>
    <t>FVS R6 Central OR NA CA</t>
  </si>
  <si>
    <t>FVS West Cascades</t>
  </si>
  <si>
    <t>FVS_SCOR_NECA</t>
  </si>
  <si>
    <t>Bybee EA</t>
  </si>
  <si>
    <t>FVS_KlamathVariant</t>
  </si>
  <si>
    <t>white fir</t>
  </si>
  <si>
    <t>Shasta red fir</t>
  </si>
  <si>
    <t>ABPR</t>
  </si>
  <si>
    <t>noble fir</t>
  </si>
  <si>
    <t>ACMA</t>
  </si>
  <si>
    <t>bigleaf maple</t>
  </si>
  <si>
    <t>ARME</t>
  </si>
  <si>
    <t>Pacific madrone</t>
  </si>
  <si>
    <t>CADE</t>
  </si>
  <si>
    <t>incense-cedar</t>
  </si>
  <si>
    <t>CHCH</t>
  </si>
  <si>
    <t>giant chinquapin</t>
  </si>
  <si>
    <t>Port-Orford cedar</t>
  </si>
  <si>
    <t>CONU</t>
  </si>
  <si>
    <t>Pacific dogwood</t>
  </si>
  <si>
    <t>FRLA</t>
  </si>
  <si>
    <t>Oregon ash</t>
  </si>
  <si>
    <t>NODE</t>
  </si>
  <si>
    <t>LIDE2</t>
  </si>
  <si>
    <t>tanoak</t>
  </si>
  <si>
    <t>PIAT</t>
  </si>
  <si>
    <t>knobcone pine</t>
  </si>
  <si>
    <t>lodgepole</t>
  </si>
  <si>
    <t>sugar pine</t>
  </si>
  <si>
    <t>jeffrey pine</t>
  </si>
  <si>
    <t>PIMO</t>
  </si>
  <si>
    <t>Western white pine</t>
  </si>
  <si>
    <t>ponderosa pine</t>
  </si>
  <si>
    <t>PISI</t>
  </si>
  <si>
    <t>QUCH</t>
  </si>
  <si>
    <t>canyon live oak</t>
  </si>
  <si>
    <t>QUKE</t>
  </si>
  <si>
    <t>California black oak</t>
  </si>
  <si>
    <t>SESE</t>
  </si>
  <si>
    <t>redwood</t>
  </si>
  <si>
    <t>TABR</t>
  </si>
  <si>
    <t>Pacific yew</t>
  </si>
  <si>
    <t>western red cedar</t>
  </si>
  <si>
    <t>western hemlock</t>
  </si>
  <si>
    <t>mountain hemlock</t>
  </si>
  <si>
    <t>Z_Comment</t>
  </si>
  <si>
    <t>Hann &amp; Wang 1990 for above. Plots from High Cascades and north of Grants Pass, past Glendale. The SDI maximum for all species is assigned from the SDI maximum associated with the site species for the plant association code shown in Appendix A. SDI maximums were set based on growth basal area (GBA) analysis developed by Hall (1983) or an analysis of Current Vegetation Survey (CVS) plots in USFS Region 6 by Crookston (2008). Some SDI maximums associated with plant associations are unreasonably large, so SDI maximums are capped at 950. Maximum stand density index at the stand level is a weighted average, by basal area, of the individual species SDI maximums.</t>
  </si>
  <si>
    <t>Sets Extremely high Max SDI by plant association, or Table 3.5.1 from FIA, John Shaw</t>
  </si>
  <si>
    <t>If a user specified basal area maximum is present, the maximum SDI for all species is computed using equation {3.5.1}; otherwise, the SDI maximum for all species is assigned from the SDI maximum associated with the site species for the plant association code shown in Appendix B. - Very high, set by plant association</t>
  </si>
  <si>
    <t>R6 &amp; Warm Springs</t>
  </si>
  <si>
    <t>CountOfPCID</t>
  </si>
  <si>
    <t>CountOfSTANDPLOT_ID</t>
  </si>
  <si>
    <t>Primary_Se</t>
  </si>
  <si>
    <t>Scientific</t>
  </si>
  <si>
    <t>CommonName</t>
  </si>
  <si>
    <t>SWOPAG</t>
  </si>
  <si>
    <t>Blue Book Plant Association</t>
  </si>
  <si>
    <t>P/A Blue Book PAG Name</t>
  </si>
  <si>
    <t>RA# BpS</t>
  </si>
  <si>
    <t>NATL BpS</t>
  </si>
  <si>
    <t>VDDT</t>
  </si>
  <si>
    <t>VDDT Name (Group for DecAID Crosswalk)</t>
  </si>
  <si>
    <t>Pacific Silver Fir/Vanillaleaf-Coolwort Foamflower - mesic</t>
  </si>
  <si>
    <t>ABAMlw</t>
  </si>
  <si>
    <t>N514si</t>
  </si>
  <si>
    <t>Pacific silver fir - intermediate</t>
  </si>
  <si>
    <t>Pacific Silver Fir/Big Huckleberry/Beargrass</t>
  </si>
  <si>
    <t>ABAMup</t>
  </si>
  <si>
    <t>White Fir/Pacific Rhododendron</t>
  </si>
  <si>
    <t>MCONsw</t>
  </si>
  <si>
    <t>S413cw</t>
  </si>
  <si>
    <t>White fir cool</t>
  </si>
  <si>
    <t>White Fir - cool, dry</t>
  </si>
  <si>
    <t>White Fir/Dwarf Oregongrape</t>
  </si>
  <si>
    <t>S415iw</t>
  </si>
  <si>
    <t>White fir intermediate</t>
  </si>
  <si>
    <t>White Fir-Western Hemlock/Dwarf Oregongrape</t>
  </si>
  <si>
    <t>S414vw</t>
  </si>
  <si>
    <t>White fir warm-moist</t>
  </si>
  <si>
    <t>White Fir-Douglas-fir - warm, dry</t>
  </si>
  <si>
    <t>White Fir-Shasta Red Fir</t>
  </si>
  <si>
    <t>Shasta Red Fir - Siskiyou Province</t>
  </si>
  <si>
    <t>REFI</t>
  </si>
  <si>
    <t>S402rm</t>
  </si>
  <si>
    <t>Shasta red fir moist</t>
  </si>
  <si>
    <t>Shasta Red Fir - Cascade Province</t>
  </si>
  <si>
    <t>Port-Orford Cedar-Ultramafic</t>
  </si>
  <si>
    <t>DFHEwt</t>
  </si>
  <si>
    <t>S405hc</t>
  </si>
  <si>
    <t>Western hemlock moist (Cascades)</t>
  </si>
  <si>
    <t>Port-Orford Cedar/Salal</t>
  </si>
  <si>
    <t>Port-Orford Cedar/Western Swordfern</t>
  </si>
  <si>
    <t>Tanoak-Ultramafic</t>
  </si>
  <si>
    <t>MEVG</t>
  </si>
  <si>
    <r>
      <t>0710430/Interior/</t>
    </r>
    <r>
      <rPr>
        <sz val="12"/>
        <color rgb="FFC00000"/>
        <rFont val="Calibri"/>
        <family val="2"/>
      </rPr>
      <t>10431</t>
    </r>
  </si>
  <si>
    <t>S408td</t>
  </si>
  <si>
    <t>Tan oak/Douglas-fir dry</t>
  </si>
  <si>
    <t>TAOAco</t>
  </si>
  <si>
    <r>
      <t>0710430/Coastal/</t>
    </r>
    <r>
      <rPr>
        <sz val="12"/>
        <color rgb="FFC00000"/>
        <rFont val="Calibri"/>
        <family val="2"/>
      </rPr>
      <t>10432</t>
    </r>
  </si>
  <si>
    <t>S407tm</t>
  </si>
  <si>
    <t>Tan oak/Douglas-fir moist</t>
  </si>
  <si>
    <t>Tanoak-Canyon Live Oak and/or Sadler Oak</t>
  </si>
  <si>
    <t>Tanoak-Bigleaf Maple-Canyon Live Oak/Western Swordfern</t>
  </si>
  <si>
    <t>Tanoak/Salal</t>
  </si>
  <si>
    <t>Tan oak/Douglas fir moist</t>
  </si>
  <si>
    <t>Tanoak/Evergreen Huckleberry</t>
  </si>
  <si>
    <t>Lodgepole Pine - SWO</t>
  </si>
  <si>
    <t>S412lx</t>
  </si>
  <si>
    <t>Lodgepole pine - cold</t>
  </si>
  <si>
    <t>PIJE/ARCA5/FEID</t>
  </si>
  <si>
    <t>Jeffrey Pine/Grass</t>
  </si>
  <si>
    <t>PIJEsp</t>
  </si>
  <si>
    <t>S404jp</t>
  </si>
  <si>
    <t>Jeffrey Pine/Shrub</t>
  </si>
  <si>
    <t>Jeffrey Pine-Incense Cedar</t>
  </si>
  <si>
    <t>Western White Pine - SWO</t>
  </si>
  <si>
    <t>Ponderosa Pine - SWO</t>
  </si>
  <si>
    <t>C208pd</t>
  </si>
  <si>
    <t>Ponderosa pine dry (residual soils)</t>
  </si>
  <si>
    <t>PISI/GASH-VAOV2</t>
  </si>
  <si>
    <t>PISI/SALAL - mesic</t>
  </si>
  <si>
    <t>SSHE</t>
  </si>
  <si>
    <t>N515ss</t>
  </si>
  <si>
    <t>PISI/POMU</t>
  </si>
  <si>
    <t>Sitka spruce/oxalis, western swordfern - moist</t>
  </si>
  <si>
    <t>PISI-ABCO/RUSP</t>
  </si>
  <si>
    <t>PISI/RUSP - wet</t>
  </si>
  <si>
    <t>Douglas-fir-Canyon Live Oak-cool, dry - SWO</t>
  </si>
  <si>
    <t>S409dd</t>
  </si>
  <si>
    <t>Douglas-fir dry (SWO)</t>
  </si>
  <si>
    <t>Douglas-fir/Poison Oak-warm, often low elevation</t>
  </si>
  <si>
    <t>Douglas-fir-Chinquapin/Salal - SWO</t>
  </si>
  <si>
    <t>S410dm</t>
  </si>
  <si>
    <t>Douglas-fir moist (SWO)</t>
  </si>
  <si>
    <t>Douglas-fir-Ultramafic - SWO</t>
  </si>
  <si>
    <t>Oregon White Oak - SWO</t>
  </si>
  <si>
    <t>OWOA</t>
  </si>
  <si>
    <t>S403wo</t>
  </si>
  <si>
    <t>Western Hemlock/Salal-Dwarf Oregongrape - SWO Cascades</t>
  </si>
  <si>
    <t>DFHEdy</t>
  </si>
  <si>
    <t>N518wi</t>
  </si>
  <si>
    <t>Western hemlock - intermediate</t>
  </si>
  <si>
    <t>Western Hemlock/Pacific Rhododendron - SWO Cascades</t>
  </si>
  <si>
    <t>Western Hemlock - SWO Coast</t>
  </si>
  <si>
    <t>N519wm</t>
  </si>
  <si>
    <t>TSHE/QUSA2-GASH-RHMA3</t>
  </si>
  <si>
    <t>Western hemlock - Coastal</t>
  </si>
  <si>
    <t>Western Hemlock-Incense Cedar/Salal - SWO</t>
  </si>
  <si>
    <t>S411wx</t>
  </si>
  <si>
    <t xml:space="preserve">Western hemlock hyperdry </t>
  </si>
  <si>
    <t>Mountain Hemlock/Sidebells Pyrola - high elevation - SWO</t>
  </si>
  <si>
    <t>MTHE</t>
  </si>
  <si>
    <t>S401mh</t>
  </si>
  <si>
    <t>Mountain hemlock cold-dry (SWO)</t>
  </si>
  <si>
    <t>Mountain Hemlock/Pacific Rhododendron - warm</t>
  </si>
  <si>
    <t>Mountain Hemlock/Grouse Whortleberry-Big Huckleberry - cool, dry</t>
  </si>
  <si>
    <t>Name</t>
  </si>
  <si>
    <t>Likely to be treated</t>
  </si>
  <si>
    <t>*</t>
  </si>
  <si>
    <t>Mediterranean California Lower Montane Black Oak-Conifer Forest and Woodland</t>
  </si>
  <si>
    <t>California Montane Jeffrey Pine-Ponderosa Pine Woodland</t>
  </si>
  <si>
    <t>Mediterranean California Red Fir Forest – Cascades</t>
  </si>
  <si>
    <t>LF National BpS Model</t>
  </si>
  <si>
    <t>LF National BpS Name</t>
  </si>
  <si>
    <t>LF BpS Group Model</t>
  </si>
  <si>
    <t>LF BpS Group Name</t>
  </si>
  <si>
    <t>LF Group Model Source</t>
  </si>
  <si>
    <t>Inter-Mountain Basins Sparsely Vegetated Systems</t>
  </si>
  <si>
    <t>Sparsely Vegetated</t>
  </si>
  <si>
    <t>No model</t>
  </si>
  <si>
    <t>North Pacific Sparsely Vegetated Systems</t>
  </si>
  <si>
    <t>Rocky Mountain Alpine/Montane Sparsely Vegetated Systems</t>
  </si>
  <si>
    <t>North Pacific Oak Woodland</t>
  </si>
  <si>
    <t>Oregon White Oak-Romers Fescue-Oatgrass-1</t>
  </si>
  <si>
    <t>East Cascades Mesic Montane Mixed-Conifer Forest and Woodland</t>
  </si>
  <si>
    <t>Douglas Fir-Grand Fir Mix-3</t>
  </si>
  <si>
    <t>North Pacific Dry Douglas-fir(-Madrone) Forest and Woodland</t>
  </si>
  <si>
    <t>Douglas Fir-3</t>
  </si>
  <si>
    <t>North Pacific Hypermaritime Sitka Spruce Forest</t>
  </si>
  <si>
    <t>Sitka Spruce-Western Hemlock-5</t>
  </si>
  <si>
    <t>Douglas Fir-Western Hemlock-3</t>
  </si>
  <si>
    <t>North Pacific Maritime Mesic Subalpine Parkland</t>
  </si>
  <si>
    <t>Mountain Hemlock-Mountainheath-5</t>
  </si>
  <si>
    <t>Douglas Fir-Western Hemlock-5</t>
  </si>
  <si>
    <t>North Pacific Mountain Hemlock Forest - Wet</t>
  </si>
  <si>
    <t>Mountain Hemlock-Devils Club-5</t>
  </si>
  <si>
    <t>Mountain Hemlock-Huckleberry-5</t>
  </si>
  <si>
    <t>North Pacific Mesic Western Hemlock-Silver Fir Forest</t>
  </si>
  <si>
    <t>Western Hemlock-5</t>
  </si>
  <si>
    <t>Northern Rocky Mountain Dry-Mesic Montane Mixed Conifer Forest</t>
  </si>
  <si>
    <t>Ponderosa Pine-Douglas Fir-1</t>
  </si>
  <si>
    <t>Northern Rocky Mountain Subalpine Woodland and Parkland</t>
  </si>
  <si>
    <t>Whitebark Pine-3</t>
  </si>
  <si>
    <t>Ponderosa Pine-1</t>
  </si>
  <si>
    <t>Rocky Mountain Subalpine Dry-Mesic Spruce-Fir Forest and Woodland</t>
  </si>
  <si>
    <t>Engelman Spruce-Subalpine Fir-3</t>
  </si>
  <si>
    <t>Rocky Mountain Subalpine Mesic-Wet Spruce-Fir Forest and Woodland</t>
  </si>
  <si>
    <t>Engelman Spruce-Subalpine Fir-Menziesia-3</t>
  </si>
  <si>
    <t>East Cascades Oak-Ponderosa Pine Forest and Woodland</t>
  </si>
  <si>
    <t>Ponderosa Pine-Oregon White Oak-1</t>
  </si>
  <si>
    <t>North Pacific Broadleaf Landslide Forest and Shrubland</t>
  </si>
  <si>
    <t>Red Alder-Bigleaf Maple-5</t>
  </si>
  <si>
    <t>Columbia Plateau Scabland Shrubland</t>
  </si>
  <si>
    <t>Low Sage-Scabland Sage-5</t>
  </si>
  <si>
    <t>North Pacific Dry and Mesic Alpine Dwarf-Shrubland or Fell-field or Meadow</t>
  </si>
  <si>
    <t>Pink Mountain Heath-Wax Currant-5</t>
  </si>
  <si>
    <t>Inter-Mountain Basins Big Sagebrush Shrubland</t>
  </si>
  <si>
    <t>Wyoming Big Sage-Spiny Hopsage-1</t>
  </si>
  <si>
    <t>North Pacific Avalanche Chute Shrubland</t>
  </si>
  <si>
    <t>Sitka Alder-Salmonberry-5</t>
  </si>
  <si>
    <t>North Pacific Montane Shrubland</t>
  </si>
  <si>
    <t>Huckelberry-Beargrass-5</t>
  </si>
  <si>
    <t>Northern Rocky Mountain Montane-Foothill Deciduous Shrubland</t>
  </si>
  <si>
    <t>Ninebark-Snowberry-2</t>
  </si>
  <si>
    <t>Willamette Valley Upland Prairie and Savanna</t>
  </si>
  <si>
    <t>Columbia Plateau Steppe and Grassland</t>
  </si>
  <si>
    <t>Indian Ricegrass-Squirreltail-4</t>
  </si>
  <si>
    <t>Columbia Plateau Low Sagebrush Steppe</t>
  </si>
  <si>
    <t>Low Sage-Idaho Fescue-3</t>
  </si>
  <si>
    <t>Inter-Mountain Basins Big Sagebrush Steppe</t>
  </si>
  <si>
    <t>Wyoming Big Sage-Wheatgrass-3</t>
  </si>
  <si>
    <t>Inter-Mountain Basins Montane Sagebrush Steppe</t>
  </si>
  <si>
    <t>Mountain Sagebrush-Bluebunch Wheatgrass-Idaho Fescue-4</t>
  </si>
  <si>
    <t>North Pacific Montane Grassland</t>
  </si>
  <si>
    <t>Wildrye-Idaho Fescue-2</t>
  </si>
  <si>
    <t>Inter-Mountain Basins Montane Riparian Systems</t>
  </si>
  <si>
    <t>Black Cottonwood-Narrowleaf Willow-3</t>
  </si>
  <si>
    <t>North Pacific Lowland Riparian Forest and Shrubland</t>
  </si>
  <si>
    <t>Black Cottonwood-Bigleaf Maple-Western Redcedar-5</t>
  </si>
  <si>
    <t>North Pacific Swamp Systems</t>
  </si>
  <si>
    <t>Thinleaf Alder-Oregon Ash-Western Redcedar-5</t>
  </si>
  <si>
    <t>North Pacific Montane Riparian Woodland and Shrubland - Wet</t>
  </si>
  <si>
    <t>Red Alder-Bigleaf Maple-Vine Maple-5</t>
  </si>
  <si>
    <t>North Pacific Montane Riparian Woodland and Shrubland - Dry</t>
  </si>
  <si>
    <t>White Alder-Devils Club-5</t>
  </si>
  <si>
    <t>Northern Rocky Mountain Foothill Conifer Wooded Steppe</t>
  </si>
  <si>
    <t>Rocky Mountain Poor-Site Lodgepole Pine Forest</t>
  </si>
  <si>
    <t>Lodgepole Pine-Kinnikinnick-4</t>
  </si>
  <si>
    <t>North Pacific Alpine and Subalpine Dry Grassland</t>
  </si>
  <si>
    <t>Idaho Fescue-Beargrass-4</t>
  </si>
  <si>
    <t>North Pacific Wooded Volcanic Flowage</t>
  </si>
  <si>
    <t>Lodgepole Pine-Lichen-5</t>
  </si>
  <si>
    <t>Silver Fir-Western Hemlock-3</t>
  </si>
  <si>
    <t>North Pacific Hypermaritime Western Red-cedar-Western Hemlock Forest</t>
  </si>
  <si>
    <t>Red Cedar-Western Hemlock-5</t>
  </si>
  <si>
    <t>California Coastal Redwood Forest</t>
  </si>
  <si>
    <t>Redwood-1</t>
  </si>
  <si>
    <t>Douglas Fir-Incense Cedar-1</t>
  </si>
  <si>
    <t>Klamath-Siskiyou Upper Montane Serpentine Mixed Conifer Woodland</t>
  </si>
  <si>
    <t>Ponderosa Pine-Incense Cedar-1</t>
  </si>
  <si>
    <t>Douglas Fir-White Fir-Sugar Pine-1</t>
  </si>
  <si>
    <t>Ponderosa Pine-California Black Oak-1</t>
  </si>
  <si>
    <t>California Montane Jeffrey Pine(-Ponderosa Pine) Woodland</t>
  </si>
  <si>
    <t>Jeffrey Pine-1</t>
  </si>
  <si>
    <t>Red Fir-1</t>
  </si>
  <si>
    <t>Mediterranean California Mixed Evergreen Forest</t>
  </si>
  <si>
    <t>Douglas Fir-Tanoak-Pacific Madrone-1</t>
  </si>
  <si>
    <t>Northern California Coastal Scrub</t>
  </si>
  <si>
    <t>Coyote Brush-Lupine-4</t>
  </si>
  <si>
    <t>California Northern Coastal Grassland</t>
  </si>
  <si>
    <t>Tufted Hair Grass-Coastal Sedge-2</t>
  </si>
  <si>
    <t>California Montane Riparian Systems</t>
  </si>
  <si>
    <t>Black Cottonwood-Arroyo Willow-Madrone-3</t>
  </si>
  <si>
    <t>Klamath-Siskiyou Xeromorphic Serpentine Savanna and Chaparral</t>
  </si>
  <si>
    <t>Jeffery Pine-Roemers Fescue-Oatgrass-1</t>
  </si>
  <si>
    <t>Mediterranean California Subalpine Woodland</t>
  </si>
  <si>
    <t>Northern California Mesic Subalpine Woodland</t>
  </si>
  <si>
    <t>Mountain Hemlock-Lodgepole Pine-5</t>
  </si>
  <si>
    <t>California Maritime Chaparral</t>
  </si>
  <si>
    <t>Woolyleaf Manzanita-Point Reyes Ceanothus-4</t>
  </si>
  <si>
    <t>California Mesic Chaparral</t>
  </si>
  <si>
    <t>Chamise-Scrub Oak-4</t>
  </si>
  <si>
    <t>California Montane Woodland and Chaparral</t>
  </si>
  <si>
    <t>Greenleaf Manzanita-Whitethorn Ceanothus-3</t>
  </si>
  <si>
    <t>California Xeric Serpentine Chaparral</t>
  </si>
  <si>
    <t>Northern and Central California Dry-Mesic Chaparral</t>
  </si>
  <si>
    <t>Chamise-Manzanita-4</t>
  </si>
  <si>
    <t>California Coastal Live Oak Woodland and Savanna</t>
  </si>
  <si>
    <t>Coast Live Oak-California Walnut-1</t>
  </si>
  <si>
    <t>California Lower Montane Blue Oak-Foothill Pine Woodland and Savanna</t>
  </si>
  <si>
    <t>Blue Oak-California Foothill Pine-1</t>
  </si>
  <si>
    <t>California Mesic Serpentine Grassland</t>
  </si>
  <si>
    <t>Serpentine Reedgrass-Sandberg Bluegrass-2</t>
  </si>
  <si>
    <t>Mediterranean California Subalpine Meadow</t>
  </si>
  <si>
    <t>Western Yarrow-Rothrock Sage-2</t>
  </si>
  <si>
    <t>Pacific Coastal Marsh Systems</t>
  </si>
  <si>
    <t>Cattail-Spikerush-2</t>
  </si>
  <si>
    <t>California Coastal Closed-Cone Conifer Forest and Woodland</t>
  </si>
  <si>
    <t>Monterey Cypress-Shore Pine-4</t>
  </si>
  <si>
    <t>North American Warm Desert Sparsely Vegetated Systems</t>
  </si>
  <si>
    <t>Central and Southern California Mixed Evergreen Woodland</t>
  </si>
  <si>
    <t>Canyon Live Oak-Coulter Pine-1</t>
  </si>
  <si>
    <t>Great Basin Pinyon-Juniper Woodland</t>
  </si>
  <si>
    <t>Singleleaf Pinyon-Utah Juniper-3</t>
  </si>
  <si>
    <t>Mediterranean California Mesic Serpentine Woodland and Chaparral</t>
  </si>
  <si>
    <t>Sargents Cypress-LeatherOak-3</t>
  </si>
  <si>
    <t>Lodgepole Pine-3</t>
  </si>
  <si>
    <t>Mojave Mid-Elevation Mixed Desert Scrub</t>
  </si>
  <si>
    <t>Blackbrush-Jointfir-5</t>
  </si>
  <si>
    <t>Sonora-Mojave Creosotebush-White Bursage Desert Scrub</t>
  </si>
  <si>
    <t>Creosote-Bursage-5</t>
  </si>
  <si>
    <t>Sonora-Mojave Mixed Salt Desert Scrub</t>
  </si>
  <si>
    <t>Shadscale-Winterfat-5</t>
  </si>
  <si>
    <t>Southern California Coastal Scrub</t>
  </si>
  <si>
    <t>Coastal Sage-Black Sage-4</t>
  </si>
  <si>
    <t>Sonora-Mojave Semi-Desert Chaparral</t>
  </si>
  <si>
    <t>Pointleaf Manzanita-Desert Ceanothus-Birchleaf Mountain Mahogany-4</t>
  </si>
  <si>
    <t>Sonoran Paloverde-Mixed Cacti Desert Scrub</t>
  </si>
  <si>
    <t>Saguaro-Palo Verde-5</t>
  </si>
  <si>
    <t>Southern California Dry-Mesic Chaparral</t>
  </si>
  <si>
    <t>California Central Valley Mixed Oak Savanna</t>
  </si>
  <si>
    <t>Valley Oak-California Buckeye-1</t>
  </si>
  <si>
    <t>Southern California Oak Woodland and Savanna</t>
  </si>
  <si>
    <t>California Central Valley and Southern Coastal Grassland</t>
  </si>
  <si>
    <t>Purple Needlegrass-Threeawn-2</t>
  </si>
  <si>
    <t>California Central Valley Riparian Woodland and Shrubland</t>
  </si>
  <si>
    <t>Fremont Cottonwood-Boxelder-California Wild Grape-5</t>
  </si>
  <si>
    <t>North American Warm Desert Riparian Systems</t>
  </si>
  <si>
    <t>Cottonwood-Goodings Willow-Mesquite-1</t>
  </si>
  <si>
    <t>Mediterranean California Sparsely Vegetated Systems</t>
  </si>
  <si>
    <t>Rocky Mountain Aspen Forest and Woodland</t>
  </si>
  <si>
    <t>Quaking Aspen-4</t>
  </si>
  <si>
    <t>Columbia Plateau Western Juniper Woodland and Savanna</t>
  </si>
  <si>
    <t>Western Juniper-Low Sage-3</t>
  </si>
  <si>
    <t>Inter-Mountain Basins Subalpine Limber-Bristlecone Pine Woodland</t>
  </si>
  <si>
    <t>Limber Pine-Bristlecone Pine-3</t>
  </si>
  <si>
    <t>Mediterranean California Red Fir Forest - Cascades</t>
  </si>
  <si>
    <t>Red Fir-White Fir-1</t>
  </si>
  <si>
    <t>Mediterranean California Red Fir Forest - Southern Sierra</t>
  </si>
  <si>
    <t>Red Fir-Western White Pine-3</t>
  </si>
  <si>
    <t>Southern Rocky Mountain Dry-Mesic Montane Mixed Conifer Forest and Woodland</t>
  </si>
  <si>
    <t>Douglas Fir-White Fir-1</t>
  </si>
  <si>
    <t>Sierra Nevada Subalpine Lodgepole Pine Forest and Woodland - Wet</t>
  </si>
  <si>
    <t>Lodgepole Pine-Pinemat Manzanita-3</t>
  </si>
  <si>
    <t>Sierra Nevada Subalpine Lodgepole Pine Forest and Woodland - Dry</t>
  </si>
  <si>
    <t>Lodgepole Pine-Foxtail Pine-1</t>
  </si>
  <si>
    <t>Inter-Mountain Basins Aspen-Mixed Conifer Forest and Woodland</t>
  </si>
  <si>
    <t>Quaking Aspen-Subalpine Fir-Douglas Fir-3</t>
  </si>
  <si>
    <t>Inter-Mountain Basins Curl-leaf Mountain Mahogany Woodland and Shrubland</t>
  </si>
  <si>
    <t>Curlleaf Mountain Mahogany-Mountain Big Sagebrush-3</t>
  </si>
  <si>
    <t>Mediterranean California Alpine Fell-Field</t>
  </si>
  <si>
    <t>Sierra Nevada Alpine Dwarf-Shrubland</t>
  </si>
  <si>
    <t>Heather Moss-Arctic Willow-5</t>
  </si>
  <si>
    <t>Great Basin Xeric Mixed Sagebrush Shrubland</t>
  </si>
  <si>
    <t>Black Sage-Low Sage-3</t>
  </si>
  <si>
    <t>Wyoming Big Sage-Rubber Rabbitbrush-4</t>
  </si>
  <si>
    <t>Inter-Mountain Basins Mixed Salt Desert Scrub</t>
  </si>
  <si>
    <t>Great Basin Semi-Desert Chaparral</t>
  </si>
  <si>
    <t>Wyoming Big Sage-Wheatgrass-4</t>
  </si>
  <si>
    <t>Mediterranean California Alpine Dry Tundra</t>
  </si>
  <si>
    <t>Nearlyblack Sedge-Shorthair-5</t>
  </si>
  <si>
    <t>Inter-Mountain Basins Greasewood Flat</t>
  </si>
  <si>
    <t>Greasewood-Shadscale-5</t>
  </si>
  <si>
    <t>Northern Rocky Mountain Ponderosa Pine Woodland and Savanna - Xeric</t>
  </si>
  <si>
    <t>Ponderosa Pine-3</t>
  </si>
  <si>
    <t>Inter-Mountain Basins Semi-Desert Shrub-Steppe</t>
  </si>
  <si>
    <t>Spiny Hopsage-Jointfir-5</t>
  </si>
  <si>
    <t>Inter-Mountain Basins Semi-Desert Grassland</t>
  </si>
  <si>
    <t>Indian Ricegrass-Threeawn-1</t>
  </si>
  <si>
    <t>Sierran-Intermontane Desert Western White Pine-White Fir Woodland</t>
  </si>
  <si>
    <t>Western White Pine-White Fir-1</t>
  </si>
  <si>
    <t>Northern Rocky Mountain Mesic Montane Mixed Conifer Forest</t>
  </si>
  <si>
    <t>Grand Fir-Douglas Fir-Pacific Yew-3</t>
  </si>
  <si>
    <t>Columbia Basin Foothill and Canyon Dry Grassland</t>
  </si>
  <si>
    <t>Bluebunch Wheatgrass-Sandberg Bluegrass-1</t>
  </si>
  <si>
    <t>Northern Rocky Mountain Lower Montane-Foothill-Valley Grassland</t>
  </si>
  <si>
    <t>Rough Fescue-Bluebunch Wheatgrass-2</t>
  </si>
  <si>
    <t>Columbia Basin Palouse Prairie</t>
  </si>
  <si>
    <t>Bluebunch Wheatgrass-Idaho Fescue-1</t>
  </si>
  <si>
    <t>Rocky Mountain Montane Riparian Systems</t>
  </si>
  <si>
    <t>Rocky Mountain Subalpine/Upper Montane Riparian Systems</t>
  </si>
  <si>
    <t>Northern Rocky Mountain Subalpine-Upper Montane Grassland</t>
  </si>
  <si>
    <t>Green Needlegrass-Idaho Fescue-4</t>
  </si>
  <si>
    <t>Rocky Mountain Alpine Fell-Field</t>
  </si>
  <si>
    <t>Dwarf Clover-Dwarf Phlox-5</t>
  </si>
  <si>
    <t>Rocky Mountain Subalpine-Montane Mesic Meadow</t>
  </si>
  <si>
    <t>Fleabane-Lupine-4</t>
  </si>
  <si>
    <t>Northern Rocky Mountain Conifer Swamp</t>
  </si>
  <si>
    <t>Engelman Spruce-Ladyfern-5</t>
  </si>
  <si>
    <t>Douglas Fir-Idaho Fescue-1</t>
  </si>
  <si>
    <t>Middle Rocky Mountain Montane Douglas-fir Forest and Woodland</t>
  </si>
  <si>
    <t>Douglas Fir-Ninebark-3</t>
  </si>
  <si>
    <t>Northern Rocky Mountain Dry-Mesic Montane Mixed Conifer Forest - Ponderosa Pine-Douglas-fir</t>
  </si>
  <si>
    <t>Northern Rocky Mountain Dry-Mesic Montane Mixed Conifer Forest - Larch</t>
  </si>
  <si>
    <t>Western Larch-Douglas Fir-3</t>
  </si>
  <si>
    <t>Northern Rocky Mountain Dry-Mesic Montane Mixed Conifer Forest - Grand Fir</t>
  </si>
  <si>
    <t>Grand Fir-Douglas Fir-Beargrass-3</t>
  </si>
  <si>
    <t>Grand Fir-Douglas Fir-Western Red Cedar-3</t>
  </si>
  <si>
    <t>Northern Rocky Mountain Mesic Montane Mixed Conifer Forest - Cedar Groves</t>
  </si>
  <si>
    <t>Western Red Cedar-5</t>
  </si>
  <si>
    <t>Northern Rocky Mountain Ponderosa Pine Woodland and Savanna</t>
  </si>
  <si>
    <t>Engelman Spruce-Subalpine Fir-4</t>
  </si>
  <si>
    <t>Engelman Spruce-Subalpine Fir-Menziesia-4</t>
  </si>
  <si>
    <t>Rocky Mountain Alpine Dwarf-Shrubland</t>
  </si>
  <si>
    <t>Serviceberry-Common Snowberry-Rocky Mountain Maple-4</t>
  </si>
  <si>
    <t>Inter-Mountain Basins Juniper Savanna</t>
  </si>
  <si>
    <t>Western Juniper-Utah Juniper-3</t>
  </si>
  <si>
    <t>Lodgepole Pine-Kinnikinnick-5</t>
  </si>
  <si>
    <t>Southern Rocky Mountain Mesic Montane Mixed Conifer Forest and Woodland</t>
  </si>
  <si>
    <t>White Fir-Limber Pine-3</t>
  </si>
  <si>
    <t>Rocky Mountain Subalpine-Montane Limber-Bristlecone Pine Woodland</t>
  </si>
  <si>
    <t>Bristlecone Pine-3</t>
  </si>
  <si>
    <t>Rocky Mountain Alpine Turf</t>
  </si>
  <si>
    <t>Spike Sedge-Cushion Phlox-5</t>
  </si>
  <si>
    <t>Colorado Plateau Pinyon-Juniper Woodland</t>
  </si>
  <si>
    <t>Two Needle Pinyon-Utah Juniper-3</t>
  </si>
  <si>
    <t>Southern Rocky Mountain Ponderosa Pine Woodland</t>
  </si>
  <si>
    <t>Rocky Mountain Lower Montane-Foothill Shrubland</t>
  </si>
  <si>
    <t>Serviceberry-Mountain Snowberry-Rockspirea-1</t>
  </si>
  <si>
    <t>Sonoran Mid-Elevation Desert Scrub</t>
  </si>
  <si>
    <t>Ocotillo-Buckwheat-5</t>
  </si>
  <si>
    <t>Southern Colorado Plateau Sand Shrubland</t>
  </si>
  <si>
    <t>Mormon Tea-Fringed Sage-3</t>
  </si>
  <si>
    <t>Colorado Plateau Pinyon-Juniper Shrubland</t>
  </si>
  <si>
    <t>Mogollon Chaparral</t>
  </si>
  <si>
    <t>Rocky Mountain Gambel Oak-Mixed Montane Shrubland</t>
  </si>
  <si>
    <t>Gambel Oak-Serviceberry-3</t>
  </si>
  <si>
    <t>Southern Rocky Mountain Ponderosa Pine Savanna</t>
  </si>
  <si>
    <t>North American Warm Desert Riparian Systems - Stringers</t>
  </si>
  <si>
    <t>Goodings Willow-Velvet Ash-Acacia-5</t>
  </si>
  <si>
    <t>Madrean Encinal</t>
  </si>
  <si>
    <t>Arizona Pine-Emory Oak-1</t>
  </si>
  <si>
    <t>Madrean Lower Montane Pine-Oak Forest and Woodland</t>
  </si>
  <si>
    <t>Madrean Pinyon-Juniper Woodland</t>
  </si>
  <si>
    <t>Alligator Juniper-Emory Oak-3</t>
  </si>
  <si>
    <t>Sonoran Granite Outcrop Desert Scrub</t>
  </si>
  <si>
    <t>Jatropha-Elephant Tree-5</t>
  </si>
  <si>
    <t>Apacherian-Chihuahuan Semi-Desert Grassland and Steppe</t>
  </si>
  <si>
    <t>Grama-Creosote-2</t>
  </si>
  <si>
    <t>Madrean Upper Montane Conifer-Oak Forest and Woodland</t>
  </si>
  <si>
    <t>Douglas Fir-Silverleaf Oak-1</t>
  </si>
  <si>
    <t>Douglas Fir-White Fir-3</t>
  </si>
  <si>
    <t>Engelman Spruce-Subalpine Fir-Menziesia-5</t>
  </si>
  <si>
    <t>Chihuahuan Succulent Desert Scrub</t>
  </si>
  <si>
    <t>Ocotillo-Cactus-4</t>
  </si>
  <si>
    <t>Mountain Big Sage-Bitterbrush-3</t>
  </si>
  <si>
    <t>Chihuahuan Mixed Desert and Thorn Scrub</t>
  </si>
  <si>
    <t>Acacia-Creosote-5</t>
  </si>
  <si>
    <t>Madrean Juniper Savanna</t>
  </si>
  <si>
    <t>Sand Sage-Jointfir-3</t>
  </si>
  <si>
    <t>Southern Rocky Mountain Montane-Subalpine Grassland</t>
  </si>
  <si>
    <t>Arizona Fescue-Mountain Muhly-1</t>
  </si>
  <si>
    <t>Rocky Mountain Bigtooth Maple Ravine Woodland</t>
  </si>
  <si>
    <t>Rocky Mountain Maple-Gambel Oak-3</t>
  </si>
  <si>
    <t>Rocky Mountain Foothill Limber Pine-Juniper Woodland</t>
  </si>
  <si>
    <t>Limber Pine-Rocky Mountain Juniper-3</t>
  </si>
  <si>
    <t>Rocky Mountain Lodgepole Pine Forest</t>
  </si>
  <si>
    <t>Lodgepole Pine-4</t>
  </si>
  <si>
    <t>Engelman Spruce-Subalpine Fir-5</t>
  </si>
  <si>
    <t>Inter-Mountain Basins Aspen-Mixed Conifer Forest and Woodland - Low Elevation</t>
  </si>
  <si>
    <t>Inter-Mountain Basins Aspen-Mixed Conifer Forest and Woodland - High Elevation</t>
  </si>
  <si>
    <t>Colorado Plateau Mixed Low Sagebrush Shrubland</t>
  </si>
  <si>
    <t>Bigelow Sage-Low Sage-4</t>
  </si>
  <si>
    <t>Colorado Plateau Blackbrush-Mormon-tea Shrubland</t>
  </si>
  <si>
    <t>Blackbrush-Mormon Tea-3</t>
  </si>
  <si>
    <t>Rocky Mountain Gambel Oak-Mixed Montane Shrubland  - Continuous</t>
  </si>
  <si>
    <t>Rocky Mountain Gambel Oak-Mixed Montane Shrubland - Patchy</t>
  </si>
  <si>
    <t>Inter-Mountain Basins Montane Sagebrush Steppe - Mountain Big Sagebrush</t>
  </si>
  <si>
    <t>Inter-Mountain Basins Montane Sagebrush Steppe - Low Sagebrush</t>
  </si>
  <si>
    <t>Low Sage-Black Sage-Silver Sage-5</t>
  </si>
  <si>
    <t>Northwestern Great Plains Aspen Forest and Parkland</t>
  </si>
  <si>
    <t>Quaking Aspen-Paper Birch-4</t>
  </si>
  <si>
    <t>Middle Rocky Mountain Montane Douglas-fir Forest and Woodland - Fire-maintained Savanna</t>
  </si>
  <si>
    <t>Western Great Plains Sparsely Vegetated Systems</t>
  </si>
  <si>
    <t>Northern Rocky Mountain Dry-Mesic Montane Mixed Conifer Forest - Lodgepole Pine</t>
  </si>
  <si>
    <t>Lodgepole Pine-Douglas Fir-3</t>
  </si>
  <si>
    <t>Northwestern Great Plains Shrubland</t>
  </si>
  <si>
    <t>Snowberry-Skunkbrush-2</t>
  </si>
  <si>
    <t>Northwestern Great Plains Mixedgrass Prairie</t>
  </si>
  <si>
    <t>Bluebunch Wheatgrass-Big Bluestem-Little Bluestem-2</t>
  </si>
  <si>
    <t>Western Great Plains Sand Prairie</t>
  </si>
  <si>
    <t>Sand Bluestem-Prairie Sandreed-2</t>
  </si>
  <si>
    <t>Western Great Plains Floodplain Systems</t>
  </si>
  <si>
    <t>Eastern Cottonwood-Sandbar Willow-Green Ash-3</t>
  </si>
  <si>
    <t>Western Great Plains Wooded Draw and Ravine</t>
  </si>
  <si>
    <t>Western Great Plains Depressional Wetland Systems</t>
  </si>
  <si>
    <t>Western Wheatgrass-Needle Spikerush-2</t>
  </si>
  <si>
    <t>Inter-Mountain Basins Big Sagebrush Shrubland - Basin Big Sagebrush</t>
  </si>
  <si>
    <t>Basin Big Sage-Greasewood-4</t>
  </si>
  <si>
    <t>Inter-Mountain Basins Big Sagebrush Shrubland - Wyoming Big Sagebrush</t>
  </si>
  <si>
    <t>Wyoming Big Sage-Indian Ricegrass-4</t>
  </si>
  <si>
    <t>Bluebunch Wheatgrass-Idaho Fescue-2</t>
  </si>
  <si>
    <t>Inter-Mountain Basins Mat Saltbush Shrubland</t>
  </si>
  <si>
    <t>Mat Saltbush-5</t>
  </si>
  <si>
    <t>Wyoming Basins Dwarf Sagebrush Shrubland and Steppe</t>
  </si>
  <si>
    <t>Wyoming Threetip Sage-Low Sage-5</t>
  </si>
  <si>
    <t>Rocky Mountain Lower Montane-Foothill Shrubland - No True Mountain Mahogany</t>
  </si>
  <si>
    <t>Serviceberry-Bitterbrush-4</t>
  </si>
  <si>
    <t>Rocky Mountain Lower Montane-Foothill Shrubland - True Mountain Mahogany</t>
  </si>
  <si>
    <t>Alderleaf Mountain Mahogany-Bluebunch Wheatgrass-4</t>
  </si>
  <si>
    <t>Southern Rocky Mountain Pinyon-Juniper Woodland</t>
  </si>
  <si>
    <t>Two Needle Pinyon-Rocky Mountain Juniper-3</t>
  </si>
  <si>
    <t>Southern Rocky Mountain Juniper Woodland and Savanna</t>
  </si>
  <si>
    <t>Two Needle Pinyon-Rocky Mountain Juniper-1</t>
  </si>
  <si>
    <t>Chihuahuan Creosotebush Desert Scrub</t>
  </si>
  <si>
    <t>Creosote-Tarwort-5</t>
  </si>
  <si>
    <t>Chihuahuan Mixed Salt Desert Scrub</t>
  </si>
  <si>
    <t>Fourwing Saltbrush-Horsebrush-5</t>
  </si>
  <si>
    <t>Western Great Plains Sandhill Steppe</t>
  </si>
  <si>
    <t>Sand Sagebrush-Shinnery-4</t>
  </si>
  <si>
    <t>Chihuahuan Mixed Desert Shrubland</t>
  </si>
  <si>
    <t>Chihuahuan Grama Grass-Creosote Steppe</t>
  </si>
  <si>
    <t>Madrean Oriental Chaparral</t>
  </si>
  <si>
    <t>Chihuahuan Gypsophilous Grassland and Steppe</t>
  </si>
  <si>
    <t>Alkali Sacaton-Gypsum Grama-5</t>
  </si>
  <si>
    <t>Chihuahuan Sandy Plains Semi-Desert Grassland</t>
  </si>
  <si>
    <t>Indian Ricegrass-Black Grama-5</t>
  </si>
  <si>
    <t>Western Great Plains Shortgrass Prairie</t>
  </si>
  <si>
    <t>Blue Grama-Buffalo Grass-2</t>
  </si>
  <si>
    <t>Alkali Sacaton-Vine Mesquite-5</t>
  </si>
  <si>
    <t>Chihuahuan Loamy Plains Desert Grassland</t>
  </si>
  <si>
    <t>Tobosagrass-Black Grama-2</t>
  </si>
  <si>
    <t>Chihuahuan-Sonoran Desert Bottomland and Swale Grassland</t>
  </si>
  <si>
    <t>Tobosagrass-Alkali Sacaton-2</t>
  </si>
  <si>
    <t>Chihuahuan Stabilized Coppice Dune and Sand Flat Scrub</t>
  </si>
  <si>
    <t>Mesquite-Fourwing Saltbush-5</t>
  </si>
  <si>
    <t>Alderleaf Mountain Mahogany-Wavyleaf Oak-Sideoats Grama-4</t>
  </si>
  <si>
    <t>Apacherian-Chihuahuan Mesquite Upland Scrub</t>
  </si>
  <si>
    <t>Mesquite-2</t>
  </si>
  <si>
    <t>Western Great Plains Mesquite Woodland and Shrubland</t>
  </si>
  <si>
    <t>Mesquite-Little Bluestem-Sideoats Grama-1</t>
  </si>
  <si>
    <t>Desert Willow-Arizona Sycamore-5</t>
  </si>
  <si>
    <t>Edwards Plateau Limestone Shrubland</t>
  </si>
  <si>
    <t>Sandpaper Oak-Pinchots Juniper-1</t>
  </si>
  <si>
    <t>Western Great Plains Depressional Wetland Systems - Playa</t>
  </si>
  <si>
    <t>Buffalo Grass-Blue Grama-2</t>
  </si>
  <si>
    <t>Chihuahuan-Sonoran Desert Bottomland and Swale Grassland - Tobosa Grassland</t>
  </si>
  <si>
    <t>Tobosagrass-Tree Cholla-2</t>
  </si>
  <si>
    <t>Chihuahuan-Sonoran Desert Bottomland and Swale Grassland - Alkali Sacaton</t>
  </si>
  <si>
    <t>Alakali Sacaton-Tobosa-2</t>
  </si>
  <si>
    <t>Southern Rocky Mountain Ponderosa Pine Woodland - South</t>
  </si>
  <si>
    <t>Southern Rocky Mountain Ponderosa Pine Woodland - North</t>
  </si>
  <si>
    <t>Inter-Mountain Basins Mixed Salt Desert Scrub - South</t>
  </si>
  <si>
    <t>Inter-Mountain Basins Mixed Salt Desert Scrub - North</t>
  </si>
  <si>
    <t>Southern Rocky Mountain Ponderosa Pine Savanna - South</t>
  </si>
  <si>
    <t>Ponderosa Pine-Sand Bluestem-1</t>
  </si>
  <si>
    <t>Southern Rocky Mountain Ponderosa Pine Savanna - North</t>
  </si>
  <si>
    <t>Western Great Plains Foothill and Piedmont Grassland</t>
  </si>
  <si>
    <t>Big Bluestem-Little Bluestem-Mountain Muhly-2</t>
  </si>
  <si>
    <t>Northwestern Great Plains Highland White Spruce Woodland</t>
  </si>
  <si>
    <t>White Spruce-1</t>
  </si>
  <si>
    <t>Northwestern Great Plains-Black Hills Ponderosa Pine Woodland and Savanna - Low Elevation Woodland</t>
  </si>
  <si>
    <t>Ponderosa Pine-Bur Oak-1</t>
  </si>
  <si>
    <t>Northwestern Great Plains-Black Hills Ponderosa Pine Woodland and Savanna - Savanna</t>
  </si>
  <si>
    <t>Ponderosa Pine-Fragrant Sumac-1</t>
  </si>
  <si>
    <t>Great Plains Prairie Pothole</t>
  </si>
  <si>
    <t>Woolyfruit Sedge-Spikerush-Western Wheatgrass-4</t>
  </si>
  <si>
    <t>Western Great Plains Dry Bur Oak Forest and Woodland</t>
  </si>
  <si>
    <t>Bur Oak-Chokecherry-1</t>
  </si>
  <si>
    <t>Central Mixedgrass Prairie</t>
  </si>
  <si>
    <t>Western Great Plains Tallgrass Prairie</t>
  </si>
  <si>
    <t>Northwestern Great Plains-Black Hills Ponderosa Pine Woodland and Savanna</t>
  </si>
  <si>
    <t>Central Tallgrass Prairie</t>
  </si>
  <si>
    <t>Big Bluestem-Switchgrass-2</t>
  </si>
  <si>
    <t>Eastern Great Plains Floodplain Systems</t>
  </si>
  <si>
    <t>Eastern Cottonwood-Green Ash-Ginger-3</t>
  </si>
  <si>
    <t>American Sycamore-Cedar Elm-Texas Ash-1</t>
  </si>
  <si>
    <t>Ozark-Ouachita Dry-Mesic Oak Forest</t>
  </si>
  <si>
    <t>White Oak-Red Oak-Sugar Maple-1</t>
  </si>
  <si>
    <t>Crosstimbers Oak Forest and Woodland</t>
  </si>
  <si>
    <t>Post Oak-Blackjack Oak-Big Bluestem-1</t>
  </si>
  <si>
    <t>West Gulf Coastal Plain Mesic Hardwood Forest</t>
  </si>
  <si>
    <t>Beech-White Oak-Red Oak-1</t>
  </si>
  <si>
    <t>Ozark-Ouachita Mesic Hardwood Forest</t>
  </si>
  <si>
    <t>White Oak-Sugar Maple-Cucumber Tree-1</t>
  </si>
  <si>
    <t>Ozark-Ouachita Dry Oak Woodland</t>
  </si>
  <si>
    <t>Post Oak-Blackjack Oak-Farkleberry-1</t>
  </si>
  <si>
    <t>Ozark-Ouachita Shortleaf Pine-Oak Forest and Woodland</t>
  </si>
  <si>
    <t>Shortleaf Pine-White Oak-Post Oak-1</t>
  </si>
  <si>
    <t>West Gulf Coastal Plain Pine-Hardwood Forest</t>
  </si>
  <si>
    <t>Shortleaf Pine-Loblolly Pine-White Oak-1</t>
  </si>
  <si>
    <t>Edwards Plateau Limestone Savanna and Woodland</t>
  </si>
  <si>
    <t>Texas Live Oak-Buckleys Oak-Little Bluestem-1</t>
  </si>
  <si>
    <t>Southern Blackland Tallgrass Prairie</t>
  </si>
  <si>
    <t>Little Bluestem-Indiangrass--2</t>
  </si>
  <si>
    <t>Southeastern Great Plains Tallgrass Prairie</t>
  </si>
  <si>
    <t>Big Bluestem-Little Bluestem-Indiangrass-2</t>
  </si>
  <si>
    <t>Central Interior and Appalachian Floodplain Systems</t>
  </si>
  <si>
    <t>Pecan-American Sycamore-Schumards Oak-1</t>
  </si>
  <si>
    <t>Central Interior and Appalachian Riparian Systems</t>
  </si>
  <si>
    <t>Sugarberry-Bur Oak-Green Ash-1</t>
  </si>
  <si>
    <t>Gulf and Atlantic Coastal Plain Floodplain Systems</t>
  </si>
  <si>
    <t>Water Oak-American Elm-Swampprivet-3</t>
  </si>
  <si>
    <t>Gulf and Atlantic Coastal Plain Small Stream Riparian Systems</t>
  </si>
  <si>
    <t>Loblolly Pine-Southern Magnolia-Cypress-1</t>
  </si>
  <si>
    <t>East-Central Texas Plains Post Oak Savanna and Woodland</t>
  </si>
  <si>
    <t>Big Bluestem-Little Bluestem-Post Oak-1</t>
  </si>
  <si>
    <t>Edwards Plateau Dry-Mesic Slope Forest and Woodland</t>
  </si>
  <si>
    <t>Ashes Juniper-Buckley Oak-Texas Ash-1</t>
  </si>
  <si>
    <t>Northwestern Great Plains Canyon</t>
  </si>
  <si>
    <t>Oneseed Juniper-Pinchots Juniper-3</t>
  </si>
  <si>
    <t>Western Great Plains Depressional Wetland Systems - Saline</t>
  </si>
  <si>
    <t>Alkali Sacaton-Saltgrass-2</t>
  </si>
  <si>
    <t>East-Central Texas Plains Southern Pine Forest and Woodland</t>
  </si>
  <si>
    <t>Loblolly Pine- Post Oak-Big Bluestem-1</t>
  </si>
  <si>
    <t>Tamaulipan Mixed Deciduous Thornscrub</t>
  </si>
  <si>
    <t>Mesquite-Lime Pricklyash-2</t>
  </si>
  <si>
    <t>Tamaulipan Calcareous Thornscrub</t>
  </si>
  <si>
    <t>Texas Barometer Bush-Guajillo-5</t>
  </si>
  <si>
    <t>Llano Uplift Acidic Forest-Woodland-Glade</t>
  </si>
  <si>
    <t>Live Oak-Post Oak-Little Bluestem-1</t>
  </si>
  <si>
    <t>Tobosagrass-Buffalograss-Whiteray Leastdaisy-2</t>
  </si>
  <si>
    <t>Edwards Plateau Mesic Canyon</t>
  </si>
  <si>
    <t>Buckley Oak-Bigtooth Maple-Black Cherry-3</t>
  </si>
  <si>
    <t>Edwards Plateau Riparian</t>
  </si>
  <si>
    <t>American Sycamore-Cedar Elm-Bushy Bluestem-1</t>
  </si>
  <si>
    <t>Central and South Texas Coastal Fringe Forest and Woodland</t>
  </si>
  <si>
    <t>Live Oak-Seacoast Bluestem-3</t>
  </si>
  <si>
    <t>West Gulf Coastal Plain Chenier and Upper Texas Coastal Fringe Forest and Woodland</t>
  </si>
  <si>
    <t>Live Oak-Sugarberry-Hercules Club-1</t>
  </si>
  <si>
    <t>Texas-Louisiana Coastal Prairie</t>
  </si>
  <si>
    <t>Big Bluestem-Indiangrass-Brownseed Paspalum-2</t>
  </si>
  <si>
    <t>Central and Upper Texas Coast Dune and Coastal Grassland</t>
  </si>
  <si>
    <t>Shore Little Bluestem-Gulf Cordgrass-2</t>
  </si>
  <si>
    <t>Tamaulipan Savanna Grassland</t>
  </si>
  <si>
    <t>Little Bluestem-Multiflower False Rhodes Grass-Mesquite-2</t>
  </si>
  <si>
    <t>South Texas Lomas</t>
  </si>
  <si>
    <t>Texas Ebony-Berlandiers Fiddlewood-5</t>
  </si>
  <si>
    <t>Tamaulipan Clay Grassland</t>
  </si>
  <si>
    <t>Little Bluestem-Multiflower False Rhodes Grass-2</t>
  </si>
  <si>
    <t>South Texas Sand Sheet Grassland</t>
  </si>
  <si>
    <t>Shore Little Bluestem-Live Oak-2</t>
  </si>
  <si>
    <t>Tamaulipan Floodplain</t>
  </si>
  <si>
    <t>Sugarberry-Lollipop Mimosa-1</t>
  </si>
  <si>
    <t>Cedar Elm-Hackberry-Green Ash-1</t>
  </si>
  <si>
    <t>Tamaulipan Riparian Systems</t>
  </si>
  <si>
    <t>Mexican Ash-Texas Ebony-1</t>
  </si>
  <si>
    <t>Gulf and Atlantic Coastal Plain Swamp Systems</t>
  </si>
  <si>
    <t>Bald Cypress-Atlantic White Cedar-Red Maple-5</t>
  </si>
  <si>
    <t>Texas-Louisiana Saline Coastal Prairie</t>
  </si>
  <si>
    <t>Little Bluestem-Gulf Cordgrass-2</t>
  </si>
  <si>
    <t>Gulf and Atlantic Coastal Plain Tidal Marsh Systems</t>
  </si>
  <si>
    <t>Saltmeadow Cordgrass-Saltgrass-Gulf Cordgrass-2</t>
  </si>
  <si>
    <t>West Gulf Coastal Plain Upland Longleaf Pine Forest and Woodland</t>
  </si>
  <si>
    <t>Longleaf Pine-Broomsedge Bluestem-Little Bluestem-1</t>
  </si>
  <si>
    <t>West Gulf Coastal Plain Sandhill Oak and Shortleaf Pine Forest and Woodland</t>
  </si>
  <si>
    <t>Runner Oak-Shortleaf Pine-Little Bluestem-1</t>
  </si>
  <si>
    <t>West Gulf Coastal Plain Northern Calcareous Prairie</t>
  </si>
  <si>
    <t>Little Bluestem-Indiangrass-Post Oak-1</t>
  </si>
  <si>
    <t>West Gulf Coastal Plain Southern Calcareous Prairie</t>
  </si>
  <si>
    <t>Little Bluestem-Indiangrass-Eastern Redcedar-2</t>
  </si>
  <si>
    <t>West Gulf Coastal Plain Wet Longleaf Pine Savanna and Flatwoods</t>
  </si>
  <si>
    <t>Longleaf Pine-Slash Pine-Saw Palmetto-1</t>
  </si>
  <si>
    <t>West Gulf Coastal Plain Pine-Hardwood Flatwoods</t>
  </si>
  <si>
    <t>Loblolly Pine-Southern Red Oak-1</t>
  </si>
  <si>
    <t>West Gulf Coastal Plain Nonriverine Wet Hardwood Flatwoods</t>
  </si>
  <si>
    <t>Willow Oak-Overcup Oak-3</t>
  </si>
  <si>
    <t>North-Central Interior Dry-Mesic Oak Forest and Woodland</t>
  </si>
  <si>
    <t>White Oak-Black Oak-Mockernut Hickory-1</t>
  </si>
  <si>
    <t>North-Central Interior Maple-Basswood Forest</t>
  </si>
  <si>
    <t>Sugar Maple-Beech-Basswood-5</t>
  </si>
  <si>
    <t>Eastern Great Plains Wet Meadow-Prairie-Marsh</t>
  </si>
  <si>
    <t>North-Central Interior Dry Oak Forest and Woodland</t>
  </si>
  <si>
    <t>Eastern Great Plains Tallgrass Aspen Parkland</t>
  </si>
  <si>
    <t>QuakingAspen-Balsam Poplar-Big Bluestem-1</t>
  </si>
  <si>
    <t>North-Central Interior Oak Savanna</t>
  </si>
  <si>
    <t>White Oak-Bur Oak-Big Bluestem-1</t>
  </si>
  <si>
    <t>North-Central Interior Sand and Gravel Tallgrass Prairie</t>
  </si>
  <si>
    <t>Little Bluestem-Sideoats Grama-2</t>
  </si>
  <si>
    <t>Northern Tallgrass Prairie</t>
  </si>
  <si>
    <t>Boreal Aspen-Birch Forest</t>
  </si>
  <si>
    <t>White Spruce-Aspen-Paper Birch-3</t>
  </si>
  <si>
    <t>Laurentian-Acadian Northern Hardwoods Forest</t>
  </si>
  <si>
    <t>Sugar Maple-Eastern Hemlock-5</t>
  </si>
  <si>
    <t>Boreal White Spruce-Fir-Hardwood Forest - Inland</t>
  </si>
  <si>
    <t>White Spruce-Balsam Fir-Eastern White Pine-5</t>
  </si>
  <si>
    <t>Boreal Acidic Peatland Systems</t>
  </si>
  <si>
    <t>Black Spruce-Tamarack-Sphagnum-3</t>
  </si>
  <si>
    <t>Laurentian-Acadian Northern Hardwoods Forest - Hemlock</t>
  </si>
  <si>
    <t>Boreal Jack Pine-Black Spruce Forest</t>
  </si>
  <si>
    <t>Jack Pine-Black Spruce-4</t>
  </si>
  <si>
    <t>Laurentian-Acadian Northern Pine(-Oak) Forest</t>
  </si>
  <si>
    <t>Red Pine-White Pine-White Oak-3</t>
  </si>
  <si>
    <t>Laurentian-Acadian Northern Pine Forest</t>
  </si>
  <si>
    <t>Red Pine-White Pine-Balsam Fir-1</t>
  </si>
  <si>
    <t>Boreal White Spruce-Fir-Hardwood Forest - Coastal</t>
  </si>
  <si>
    <t>White Spruce-Balsam Fir-Northern White Cedar-5</t>
  </si>
  <si>
    <t>Boreal White Spruce-Fir-Hardwood Forest - Aspen-Birch</t>
  </si>
  <si>
    <t>North-Central Oak Barrens</t>
  </si>
  <si>
    <t>Black Oak-Northern Pin Oak-Little Bluestem-1</t>
  </si>
  <si>
    <t>Laurentian Pine-Oak Barrens</t>
  </si>
  <si>
    <t>White Oak-White Pine-Pennsylvania Sedge-1</t>
  </si>
  <si>
    <t>Laurentian-Acadian Jack Pine Barrens and Forest</t>
  </si>
  <si>
    <t>Jack Pine-Pennsylvania Sedge-1</t>
  </si>
  <si>
    <t>Eastern Boreal Floodplain</t>
  </si>
  <si>
    <t>Black Ash-Balsam Poplar-Balsam Fir-3</t>
  </si>
  <si>
    <t>Silver Maple-American Sycamore-Black Willow-3</t>
  </si>
  <si>
    <t>Laurentian-Acadian Floodplain Systems</t>
  </si>
  <si>
    <t>Silver Maple-Green Ash-Black Ash-3</t>
  </si>
  <si>
    <t>Central Interior and Appalachian Swamp Systems</t>
  </si>
  <si>
    <t>Red Maple-Black Ash-Blackgum-5</t>
  </si>
  <si>
    <t>Laurentian-Acadian Alkaline Conifer-Hardwood Swamp</t>
  </si>
  <si>
    <t>Northern White Cedar-5</t>
  </si>
  <si>
    <t>Great Lakes Coastal Marsh Systems</t>
  </si>
  <si>
    <t>Common Threesquare-Hardstem Bulrush-5</t>
  </si>
  <si>
    <t>Central Interior and Appalachian Shrub-Herbaceous Wetland Systems</t>
  </si>
  <si>
    <t>Upright Sedge-Bluejoint Grass-2</t>
  </si>
  <si>
    <t>Laurentian-Acadian Shrub-Herbaceous Wetland Systems</t>
  </si>
  <si>
    <t>American Sycamore-Silver Maple-3</t>
  </si>
  <si>
    <t>Paleozoic Plateau Bluff and Talus</t>
  </si>
  <si>
    <t>Eastern Redcedar-White Oak-Sideoats Grama-2</t>
  </si>
  <si>
    <t>Central Interior Highlands Calcareous Glade and Barrens</t>
  </si>
  <si>
    <t>Little Bluestem-Big Bluestem-Rosinweed-1</t>
  </si>
  <si>
    <t>North-Central Interior Wet Flatwoods</t>
  </si>
  <si>
    <t>Pin Oak-Swamp White Oak-Maple-5</t>
  </si>
  <si>
    <t>Ouachita Montane Oak Forest</t>
  </si>
  <si>
    <t>Arkansas Valley Prairie and Woodland - Prairie</t>
  </si>
  <si>
    <t>Little Bluestem-Indiangrass-Switchgrass-2</t>
  </si>
  <si>
    <t>Arkansas Valley Prairie and Woodland - Woodland</t>
  </si>
  <si>
    <t>Little Bluestem-Indiangrass-1</t>
  </si>
  <si>
    <t>South-Central Interior Large Floodplain</t>
  </si>
  <si>
    <t>American Sycamore-River Birch-Sugarberry-3</t>
  </si>
  <si>
    <t>River Birch-American Sycamore-3</t>
  </si>
  <si>
    <t>Ozark-Ouachita Shortleaf Pine-Bluestem Woodland</t>
  </si>
  <si>
    <t>Shortleaf Pine-Post Oak-Big Bluestem-1</t>
  </si>
  <si>
    <t>Southern Crowley`s Ridge Mesic Loess Slope Forest</t>
  </si>
  <si>
    <t>Beech-Tuliptree-3</t>
  </si>
  <si>
    <t>East Gulf Coastal Plain Northern Loess Bluff Forest</t>
  </si>
  <si>
    <t>Beech-White Oak-Cucumber Tree-3</t>
  </si>
  <si>
    <t>East Gulf Coastal Plain Southern Loess Bluff Forest</t>
  </si>
  <si>
    <t>Cherrybark Oak-Sweetgum-Beech-3</t>
  </si>
  <si>
    <t>Lower Mississippi River Dune Woodland and Forest</t>
  </si>
  <si>
    <t>Post Oak-Sassafras-Pondberry-1</t>
  </si>
  <si>
    <t>Lower Mississippi Alluvial Plain Grand Prairie</t>
  </si>
  <si>
    <t>Big Bluestem-Switchgrass-1</t>
  </si>
  <si>
    <t>Willow Oak-Water Oak-American Elm-3</t>
  </si>
  <si>
    <t>Mississippi River Alluvial Plain Dry-Mesic Loess Slope Forest</t>
  </si>
  <si>
    <t>Northern Crowley`s Ridge Sand Forest</t>
  </si>
  <si>
    <t>Lower Mississippi River Flatwoods</t>
  </si>
  <si>
    <t>East Gulf Coastal Plain Northern Dry Upland Hardwood Forest</t>
  </si>
  <si>
    <t>White Oak-Post Oak-Hickory-1</t>
  </si>
  <si>
    <t>East Gulf Coastal Plain Northern Mesic Hardwood Slope Forest</t>
  </si>
  <si>
    <t>Beech-Cherrybark Oak-Tulip Tree-3</t>
  </si>
  <si>
    <t>East Gulf Coastal Plain Limestone Forest</t>
  </si>
  <si>
    <t>Post Oak-Chinquapin Oak-Shortleaf Pine-1</t>
  </si>
  <si>
    <t>Southern Coastal Plain Dry Upland Hardwood Forest</t>
  </si>
  <si>
    <t>East Gulf Coastal Plain Interior Upland Longleaf Pine Woodland</t>
  </si>
  <si>
    <t>Longleaf Pine-Pineland Threeawn-Beyrich Threeawn-1</t>
  </si>
  <si>
    <t>Southern Appalachian Low-Elevation Pine Forest</t>
  </si>
  <si>
    <t>Virginia Pine-Shortleaf Pine-1</t>
  </si>
  <si>
    <t>Southern Coastal Plain Mesic Slope Forest</t>
  </si>
  <si>
    <t>Southern Piedmont Dry Oak(-Pine) Forest</t>
  </si>
  <si>
    <t>White Oak-Southern Red Oak-Shortleaf Pine-1</t>
  </si>
  <si>
    <t>East Gulf Coastal Plain Interior Shortleaf Pine-Oak Forest</t>
  </si>
  <si>
    <t>Shortleaf Pine-Oaks-1</t>
  </si>
  <si>
    <t>Southern Coastal Plain Blackland Prairie and Woodland</t>
  </si>
  <si>
    <t>Post Oak-Eastern Redcedar-Little Bluestem-1</t>
  </si>
  <si>
    <t>East Gulf Coastal Plain Southern Loblolly-Hardwood Flatwoods</t>
  </si>
  <si>
    <t>Loblolly Pine-Willow Oak-1</t>
  </si>
  <si>
    <t>Southern Coastal Plain Seepage Swamp and Baygall</t>
  </si>
  <si>
    <t>Sweetbay-Swamp Tupelo-Swamp Bay-3</t>
  </si>
  <si>
    <t>Atlantic Coastal Plain Streamhead Seepage Swamp-Pocosin-Baygall</t>
  </si>
  <si>
    <t>Pond Pine-Swamp Tupelo-1</t>
  </si>
  <si>
    <t>American Sycamore-Sugarberry-Pine-3</t>
  </si>
  <si>
    <t>Southern Interior Low Plateau Dry-Mesic Oak Forest</t>
  </si>
  <si>
    <t>White Oak-Black Oak-Chestnut Oak-2</t>
  </si>
  <si>
    <t>East Gulf Coastal Plain Northern Loess Plain Oak-Hickory Upland</t>
  </si>
  <si>
    <t>North-Central Interior Beech-Maple Forest</t>
  </si>
  <si>
    <t>South-Central Interior Mesophytic Forest</t>
  </si>
  <si>
    <t>Sugar Maple-Beech-Basswood-3</t>
  </si>
  <si>
    <t>South-Central Interior/Upper Coastal Plain Flatwoods</t>
  </si>
  <si>
    <t>White Oak-Post Oak-Sweetgum-1</t>
  </si>
  <si>
    <t>Central Interior Highlands Dry Acidic Glade and Barrens</t>
  </si>
  <si>
    <t>Post Oak-Blackjack Oak-Black Hickory-1</t>
  </si>
  <si>
    <t>Bluegrass Savanna and Woodland</t>
  </si>
  <si>
    <t>Bur Oak-Chinquapin Oak-Virginia Wildrye-1</t>
  </si>
  <si>
    <t>Pennyroyal Karst Plain Prairie and Barrens</t>
  </si>
  <si>
    <t>Little Bluestem-Indiangrass-Southern Red Oak-2</t>
  </si>
  <si>
    <t>East Gulf Coastal Plain Jackson Plain Prairie and Barrens</t>
  </si>
  <si>
    <t>White Oak-Post Oak- Big Bluestem-1</t>
  </si>
  <si>
    <t>South-Central Interior/Upper Coastal Plain Wet Flatwoods</t>
  </si>
  <si>
    <t>Post Oak-Cherrybark Oak-Woodoats-1</t>
  </si>
  <si>
    <t>Southern Appalachian Oak Forest</t>
  </si>
  <si>
    <t>Chestnut Oak-White Oak-Chestnut-1</t>
  </si>
  <si>
    <t>Allegheny-Cumberland Dry Oak Forest and Woodland</t>
  </si>
  <si>
    <t>White Oak-Southern Red Oak-Chestnut-1</t>
  </si>
  <si>
    <t>Southern and Central Appalachian Cove Forest</t>
  </si>
  <si>
    <t>Beech-Basswood-Yellow Buckeye-3</t>
  </si>
  <si>
    <t>Central and Southern Appalachian Montane Oak Forest</t>
  </si>
  <si>
    <t>Red Oak-Chestnut-Black Birch-1</t>
  </si>
  <si>
    <t>Southeastern Interior Longleaf Pine Woodland</t>
  </si>
  <si>
    <t>Longleaf Pine-Southern Red Oak-Little Bluestem-1</t>
  </si>
  <si>
    <t>Southern Ridge and Valley/Cumberland Dry Calcareous Forest</t>
  </si>
  <si>
    <t>Post Oak-White Oak-Eastern Redcedar-1</t>
  </si>
  <si>
    <t>Nashville Basin Limestone Glade and Woodland</t>
  </si>
  <si>
    <t>Dropseed-Little Bluestem-Post Oak-1</t>
  </si>
  <si>
    <t>Alabama Ketona Glade and Woodland</t>
  </si>
  <si>
    <t>Little Bluestem-Rosinweed-Chinquapin Oak-1</t>
  </si>
  <si>
    <t>Western Highland Rim Prairie and Barrens</t>
  </si>
  <si>
    <t>Eastern Highland Rim Prairie and Barrens</t>
  </si>
  <si>
    <t>Post Oak-Blackjack Oak-Persimmon-1</t>
  </si>
  <si>
    <t>Great Lakes Wet-Mesic Lakeplain Prairie</t>
  </si>
  <si>
    <t>Upright Sedge-Little Bluestem-Common Mountain Mint-2</t>
  </si>
  <si>
    <t>Pin Oak-Cherrybark Oak-Elm-1</t>
  </si>
  <si>
    <t>Great Lakes Wooded Dune and Swale</t>
  </si>
  <si>
    <t>Beachgrass-Northern White Cedar-5</t>
  </si>
  <si>
    <t>Laurentian-Acadian Pine-Hemlock-Hardwood Forest</t>
  </si>
  <si>
    <t>Eastern Hemlock-White Pine-Yellow Birch-3</t>
  </si>
  <si>
    <t>Great Lakes Alvar</t>
  </si>
  <si>
    <t>Common Juniper-Richardsons Sedge-Povertygrass-5</t>
  </si>
  <si>
    <t>Northern Sugar Maple-Basswood Forest</t>
  </si>
  <si>
    <t>Great Lakes Pine Barrens</t>
  </si>
  <si>
    <t>Jack Pine-1</t>
  </si>
  <si>
    <t>Great Lakes Spruce-Fir</t>
  </si>
  <si>
    <t>Black Spruce-White Spruce-Balsam Fir-4</t>
  </si>
  <si>
    <t>Boreal Acid Peatland Systems</t>
  </si>
  <si>
    <t>Southern Appalachian Northern Hardwood Forest</t>
  </si>
  <si>
    <t>Sugar Maple-Beech-Yellow Buckeye-5</t>
  </si>
  <si>
    <t>Southern Appalachian Montane Pine Forest and Woodland</t>
  </si>
  <si>
    <t>Table Mountain Pine-Pitch Pine-1</t>
  </si>
  <si>
    <t>Appalachian (Hemlock-)Northern Hardwood Forest</t>
  </si>
  <si>
    <t>Beech-Hemlock-Sugar Maple-5</t>
  </si>
  <si>
    <t>Southern Piedmont Mesic Forest</t>
  </si>
  <si>
    <t>Beech-3</t>
  </si>
  <si>
    <t>Atlantic Coastal Plain Mesic Hardwood Forest</t>
  </si>
  <si>
    <t>Atlantic Coastal Plain Fall-line Sandhills Longleaf Pine Woodland</t>
  </si>
  <si>
    <t>Atlantic Coastal Plain Dry and Dry-Mesic Oak Forest</t>
  </si>
  <si>
    <t>Atlantic Coastal Plain Upland Longleaf Pine Woodland</t>
  </si>
  <si>
    <t>Florida Longleaf Pine Sandhill</t>
  </si>
  <si>
    <t>Longleaf Pine-Florida Alicia-1</t>
  </si>
  <si>
    <t>East Gulf Coastal Plain Maritime Forest</t>
  </si>
  <si>
    <t>Slash Pine-Myrtle Oak-Saw Palmetto-1</t>
  </si>
  <si>
    <t>Southern Atlantic Coastal Plain Maritime Forest</t>
  </si>
  <si>
    <t>Longleaf Pine-Honduras Pine-Sand Live Oak-1</t>
  </si>
  <si>
    <t>Florida Peninsula Inland Scrub</t>
  </si>
  <si>
    <t>Ocala Sand Pine-2</t>
  </si>
  <si>
    <t>Southern Atlantic Coastal Plain Wet Pine Savanna and Flatwoods</t>
  </si>
  <si>
    <t>Central Florida Pine Flatwoods</t>
  </si>
  <si>
    <t>East Gulf Coastal Plain Near-Coast Pine Flatwoods</t>
  </si>
  <si>
    <t>Southern Coastal Plain Nonriverine Cypress Dome</t>
  </si>
  <si>
    <t>Pond Cypress-1</t>
  </si>
  <si>
    <t>East Gulf Coastal Plain Savanna and Wet Prairie</t>
  </si>
  <si>
    <t>Beyrich Threeawn-Toothache Grass-Longleaf Pine-1</t>
  </si>
  <si>
    <t>Floridian Highlands Freshwater Marsh</t>
  </si>
  <si>
    <t>Sand Cordgrass-Maidencane-2</t>
  </si>
  <si>
    <t>South Florida Hardwood Hammock</t>
  </si>
  <si>
    <t>Gumbo-limbo-Poisonwood-5</t>
  </si>
  <si>
    <t>Southwest Florida Coastal Strand and Maritime Hammock</t>
  </si>
  <si>
    <t>Live Oak-Palmetto-Sea Grape-1</t>
  </si>
  <si>
    <t>Southeast Florida Coastal Strand and Maritime Hammock</t>
  </si>
  <si>
    <t>South Florida Pine Rockland</t>
  </si>
  <si>
    <t>Florida Slash Pine-Wild Guave-False Tamarind-1</t>
  </si>
  <si>
    <t>Florida Dry Prairie</t>
  </si>
  <si>
    <t>Threeawn-Saw Palmetto-2</t>
  </si>
  <si>
    <t>South Florida Dwarf Cypress Savanna</t>
  </si>
  <si>
    <t>South Florida Pine Flatwoods</t>
  </si>
  <si>
    <t>Florida Slash Pine-Saw Palmetto-1</t>
  </si>
  <si>
    <t>South Florida Cypress Dome</t>
  </si>
  <si>
    <t>Caribbean Coastal Wetland Systems</t>
  </si>
  <si>
    <t>Mangrove-4</t>
  </si>
  <si>
    <t>Caribbean Swamp Systems</t>
  </si>
  <si>
    <t>Red Bay-Sweetbay Magnolia-5</t>
  </si>
  <si>
    <t>South Florida Everglades Sawgrass Marsh</t>
  </si>
  <si>
    <t>Sawgrass-2</t>
  </si>
  <si>
    <t>White Oak-Scarlet Oak-Chestnut-1</t>
  </si>
  <si>
    <t>Central and Southern Appalachian Spruce-Fir Forest</t>
  </si>
  <si>
    <t>Red Spruce-Fir-Yellow Birch-5</t>
  </si>
  <si>
    <t>Southern Appalachian Grass and Shrub Bald</t>
  </si>
  <si>
    <t>Catawba Rosebay-Flattened Oatgrass-3</t>
  </si>
  <si>
    <t>Beech-White Oak-Southern Sugar Maple-3</t>
  </si>
  <si>
    <t>Central Atlantic Coastal Plain Maritime Forest</t>
  </si>
  <si>
    <t>Live Oak-Wax Myrtle-3</t>
  </si>
  <si>
    <t>Southern Atlantic Coastal Plain Dune and Maritime Grassland</t>
  </si>
  <si>
    <t>Sea Oats-Saltmeadow Cordgrass-Shore Little Bluestem-2</t>
  </si>
  <si>
    <t>Central Atlantic Coastal Plain Wet Longleaf Pine Savanna and Flatwoods</t>
  </si>
  <si>
    <t>Atlantic Coastal Plain Peatland Pocosin and Canebrake</t>
  </si>
  <si>
    <t>Pond Pine-Swamp Titi-Giant Cane-1</t>
  </si>
  <si>
    <t>Atlantic Coastal Plain Clay-Based Carolina Bay Wetland</t>
  </si>
  <si>
    <t>Central Atlantic Coastal Plain Nonriverine Swamp and Wet Hardwood Forest</t>
  </si>
  <si>
    <t>Atlantic White Cedar-4</t>
  </si>
  <si>
    <t>Piedmont Hardpan Woodland and Forest</t>
  </si>
  <si>
    <t>Post Oak-White Ash-Little Bluestem Hardpan-1</t>
  </si>
  <si>
    <t>Northeastern Interior Dry-Mesic Oak Forest</t>
  </si>
  <si>
    <t>White Oak-Black Oak-White Pine-1</t>
  </si>
  <si>
    <t>Northern Atlantic Coastal Plain Hardwood Forest</t>
  </si>
  <si>
    <t>White Oak-Black Oak-Little Bluestem-1</t>
  </si>
  <si>
    <t>Northern Atlantic Coastal Plain Pitch Pine Barrens</t>
  </si>
  <si>
    <t>Pitch Pine-Scrub Oak-1</t>
  </si>
  <si>
    <t>Central Appalachian Dry Oak-Pine Forest</t>
  </si>
  <si>
    <t>Chestnut Oak-Virginia Pine-White Pine-3</t>
  </si>
  <si>
    <t>Eastern Serpentine Woodland</t>
  </si>
  <si>
    <t>White Oak-Pine-Serpentine Forbs-1</t>
  </si>
  <si>
    <t>Central Appalachian Pine-Oak Rocky Woodland</t>
  </si>
  <si>
    <t>Red Pine-Pitch Pine-Black Oak-3</t>
  </si>
  <si>
    <t>Northern Atlantic Coastal Plain Maritime Forest</t>
  </si>
  <si>
    <t>Scarlet Oak-Black Oak-American Holly-1</t>
  </si>
  <si>
    <t>Central Appalachian Alkaline Glade and Woodland</t>
  </si>
  <si>
    <t>Redcedar-Chinquapin Oak-Redbud-2</t>
  </si>
  <si>
    <t>Northern Atlantic Coastal Plain Dune and Swale</t>
  </si>
  <si>
    <t>Sea Oats-1</t>
  </si>
  <si>
    <t>Gulf and Atlantic Coastal Plain Sparsely Vegetated Systems</t>
  </si>
  <si>
    <t>Appalachian Shale Barrens</t>
  </si>
  <si>
    <t>Chestnut Oak-Virginia Pine-Rockcress-5</t>
  </si>
  <si>
    <t>Acadian Low-Elevation Spruce-Fir-Hardwood Forest</t>
  </si>
  <si>
    <t>Red Spruce-Balsam Fir-Yellow Birch-5</t>
  </si>
  <si>
    <t>Upright Sedge-Bluejoint Grass-5</t>
  </si>
  <si>
    <t>Northeastern Interior Pine Barrens</t>
  </si>
  <si>
    <t>Acadian-Appalachian Montane Spruce-Fir Forest</t>
  </si>
  <si>
    <t>Red Spruce-Balsam Fir-American Mountain Ash-5</t>
  </si>
  <si>
    <t>Acadian-Appalachian Subalpine Woodland and Heath-Krummholz</t>
  </si>
  <si>
    <t>Spruce-Bog Blueberry-Crowberry-5</t>
  </si>
  <si>
    <t>Laurentian-Acadian Swamp Systems</t>
  </si>
  <si>
    <t>American Beachgrass-Northern Bayberry-1</t>
  </si>
  <si>
    <t>Smooth Cordgrass-Saltmeadow Rush-Saltmeadow Cordgrass-2</t>
  </si>
  <si>
    <t>Black Spruce-Balsam Fir-5</t>
  </si>
  <si>
    <t>Acadian-Appalachian Alpine Tundra</t>
  </si>
  <si>
    <t>Alaska Arctic Mesic Alder Shrubland</t>
  </si>
  <si>
    <t>Mountain Alder-5</t>
  </si>
  <si>
    <t>Alaska Arctic Mesic-Wet Willow Shrubland</t>
  </si>
  <si>
    <t>Feltleaf Willow-Tealeaf Willow-5</t>
  </si>
  <si>
    <t>Alaska Arctic Scrub Birch-Ericaceous Shrubland - Infrequent Fire</t>
  </si>
  <si>
    <t>Dwarf Birch-Labrador Tea-5</t>
  </si>
  <si>
    <t>Alaska Arctic Mesic Sedge-Willow Tundra</t>
  </si>
  <si>
    <t>Tealeaf Willow-Dwarf Birch-5</t>
  </si>
  <si>
    <t>Alaska Arctic Mesic Sedge-Dryas Tundra</t>
  </si>
  <si>
    <t>Entire Leaf Mountain Avens-Richardsons Willow-5</t>
  </si>
  <si>
    <t>Alaska Arctic Acidic Sparse Tundra</t>
  </si>
  <si>
    <t>Eight Petal Mountain Avens-Black Crowberry-5</t>
  </si>
  <si>
    <t>Alaska Arctic Non-Acidic Sparse Tundra</t>
  </si>
  <si>
    <t>Mountain Avens-Purple Mountain Saxifrage-5</t>
  </si>
  <si>
    <t>Alaska Arctic Lichen Tundra</t>
  </si>
  <si>
    <t>Lichen-Alpine Azalea-5</t>
  </si>
  <si>
    <t>Alaska Arctic Acidic Dryas Dwarf-Shrubland</t>
  </si>
  <si>
    <t>Mountain Avens-Skeletonleaf Willow-5</t>
  </si>
  <si>
    <t>Alaska Arctic Non-Acidic Dryas Dwarf-Shrubland</t>
  </si>
  <si>
    <t>Alaska Arctic Dwarf-Shrubland - Infrequent Fire</t>
  </si>
  <si>
    <t>White Arctic Moutain Heather-Black Crowberry-5</t>
  </si>
  <si>
    <t>Alaska Arctic Tussock Tundra - Infrequent Fire</t>
  </si>
  <si>
    <t>Tussock Cottonsedge-Bigelows Sedge-5</t>
  </si>
  <si>
    <t>Alaska Arctic Pendantgrass Freshwater Marsh</t>
  </si>
  <si>
    <t>Pendantgrass-5</t>
  </si>
  <si>
    <t>Alaska Arctic Wet Sedge Meadow</t>
  </si>
  <si>
    <t>Water Sedge-Tussock Cottonsedge-5</t>
  </si>
  <si>
    <t>Alaska Arctic Mesic Herbaceous Meadow</t>
  </si>
  <si>
    <t>Bering Sea Sedge-Boreal Alopecurus-5</t>
  </si>
  <si>
    <t>Alaska Arctic Coastal Sedge-Dwarf-Shrubland</t>
  </si>
  <si>
    <t>Black Crowberry-Alaska Bog Willow-5</t>
  </si>
  <si>
    <t>Alaska Arctic Wet Sedge-Sphagnum Peatland</t>
  </si>
  <si>
    <t>Cottongrass-Northwest Territory Sedge-Sphagnum-5</t>
  </si>
  <si>
    <t>Alaska Arctic Dwarf-Shrub-Sphagnum Peatland</t>
  </si>
  <si>
    <t>Dwarf Birch-Marsh Labrador Tea-Sphagnum-5</t>
  </si>
  <si>
    <t>Alaska Arctic Sedge Freshwater Marsh</t>
  </si>
  <si>
    <t>Water Sedge-Tall Cottongrass-Common Mares Tail-5</t>
  </si>
  <si>
    <t>Alaska Arctic Polygonal Ground Wet Sedge Tundra</t>
  </si>
  <si>
    <t>Water Sedge-Tall Cottongrass-Tussock Cottongrass-5</t>
  </si>
  <si>
    <t>Alaska Arctic Polygonal Ground Shrub-Tussock Tundra</t>
  </si>
  <si>
    <t>Dwarf Birch-Tealeaf Willow-Tussock Cottongrass-5</t>
  </si>
  <si>
    <t>Alaska Arctic Marine Beach and Beach Meadow</t>
  </si>
  <si>
    <t>American Dunegrass-Black Crowberry-5</t>
  </si>
  <si>
    <t>Alaska Arctic Tidal Marsh</t>
  </si>
  <si>
    <t>Ramensks Sedge-Hoppners Sedge-Fishers Tundragrass-5</t>
  </si>
  <si>
    <t>Alaska Arctic Coastal Brackish Meadow</t>
  </si>
  <si>
    <t>Looseflower Alpine Sedge-Circumpolar Reedgrass-Arctic Daisy-5</t>
  </si>
  <si>
    <t>Alaska Arctic Floodplain</t>
  </si>
  <si>
    <t>Willow-Balsam Poplar-Mountain Avens-5</t>
  </si>
  <si>
    <t>Western North American Boreal Treeline White Spruce Woodland - Boreal</t>
  </si>
  <si>
    <t>White Spruce-Black Spruce-4</t>
  </si>
  <si>
    <t>Western North American Boreal White Spruce-Hardwood Forest</t>
  </si>
  <si>
    <t>White Spruce-Paper Birch-4</t>
  </si>
  <si>
    <t>Western North American Boreal Mesic Black Spruce Forest - Boreal</t>
  </si>
  <si>
    <t>Black Spruce-3</t>
  </si>
  <si>
    <t>Western North American Boreal Mesic Birch-Aspen Forest</t>
  </si>
  <si>
    <t>Paper Birch-Quaking Aspen-4</t>
  </si>
  <si>
    <t>Western North American Boreal Subalpine Balsam Poplar-Aspen Woodland</t>
  </si>
  <si>
    <t>Balsam Poplar-Quaking Aspen-3</t>
  </si>
  <si>
    <t>Western North American Boreal Montane Floodplain Forest and Shrubland - Boreal</t>
  </si>
  <si>
    <t>Feltleaf Willow-Sitka Alder-Balsam Poplar-5</t>
  </si>
  <si>
    <t>Western North American Boreal Lowland Large River Floodplain Forest and Shrubland</t>
  </si>
  <si>
    <t>Balsam Poplar-White Spruce-Willow-5</t>
  </si>
  <si>
    <t>Western North American Boreal Shrub and Herbaceous Floodplain Wetland</t>
  </si>
  <si>
    <t>Buckbean-Water Sedge-Sweetgale-5</t>
  </si>
  <si>
    <t>Western North American Boreal Black Spruce Dwarf-tree Peatland - Boreal Complex</t>
  </si>
  <si>
    <t>Black Spruce-Labrador Tea-Sphagnum-4</t>
  </si>
  <si>
    <t>Western North American Boreal Black Spruce Wet-Mesic Slope Woodland</t>
  </si>
  <si>
    <t>Black Spruce-Sphagnum-Reindeer Lichen-3</t>
  </si>
  <si>
    <t>Western North American Boreal Wet Black Spruce-Tussock Woodland</t>
  </si>
  <si>
    <t>Black spruce-Tussock Cottongrass-4</t>
  </si>
  <si>
    <t>Alaska Arctic Scrub Birch-Ericaceous Shrubland - Frequent Fire</t>
  </si>
  <si>
    <t>Dwarf Birch-Labrador Tea-Fire Moss-5</t>
  </si>
  <si>
    <t>Mountain Avens-Lapland Rosebay-5</t>
  </si>
  <si>
    <t>Alaska Arctic Dwarf-Shrubland - Frequent Fire</t>
  </si>
  <si>
    <t>White Arctic Moutain Heather-Black Crowberry-Dwarf Fireweed-5</t>
  </si>
  <si>
    <t>Alaska Arctic Tussock Tundra - Frequent Fire</t>
  </si>
  <si>
    <t>Tussock Cottonsedge-Bigelows Sedge-Dwarf Fireweed-5</t>
  </si>
  <si>
    <t>Alaska Arctic Permafrost Plateau Dwarf-Shrub Lichen Tundra</t>
  </si>
  <si>
    <t>Reindeer Lichen-Cup Lichen-Dwarf Birch-5</t>
  </si>
  <si>
    <t>Alaska Arctic Active Inland Dune</t>
  </si>
  <si>
    <t>Grayleaf Willow-American Dunegrass-5</t>
  </si>
  <si>
    <t>Alaska Arctic Large River Floodplain</t>
  </si>
  <si>
    <t>Balsam Poplar-Alder- Richardsons Willow-5</t>
  </si>
  <si>
    <t>Western North American Boreal Dry Aspen-Steppe Bluff - Higher Elevations</t>
  </si>
  <si>
    <t>Prairie Sagewort-Alaska Wormwood-3</t>
  </si>
  <si>
    <t>Alaska Sub-boreal Mesic Subalpine Alder Shrubland</t>
  </si>
  <si>
    <t>Sitka Alder-Willow-5</t>
  </si>
  <si>
    <t>Western North American Boreal Mesic Scrub Birch-Willow Shrubland - Boreal</t>
  </si>
  <si>
    <t>Dwarf Birch-Willow-4</t>
  </si>
  <si>
    <t>Western North American Sub-boreal Mesic Bluejoint Meadow</t>
  </si>
  <si>
    <t>Bluejoint-5</t>
  </si>
  <si>
    <t>Western North American Boreal Dry Grassland</t>
  </si>
  <si>
    <t>Fescue-Purple Reedgrass-3</t>
  </si>
  <si>
    <t>Western North American Boreal Deciduous Shrub Swamp</t>
  </si>
  <si>
    <t>Thinleaf Alder-Sitka Alder-Willow-5</t>
  </si>
  <si>
    <t>Western North American Boreal Low Shrub-Tussock Tundra</t>
  </si>
  <si>
    <t>Tussock Cottongrass-Bigelows Sedge-Dwarf Birch-4</t>
  </si>
  <si>
    <t>Western North American Boreal Tussock Tundra</t>
  </si>
  <si>
    <t>Tussock Cottongrass-Bigelows Sedge-4</t>
  </si>
  <si>
    <t>Western North American Boreal Alpine Dwarf-Shrub Summit</t>
  </si>
  <si>
    <t>Mountain Avens-Black Crowberry-5</t>
  </si>
  <si>
    <t>Western North American Boreal Alpine Mesic Herbaceous Meadow</t>
  </si>
  <si>
    <t>Bigelows Sedge-Northern Woodrush-5</t>
  </si>
  <si>
    <t>Western North American Boreal Alpine Ericaceous Dwarf-Shrubland - Complex</t>
  </si>
  <si>
    <t>White Arctic Mountain Heather-Black Crowberry-Mountain Avens-5</t>
  </si>
  <si>
    <t>Western North American Boreal Alpine Floodplain - Lower Elevations</t>
  </si>
  <si>
    <t>Feltleaf Willow-Sitka Alder-Dwarf Fireweed-5</t>
  </si>
  <si>
    <t>Western North American Boreal Alpine Floodplain - Higher Elevations</t>
  </si>
  <si>
    <t>Feltleaf Willow-Sitka Alder-Mountain Avens-5</t>
  </si>
  <si>
    <t>Western North American Boreal Dry Aspen-Steppe Bluff - Lower Elevations</t>
  </si>
  <si>
    <t>Quaking Aspen-3</t>
  </si>
  <si>
    <t>Alaska Sub-boreal Avalanche Slope Shrubland</t>
  </si>
  <si>
    <t>Sitka Alder-Bluejoint-Fireweed-5</t>
  </si>
  <si>
    <t>Alaska Sub-Boreal Mesic Subalpine Alder Shrubland</t>
  </si>
  <si>
    <t>Western North American Boreal Riparian Stringer Forest and Shrubland</t>
  </si>
  <si>
    <t>White Spruce-Paper Birch-Willow-3</t>
  </si>
  <si>
    <t>Western North American Boreal Alpine Talus and Bedrock</t>
  </si>
  <si>
    <t>Western North American Boreal Active Inland Dune</t>
  </si>
  <si>
    <t>White Spruce-Yukon Lupine-Sand Ryegrass-5</t>
  </si>
  <si>
    <t>Arctic Mesic-Wet Willow Shrubland</t>
  </si>
  <si>
    <t>Aleutian Mesic Herbaceous Meadow</t>
  </si>
  <si>
    <t>Lady Fern-Green False Hellebore-5</t>
  </si>
  <si>
    <t>Alaska Arctic Bedrock and Talus</t>
  </si>
  <si>
    <t>Aleutian Volcanic Rock and Talus</t>
  </si>
  <si>
    <t>Western North American Boreal Treeline White Spruce Woodland - Alaska Sub-boreal</t>
  </si>
  <si>
    <t>White Spruce-Black Spruce-5</t>
  </si>
  <si>
    <t>Western North American Boreal Mesic Black Spruce Forest - Alaska Sub-boreal</t>
  </si>
  <si>
    <t>Black Spruce-4</t>
  </si>
  <si>
    <t>Western North American Boreal Mesic Scrub Birch-Willow Shrubland - Alaska Sub-boreal</t>
  </si>
  <si>
    <t>Dwarf Birch-Willow-5</t>
  </si>
  <si>
    <t>Western North American Boreal Montane Floodplain Forest and Shrubland - Alaska Sub-boreal</t>
  </si>
  <si>
    <t>Balsam Poplar-White Spruce-Alder-5</t>
  </si>
  <si>
    <t>Western North American Boreal Herbaceous Fen - Alaska Sub-Boreal Complex</t>
  </si>
  <si>
    <t>Sweetgale-Sedge-Cottongrass-5</t>
  </si>
  <si>
    <t>Western North American Boreal Black Spruce Dwarf-tree Peatland - Alaska Sub-boreal Complex</t>
  </si>
  <si>
    <t>Black Spruce-Small Cranberry-Sphagnum-5</t>
  </si>
  <si>
    <t>Aleutian Kenai Birch-Cottonwood-Poplar Forest</t>
  </si>
  <si>
    <t>Kenai Birch-Black Cottonwood-5</t>
  </si>
  <si>
    <t>Alaskan Pacific Maritime Alpine Herbaceous Dwarf Shrubland</t>
  </si>
  <si>
    <t>Aleutian Mountainheath-Black Crowberry-5</t>
  </si>
  <si>
    <t>Alaskan Pacific Maritime Sitka Spruce Forest</t>
  </si>
  <si>
    <t>Sitka Spruce-Devilsclub-5</t>
  </si>
  <si>
    <t>Alaska Sub-boreal and Maritime Alpine Mesic Herbaceous Meadow</t>
  </si>
  <si>
    <t>Longawn Sedge-Wooly Geranium-5</t>
  </si>
  <si>
    <t>Alaska Sub-boreal Mountain Hemlock Forest - Northern</t>
  </si>
  <si>
    <t>Sitka Spruce-Mountain Hemlock-5</t>
  </si>
  <si>
    <t>Alaska Sub-boreal White Spruce-Hardwood Forest</t>
  </si>
  <si>
    <t>White Spruce-Paper Birch-5</t>
  </si>
  <si>
    <t>Alaskan Pacific Maritime Alpine Dwarf Shrubland</t>
  </si>
  <si>
    <t>Alaskan Pacific Maritime Western Hemlock Forest</t>
  </si>
  <si>
    <t>Western Hemlock-Sitka Spruce-5</t>
  </si>
  <si>
    <t>Alaskan Pacific Maritime Mountain Hemlock Forest - Northern</t>
  </si>
  <si>
    <t>Alaskan Pacific Maritime Mountain Hemlock Peatland</t>
  </si>
  <si>
    <t>Mountain Hemlock-Sphagnum-5</t>
  </si>
  <si>
    <t>Alaskan Pacific Maritime Wet Low Shrub</t>
  </si>
  <si>
    <t>Sweetgale-Bog Blueberry-5</t>
  </si>
  <si>
    <t>Temperate Pacific Tidal Salt and Brackish Marsh</t>
  </si>
  <si>
    <t>Lyngbyes Sedge-Largeflower Speargrass-5</t>
  </si>
  <si>
    <t>Alaskan Pacific Maritime Alpine Wet Meadow</t>
  </si>
  <si>
    <t>Netleaf Willow-Arctic Sweet Coltsfoot-5</t>
  </si>
  <si>
    <t>Alaskan Pacific Maritime Alpine Floodplain</t>
  </si>
  <si>
    <t>Sitka Alder-Feltleaf Willow-Dwarf Fireweed-5</t>
  </si>
  <si>
    <t>Alaska Sub-boreal Mountain Hemlock-White Spruce Forest</t>
  </si>
  <si>
    <t>Mountain Hemlock-White Spruce-5</t>
  </si>
  <si>
    <t>North Pacific Alpine and Subalpine Bedrock and Scree</t>
  </si>
  <si>
    <t>Western North American Boreal Black Spruce Dwarf-Tree Peatland - Boreal Complex</t>
  </si>
  <si>
    <t>Western North American Boreal Black Spruce Dwarf-Tree Peatland - Alaska Sub-boreal Complex</t>
  </si>
  <si>
    <t>Aleutian Mesic-Wet Willow Shrubland</t>
  </si>
  <si>
    <t>Barclays Willow-Sitka Alder-5</t>
  </si>
  <si>
    <t>Alaskan Pacific Maritime Sitka Spruce Beach Ridge</t>
  </si>
  <si>
    <t>Sitka Spruce-Devilsclub-Highbush Cranberry-5</t>
  </si>
  <si>
    <t>Alaskan Pacific Maritime Wet Low Shrubland</t>
  </si>
  <si>
    <t>North Pacific Shrub Swamp</t>
  </si>
  <si>
    <t>Sitka Alder-Sitka Sedge-5</t>
  </si>
  <si>
    <t>North Pacific Maritime Eelgrass Bed</t>
  </si>
  <si>
    <t>Eelgrass-5</t>
  </si>
  <si>
    <t>Aleutian American Dunegrass Grassland</t>
  </si>
  <si>
    <t>American Dunegrass-Red Fescue-Cowparsnip-5</t>
  </si>
  <si>
    <t>Aleutian Rocky Headland and Sea Cliff</t>
  </si>
  <si>
    <t>Eurhynchium Moss-Villous Cinquefoil-American Dunegrass-5</t>
  </si>
  <si>
    <t>Aleutian Mesic Alder-Salmonberry Shrubland</t>
  </si>
  <si>
    <t>Mountain Alder-Salmonberry-5</t>
  </si>
  <si>
    <t>Aleutian Crowberry-Herbaceous Heath</t>
  </si>
  <si>
    <t>Black Crowberry-Nootka Lupine-5</t>
  </si>
  <si>
    <t>Aleutian Mixed Dwarf-Shrub-Herbaceous Shrubland</t>
  </si>
  <si>
    <t>Alaska Bellheather-Aleutian Mountainheath-Black Crowberry-5</t>
  </si>
  <si>
    <t>Aleutian Freshwater Marsh</t>
  </si>
  <si>
    <t>Sedge-Buckbean-Water Horsetail-5</t>
  </si>
  <si>
    <t>Aleutian Wet Meadow and Herbaceous Peatland - Complex</t>
  </si>
  <si>
    <t>Red Cottongrass-Tall Cottongrass-Sedge-5</t>
  </si>
  <si>
    <t>Aleutian Marine Beach and Beach Meadow</t>
  </si>
  <si>
    <t>Danish Scurvygrass-American Dunegrass-Black Crowberry-5</t>
  </si>
  <si>
    <t>Aleutian Tidal Marsh</t>
  </si>
  <si>
    <t>Lyngbyes Sedge-Alkaligrass-5</t>
  </si>
  <si>
    <t>Aleutian Shrub and Herbaceous Meadow Floodplain</t>
  </si>
  <si>
    <t>Sitka Alder-American Dunegrass-Lady Fern-5</t>
  </si>
  <si>
    <t>Aleutian Floodplain Forest and Shrubland</t>
  </si>
  <si>
    <t>Cottonwood-Poplar-Bluejoint-5</t>
  </si>
  <si>
    <t>Aleutian Floodplain Wetland</t>
  </si>
  <si>
    <t>Sedge-Cottongrass-Undergreen Willow-5</t>
  </si>
  <si>
    <t>Aleutian Sparse Heath and Fell-Field</t>
  </si>
  <si>
    <t>Alaska Bellheather-Aleutian Mountainheath-Sitka Sedge-5</t>
  </si>
  <si>
    <t>Aleutian Oval-leaf Blueberry Shrubland</t>
  </si>
  <si>
    <t>Oval Leaf Blueberry-5</t>
  </si>
  <si>
    <t>Alaskan Pacific Maritime Alpine Dwarf-Shrubland</t>
  </si>
  <si>
    <t>Alaskan Pacific Maritime Periglacial Woodland and Shrubland</t>
  </si>
  <si>
    <t>Sitka Spruce-Cottonwood-5</t>
  </si>
  <si>
    <t>Alaskan Pacific Maritime Subalpine Alder-Salmonberry Shrubland</t>
  </si>
  <si>
    <t>Sitka Alder-Salmonberry-Spreading Woodfern-5</t>
  </si>
  <si>
    <t>Alaskan Pacific Maritime Mesic Herbaceous Meadow</t>
  </si>
  <si>
    <t>Kneeling Angelica-Fireweed-5</t>
  </si>
  <si>
    <t>Alaskan Pacific Maritime Floodplain Forest and Shrubland</t>
  </si>
  <si>
    <t>Alaskan Pacific Maritime Shrub and Herbaceous Floodplain Wetland</t>
  </si>
  <si>
    <t>Beaked Sedge-Water Sedge-Green Alder-5</t>
  </si>
  <si>
    <t>Alaskan Pacific Maritime Fen and Wet Meadow</t>
  </si>
  <si>
    <t>Sitka Sedge-Darkthroat Shootingstar-5</t>
  </si>
  <si>
    <t>Temperate Pacific Freshwater Emergent Marsh</t>
  </si>
  <si>
    <t>Beaked Sedge-Water Horsetail-5</t>
  </si>
  <si>
    <t>Alaskan Pacific Maritime Coastal Meadow and Slough-Levee</t>
  </si>
  <si>
    <t>Seaside Sandplant-American Dunegrass-5</t>
  </si>
  <si>
    <t>Alaskan Pacific Maritime Avalanche Slope Shrubland</t>
  </si>
  <si>
    <t>Alaskan Pacific Maritime Poorly Drained Conifer Woodland</t>
  </si>
  <si>
    <t>Western Hemlock-Mountain Hemlock-Western Redcedar-5</t>
  </si>
  <si>
    <t>Alaskan Pacific Maritime Mountain Hemlock Forest - Southeast</t>
  </si>
  <si>
    <t>Mountain Hemlock-Oval-leaf Blueberry-5</t>
  </si>
  <si>
    <t>Alaskan Pacific Maritime Shore Pine Peatland</t>
  </si>
  <si>
    <t>Lodgepole-Sphagnum-5</t>
  </si>
  <si>
    <t>Mississippi Delta Maritime Forest</t>
  </si>
  <si>
    <t>East Gulf Coastal Plain Dune and Coastal Grassland</t>
  </si>
  <si>
    <t>Sea Oats-5</t>
  </si>
  <si>
    <t>None</t>
  </si>
  <si>
    <t>Barren-Rock/Sand/Clay</t>
  </si>
  <si>
    <t>No Model</t>
  </si>
  <si>
    <t>No Data</t>
  </si>
  <si>
    <t>Open Water</t>
  </si>
  <si>
    <t>Perrennial Ice/Snow</t>
  </si>
  <si>
    <t>NA</t>
  </si>
  <si>
    <t>DELETE from domain</t>
  </si>
  <si>
    <t>DELETE, not in blue book</t>
  </si>
  <si>
    <t>ABAM-TSME/CLUN</t>
  </si>
  <si>
    <t>PIMO3-PICO/LIDEE-RHMA3</t>
  </si>
  <si>
    <t>ABMAS/VAAL/POMU</t>
  </si>
  <si>
    <t>MIXED CONIFER/CEVE-ARNE2/FRVI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</si>
</sst>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2"/>
      <name val="Calibri"/>
      <family val="2"/>
    </font>
    <font>
      <b/>
      <sz val="9"/>
      <color rgb="FF000000"/>
      <name val="Calibri"/>
      <family val="2"/>
    </font>
    <font>
      <sz val="9"/>
      <color rgb="FF000000"/>
      <name val="Calibri"/>
      <family val="2"/>
    </font>
    <font>
      <b/>
      <sz val="12"/>
      <name val="Calibri"/>
      <family val="2"/>
    </font>
    <font>
      <sz val="12"/>
      <color rgb="FFC00000"/>
      <name val="Calibri"/>
      <family val="2"/>
    </font>
    <font>
      <b/>
      <sz val="11"/>
      <color rgb="FF000000"/>
      <name val="Calibri"/>
      <family val="2"/>
      <charset val="1"/>
    </font>
    <font>
      <sz val="11"/>
      <color rgb="FF000000"/>
      <name val="Calibri"/>
      <family val="2"/>
    </font>
    <font>
      <sz val="10"/>
      <name val="Arial"/>
      <family val="2"/>
    </font>
    <font>
      <b/>
      <sz val="12"/>
      <color rgb="FF000000"/>
      <name val="Calibri"/>
      <family val="2"/>
    </font>
    <font>
      <sz val="11"/>
      <name val="Calibri"/>
      <family val="2"/>
    </font>
    <font>
      <sz val="11"/>
      <color rgb="FF4F81BD"/>
      <name val="Calibri"/>
      <family val="2"/>
    </font>
    <font>
      <sz val="10"/>
      <color rgb="FF000000"/>
      <name val="Arial"/>
      <family val="2"/>
    </font>
    <font>
      <sz val="11"/>
      <color rgb="FF000000"/>
      <name val="Calibri"/>
      <family val="2"/>
    </font>
    <font>
      <b/>
      <sz val="11"/>
      <color rgb="FF000000"/>
      <name val="Calibri"/>
      <family val="2"/>
    </font>
    <font>
      <sz val="11"/>
      <color theme="0" tint="-0.34998626667073579"/>
      <name val="Calibri"/>
      <family val="2"/>
      <scheme val="minor"/>
    </font>
    <font>
      <sz val="11"/>
      <color theme="0" tint="-0.34998626667073579"/>
      <name val="Calibri"/>
      <family val="2"/>
    </font>
  </fonts>
  <fills count="10">
    <fill>
      <patternFill patternType="none"/>
    </fill>
    <fill>
      <patternFill patternType="gray125"/>
    </fill>
    <fill>
      <patternFill patternType="solid">
        <fgColor rgb="FFFFFF00"/>
        <bgColor indexed="64"/>
      </patternFill>
    </fill>
    <fill>
      <patternFill patternType="solid">
        <fgColor rgb="FFBFBFBF"/>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8">
    <border>
      <left/>
      <right/>
      <top/>
      <bottom/>
      <diagonal/>
    </border>
    <border>
      <left/>
      <right/>
      <top/>
      <bottom style="medium">
        <color rgb="FF000000"/>
      </bottom>
      <diagonal/>
    </border>
    <border>
      <left/>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65">
    <xf numFmtId="0" fontId="0" fillId="0" borderId="0" xfId="0"/>
    <xf numFmtId="0" fontId="0" fillId="2" borderId="0" xfId="0" applyFill="1"/>
    <xf numFmtId="0" fontId="0" fillId="0" borderId="1" xfId="0" applyBorder="1"/>
    <xf numFmtId="0" fontId="2" fillId="0" borderId="0" xfId="0" applyFont="1"/>
    <xf numFmtId="0" fontId="2" fillId="0" borderId="4" xfId="0" applyFont="1" applyBorder="1"/>
    <xf numFmtId="0" fontId="3" fillId="3" borderId="3" xfId="0" applyFont="1" applyFill="1" applyBorder="1"/>
    <xf numFmtId="0" fontId="3" fillId="3" borderId="5" xfId="0" applyFont="1" applyFill="1" applyBorder="1"/>
    <xf numFmtId="0" fontId="4" fillId="0" borderId="4" xfId="0" applyFont="1" applyBorder="1"/>
    <xf numFmtId="0" fontId="4" fillId="0" borderId="6" xfId="0" applyFont="1" applyBorder="1"/>
    <xf numFmtId="0" fontId="4" fillId="0" borderId="6" xfId="0" applyFont="1" applyBorder="1" applyAlignment="1">
      <alignment wrapText="1"/>
    </xf>
    <xf numFmtId="0" fontId="4" fillId="4" borderId="6" xfId="0" applyFont="1" applyFill="1" applyBorder="1" applyAlignment="1">
      <alignment wrapText="1"/>
    </xf>
    <xf numFmtId="0" fontId="0" fillId="0" borderId="0" xfId="0" applyAlignment="1">
      <alignment vertical="top"/>
    </xf>
    <xf numFmtId="0" fontId="5" fillId="0" borderId="3" xfId="0" applyFont="1" applyBorder="1"/>
    <xf numFmtId="0" fontId="5"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5" xfId="0" applyFont="1" applyBorder="1"/>
    <xf numFmtId="0" fontId="5" fillId="0" borderId="6" xfId="0" applyFont="1" applyBorder="1"/>
    <xf numFmtId="0" fontId="7" fillId="0" borderId="0" xfId="0" applyFont="1"/>
    <xf numFmtId="0" fontId="8" fillId="0" borderId="0" xfId="0" applyFont="1"/>
    <xf numFmtId="0" fontId="9" fillId="0" borderId="0" xfId="0" applyFont="1"/>
    <xf numFmtId="0" fontId="10" fillId="0" borderId="9" xfId="0" applyFont="1" applyBorder="1" applyAlignment="1">
      <alignment wrapText="1"/>
    </xf>
    <xf numFmtId="0" fontId="8" fillId="0" borderId="11" xfId="0" applyFont="1" applyBorder="1"/>
    <xf numFmtId="0" fontId="8" fillId="0" borderId="12" xfId="0" applyFont="1" applyBorder="1"/>
    <xf numFmtId="0" fontId="8" fillId="0" borderId="5" xfId="0" applyFont="1" applyBorder="1"/>
    <xf numFmtId="0" fontId="11" fillId="0" borderId="5" xfId="0" applyFont="1" applyBorder="1"/>
    <xf numFmtId="0" fontId="8" fillId="0" borderId="13" xfId="0" applyFont="1" applyBorder="1"/>
    <xf numFmtId="0" fontId="8" fillId="0" borderId="4" xfId="0" applyFont="1" applyBorder="1"/>
    <xf numFmtId="0" fontId="8" fillId="0" borderId="6" xfId="0" applyFont="1" applyBorder="1"/>
    <xf numFmtId="0" fontId="11" fillId="0" borderId="6" xfId="0" applyFont="1" applyBorder="1"/>
    <xf numFmtId="0" fontId="12" fillId="0" borderId="14" xfId="0" applyFont="1" applyBorder="1"/>
    <xf numFmtId="0" fontId="8" fillId="0" borderId="14" xfId="0" applyFont="1" applyBorder="1" applyAlignment="1">
      <alignment wrapText="1"/>
    </xf>
    <xf numFmtId="0" fontId="8" fillId="0" borderId="14" xfId="0" applyFont="1" applyBorder="1"/>
    <xf numFmtId="0" fontId="12" fillId="0" borderId="6" xfId="0" applyFont="1" applyBorder="1"/>
    <xf numFmtId="0" fontId="8" fillId="0" borderId="7" xfId="0" applyFont="1" applyBorder="1"/>
    <xf numFmtId="0" fontId="8" fillId="0" borderId="8" xfId="0" applyFont="1" applyBorder="1"/>
    <xf numFmtId="0" fontId="12" fillId="0" borderId="15" xfId="0" applyFont="1" applyBorder="1"/>
    <xf numFmtId="0" fontId="13" fillId="0" borderId="0" xfId="0" applyFont="1"/>
    <xf numFmtId="0" fontId="0" fillId="0" borderId="0" xfId="0" applyAlignment="1">
      <alignment wrapText="1"/>
    </xf>
    <xf numFmtId="0" fontId="8" fillId="5" borderId="0" xfId="0" applyFont="1" applyFill="1"/>
    <xf numFmtId="0" fontId="13" fillId="5" borderId="0" xfId="0" applyFont="1" applyFill="1"/>
    <xf numFmtId="0" fontId="0" fillId="5" borderId="0" xfId="0" applyFill="1"/>
    <xf numFmtId="0" fontId="0" fillId="6" borderId="0" xfId="0" applyFill="1"/>
    <xf numFmtId="0" fontId="15" fillId="0" borderId="0" xfId="0" applyFont="1"/>
    <xf numFmtId="0" fontId="16" fillId="0" borderId="0" xfId="0" applyFont="1"/>
    <xf numFmtId="0" fontId="17" fillId="0" borderId="0" xfId="0" applyFont="1"/>
    <xf numFmtId="0" fontId="17" fillId="5" borderId="0" xfId="0" applyFont="1" applyFill="1"/>
    <xf numFmtId="0" fontId="16" fillId="0" borderId="0" xfId="0" applyFont="1" applyAlignment="1">
      <alignment wrapText="1"/>
    </xf>
    <xf numFmtId="0" fontId="0" fillId="0" borderId="0" xfId="0" pivotButton="1"/>
    <xf numFmtId="0" fontId="1" fillId="0" borderId="0" xfId="0" applyFont="1" applyAlignment="1">
      <alignment wrapText="1"/>
    </xf>
    <xf numFmtId="0" fontId="1" fillId="0" borderId="0" xfId="0" applyFont="1"/>
    <xf numFmtId="0" fontId="15" fillId="5" borderId="0" xfId="0" applyFont="1" applyFill="1"/>
    <xf numFmtId="0" fontId="1" fillId="7" borderId="0" xfId="0" applyFont="1" applyFill="1"/>
    <xf numFmtId="0" fontId="1" fillId="7" borderId="16" xfId="0" applyFont="1" applyFill="1" applyBorder="1"/>
    <xf numFmtId="0" fontId="1" fillId="7" borderId="17" xfId="0" applyFont="1" applyFill="1" applyBorder="1"/>
    <xf numFmtId="0" fontId="10" fillId="0" borderId="10" xfId="0" applyFont="1" applyBorder="1" applyAlignment="1">
      <alignment wrapText="1"/>
    </xf>
    <xf numFmtId="0" fontId="9" fillId="0" borderId="0" xfId="0" applyFont="1" applyAlignment="1">
      <alignment wrapText="1"/>
    </xf>
    <xf numFmtId="0" fontId="9" fillId="2" borderId="0" xfId="0" applyFont="1" applyFill="1"/>
    <xf numFmtId="0" fontId="9" fillId="8" borderId="0" xfId="0" applyFont="1" applyFill="1"/>
    <xf numFmtId="0" fontId="9" fillId="9" borderId="0" xfId="0" applyFont="1" applyFill="1"/>
    <xf numFmtId="0" fontId="14" fillId="0" borderId="0" xfId="0" applyFont="1"/>
    <xf numFmtId="0" fontId="1" fillId="0" borderId="2" xfId="0" applyFont="1" applyBorder="1" applyAlignment="1">
      <alignment wrapText="1"/>
    </xf>
    <xf numFmtId="0" fontId="1" fillId="0" borderId="2" xfId="0" applyFont="1" applyBorder="1" applyAlignment="1">
      <alignment vertical="top" wrapText="1"/>
    </xf>
    <xf numFmtId="0" fontId="1"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7</xdr:col>
      <xdr:colOff>0</xdr:colOff>
      <xdr:row>9</xdr:row>
      <xdr:rowOff>161925</xdr:rowOff>
    </xdr:from>
    <xdr:to>
      <xdr:col>12</xdr:col>
      <xdr:colOff>47625</xdr:colOff>
      <xdr:row>12</xdr:row>
      <xdr:rowOff>0</xdr:rowOff>
    </xdr:to>
    <xdr:sp macro="" textlink="">
      <xdr:nvSpPr>
        <xdr:cNvPr id="2" name="TextBox 1">
          <a:extLst>
            <a:ext uri="{FF2B5EF4-FFF2-40B4-BE49-F238E27FC236}">
              <a16:creationId xmlns:a16="http://schemas.microsoft.com/office/drawing/2014/main" id="{11AFDDBA-0F83-4879-BB33-7459DAA7D16C}"/>
            </a:ext>
          </a:extLst>
        </xdr:cNvPr>
        <xdr:cNvSpPr txBox="1"/>
      </xdr:nvSpPr>
      <xdr:spPr>
        <a:xfrm>
          <a:off x="10658475" y="1790700"/>
          <a:ext cx="40195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yellow are redundant due to changing latin names for Oregon grape and</a:t>
          </a:r>
          <a:r>
            <a:rPr lang="en-US" sz="1100" baseline="0"/>
            <a:t> poison oak!</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308.541805092595" createdVersion="8" refreshedVersion="8" minRefreshableVersion="3" recordCount="248" xr:uid="{0AC06EA1-1776-4420-B52C-5A11DEAD6740}">
  <cacheSource type="worksheet">
    <worksheetSource ref="A1:G1048576" sheet="SWOR_PA_PVT_SDI"/>
  </cacheSource>
  <cacheFields count="7">
    <cacheField name="PlantAssociations" numFmtId="0">
      <sharedItems containsBlank="1"/>
    </cacheField>
    <cacheField name="Series" numFmtId="0">
      <sharedItems containsBlank="1" count="19">
        <s v="ABAM"/>
        <s v="ABCO"/>
        <s v="ABGR"/>
        <s v="ABMAS"/>
        <s v="CHLA"/>
        <s v="LIDE"/>
        <s v="MIXE"/>
        <s v="PICO"/>
        <s v="PIJE"/>
        <s v="PIMO3"/>
        <s v="PIPO"/>
        <s v="PSME"/>
        <s v="QUGA"/>
        <s v="THPL"/>
        <s v="TSHE"/>
        <s v="TSME"/>
        <m/>
        <s v="PIMO" u="1"/>
        <s v="ABMA" u="1"/>
      </sharedItems>
    </cacheField>
    <cacheField name="PVT" numFmtId="0">
      <sharedItems containsBlank="1"/>
    </cacheField>
    <cacheField name="SDImax" numFmtId="0">
      <sharedItems containsBlank="1" containsMixedTypes="1" containsNumber="1" containsInteger="1" minValue="200" maxValue="755"/>
    </cacheField>
    <cacheField name="Adaptive tree species/early seral" numFmtId="0">
      <sharedItems containsBlank="1" count="11">
        <s v="PSME"/>
        <s v="ABMAS"/>
        <s v="PIMO3"/>
        <m/>
        <s v="PILA"/>
        <s v="CADE27"/>
        <s v="PIPO"/>
        <s v="PIJE"/>
        <s v="PICO"/>
        <s v="QUGA"/>
        <s v="PIMO" u="1"/>
      </sharedItems>
    </cacheField>
    <cacheField name="Number of plots" numFmtId="0">
      <sharedItems containsString="0" containsBlank="1" containsNumber="1" containsInteger="1" minValue="1" maxValue="423"/>
    </cacheField>
    <cacheField name="Comment" numFmtId="0">
      <sharedItems containsBlank="1" count="26">
        <s v="Yes"/>
        <s v="DELETE, not in blue book"/>
        <s v="Or possibly PILA??? - These two PA are redundant"/>
        <s v="Or possibly PSME"/>
        <s v="DELETE, not in blue book, &quot;draft&quot; PA"/>
        <s v="More prefered species. Root rot resistant. "/>
        <s v="Incence cedar that could be managed for. Higher drought and fire tolerant than red fir. "/>
        <s v="Red fir. Why? Recent evidence suggests that the red fir is getting hit harder by the drought than hemlock. This is the case for SWOR, not necessarily other places. Mountain hemlock maxSDI - 687. PIMO, drought, fire tolerance. "/>
        <s v="Or PSME?"/>
        <s v="Or PILA?"/>
        <s v="Or PSME? - higher PILA constancy than previous"/>
        <s v="DELETE AND REASSIGN PLOTS, not in blue book, &quot;draft PA&quot;"/>
        <s v="Do we want to manage for PIMO? White pine is reruiting in the understory. It will be more drought tolerant, longer lived. "/>
        <s v="No PIPO. PILA is more adaptive than PIMO"/>
        <s v="need to add to domain list in database"/>
        <s v="Or PIMO? 50% constancy in overstory"/>
        <s v="Yes, sticking to red fir"/>
        <s v="Need to re-evaluate. No decision made. What is more adaptive, hemlock or red fir? Probably red fir..."/>
        <m/>
        <s v="DELETE, not in blue book, &quot;draft PA&quot;" u="1"/>
        <s v="Delete, not in blue book, reassign plots, probably to LIDE3-PSME-QUCH2/RHDI6" u="1"/>
        <s v="Delete - not in blue book" u="1"/>
        <s v="Delete - not in blue book; reassign plots?" u="1"/>
        <s v="THPL? or something else?" u="1"/>
        <s v="Probably not in the blue book. Delete from database/ domain list" u="1"/>
        <s v="Need to re-evaluate. No decision made.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ABAM/ROGY/ACTR"/>
    <x v="0"/>
    <s v="Pacific silver fir - Intermediate"/>
    <n v="755"/>
    <x v="0"/>
    <n v="3"/>
    <x v="0"/>
  </r>
  <r>
    <s v="ABAM/VAAL/POMU"/>
    <x v="0"/>
    <s v="Pacific silver fir - Intermediate"/>
    <n v="755"/>
    <x v="1"/>
    <m/>
    <x v="1"/>
  </r>
  <r>
    <s v="ABAM/VAME"/>
    <x v="0"/>
    <s v="Pacific silver fir - Intermediate"/>
    <n v="755"/>
    <x v="1"/>
    <m/>
    <x v="1"/>
  </r>
  <r>
    <s v="ABAM/VAME/CLUN"/>
    <x v="0"/>
    <s v="Pacific silver fir - Intermediate"/>
    <n v="755"/>
    <x v="1"/>
    <m/>
    <x v="1"/>
  </r>
  <r>
    <s v="ABAM/VAME/XETE"/>
    <x v="0"/>
    <s v="Pacific silver fir - Intermediate"/>
    <n v="755"/>
    <x v="1"/>
    <m/>
    <x v="1"/>
  </r>
  <r>
    <s v="ABAM-TSME/CLUN"/>
    <x v="0"/>
    <s v="Pacific silver fir - Intermediate"/>
    <n v="755"/>
    <x v="1"/>
    <m/>
    <x v="1"/>
  </r>
  <r>
    <s v="ABAM-TSME/VAME/ACTR"/>
    <x v="0"/>
    <s v="Pacific silver fir - Intermediate"/>
    <n v="460"/>
    <x v="2"/>
    <m/>
    <x v="0"/>
  </r>
  <r>
    <s v="ABCO, ABGR"/>
    <x v="1"/>
    <s v="White fir - Cool"/>
    <n v="750"/>
    <x v="3"/>
    <m/>
    <x v="1"/>
  </r>
  <r>
    <s v="ABCO/ACCI/OXOR"/>
    <x v="1"/>
    <s v="White fir - Cool"/>
    <n v="530"/>
    <x v="0"/>
    <m/>
    <x v="0"/>
  </r>
  <r>
    <s v="ABCO/ARNE"/>
    <x v="1"/>
    <s v="White fir - Intermediate"/>
    <s v="XXX"/>
    <x v="4"/>
    <m/>
    <x v="0"/>
  </r>
  <r>
    <s v="ABCO/BENE2"/>
    <x v="1"/>
    <s v="White fir - Intermediate"/>
    <n v="530"/>
    <x v="0"/>
    <n v="2"/>
    <x v="0"/>
  </r>
  <r>
    <s v="ABCO/BENE2/ACTR"/>
    <x v="1"/>
    <s v="White fir - Intermediate"/>
    <s v="XXX"/>
    <x v="5"/>
    <m/>
    <x v="0"/>
  </r>
  <r>
    <s v="ABCO/BENE2/LIBOL"/>
    <x v="1"/>
    <s v="White fir - Intermediate"/>
    <n v="530"/>
    <x v="0"/>
    <m/>
    <x v="0"/>
  </r>
  <r>
    <s v="ABCO/CACH-CEVE/CAIN9"/>
    <x v="1"/>
    <s v="White fir - Intermediate"/>
    <n v="530"/>
    <x v="3"/>
    <m/>
    <x v="1"/>
  </r>
  <r>
    <s v="ABCO/CEVE-CACH"/>
    <x v="1"/>
    <s v="White fir - Intermediate"/>
    <n v="530"/>
    <x v="3"/>
    <m/>
    <x v="1"/>
  </r>
  <r>
    <s v="ABCO/CEVE-CEPR/FRVI"/>
    <x v="1"/>
    <s v="White fir - Cool"/>
    <n v="750"/>
    <x v="3"/>
    <m/>
    <x v="1"/>
  </r>
  <r>
    <s v="ABCO/GASH-BENE2"/>
    <x v="1"/>
    <s v="White fir - Warm moist"/>
    <n v="430"/>
    <x v="4"/>
    <m/>
    <x v="0"/>
  </r>
  <r>
    <s v="ABCO/QUVA"/>
    <x v="1"/>
    <s v="White fir - Cool"/>
    <s v="XXX"/>
    <x v="4"/>
    <m/>
    <x v="0"/>
  </r>
  <r>
    <s v="ABCO/RHMA3-BENE2"/>
    <x v="1"/>
    <s v="White fir - Cool"/>
    <s v="XXX"/>
    <x v="4"/>
    <m/>
    <x v="0"/>
  </r>
  <r>
    <s v="ABCO/RHMA3-QUSA2"/>
    <x v="1"/>
    <s v="White fir - Cool"/>
    <s v="XXX"/>
    <x v="4"/>
    <m/>
    <x v="0"/>
  </r>
  <r>
    <s v="ABCO/SYMO"/>
    <x v="1"/>
    <s v="White fir - Intermediate"/>
    <s v="XXX"/>
    <x v="6"/>
    <m/>
    <x v="0"/>
  </r>
  <r>
    <s v="ABCO/XETE"/>
    <x v="1"/>
    <s v="White fir - Cool"/>
    <s v="XXX"/>
    <x v="0"/>
    <m/>
    <x v="0"/>
  </r>
  <r>
    <s v="ABCO-ABGR/ASCA3"/>
    <x v="1"/>
    <s v="White fir - Cool"/>
    <n v="750"/>
    <x v="3"/>
    <m/>
    <x v="1"/>
  </r>
  <r>
    <s v="ABCO-ABGR/CHUM"/>
    <x v="1"/>
    <s v="White fir - Cool"/>
    <n v="750"/>
    <x v="3"/>
    <m/>
    <x v="1"/>
  </r>
  <r>
    <s v="ABCO-ABGR/LIBO2"/>
    <x v="1"/>
    <s v="White fir - Cool"/>
    <n v="750"/>
    <x v="3"/>
    <m/>
    <x v="1"/>
  </r>
  <r>
    <s v="ABCO-ABMAS/ACTR"/>
    <x v="1"/>
    <s v="White fir - Cool"/>
    <s v="XXX"/>
    <x v="0"/>
    <m/>
    <x v="0"/>
  </r>
  <r>
    <s v="ABCO-ABMAS/CHUM-ANDE3"/>
    <x v="1"/>
    <s v="White fir - Cool"/>
    <s v="XXX"/>
    <x v="0"/>
    <n v="1"/>
    <x v="0"/>
  </r>
  <r>
    <s v="ABCO-ABMAS/QUSA2"/>
    <x v="1"/>
    <s v="White fir - Cool"/>
    <s v="XXX"/>
    <x v="0"/>
    <m/>
    <x v="0"/>
  </r>
  <r>
    <s v="ABCO-ARPA6-ARNE2/CAIN9"/>
    <x v="1"/>
    <s v="White fir - Intermediate"/>
    <n v="530"/>
    <x v="3"/>
    <m/>
    <x v="1"/>
  </r>
  <r>
    <s v="ABCO-CACH6/PAMY/CHUM"/>
    <x v="1"/>
    <s v="White fir - Cool"/>
    <n v="750"/>
    <x v="3"/>
    <m/>
    <x v="1"/>
  </r>
  <r>
    <s v="ABCO-CADE27/TRLA6"/>
    <x v="1"/>
    <s v="White fir - Intermediate"/>
    <n v="530"/>
    <x v="0"/>
    <m/>
    <x v="2"/>
  </r>
  <r>
    <s v="ABCO-CADE3/BENE"/>
    <x v="1"/>
    <s v="White fir - Intermediate"/>
    <n v="530"/>
    <x v="0"/>
    <m/>
    <x v="2"/>
  </r>
  <r>
    <s v="ABCO-LIDE3/CHUM"/>
    <x v="1"/>
    <s v="White fir - Cool"/>
    <s v="XXX"/>
    <x v="4"/>
    <m/>
    <x v="3"/>
  </r>
  <r>
    <s v="ABCO-PIBR/CHUM-PYPI2"/>
    <x v="1"/>
    <s v="White fir - Cool"/>
    <s v="XXX"/>
    <x v="4"/>
    <m/>
    <x v="3"/>
  </r>
  <r>
    <s v="ABCO-PIPO/ARPA6"/>
    <x v="1"/>
    <s v="Ponderosa pine - Dry"/>
    <n v="499"/>
    <x v="3"/>
    <m/>
    <x v="4"/>
  </r>
  <r>
    <s v="ABCO-PSME/BEPI"/>
    <x v="1"/>
    <s v="White fir - Intermediate"/>
    <n v="530"/>
    <x v="0"/>
    <m/>
    <x v="4"/>
  </r>
  <r>
    <s v="ABCO-PSME/CEVE/ARUV"/>
    <x v="1"/>
    <s v="White fir - Intermediate"/>
    <n v="530"/>
    <x v="0"/>
    <m/>
    <x v="1"/>
  </r>
  <r>
    <s v="ABCO-PSME/ROGY"/>
    <x v="1"/>
    <s v="White fir - Intermediate"/>
    <s v="XXX"/>
    <x v="6"/>
    <n v="3"/>
    <x v="0"/>
  </r>
  <r>
    <s v="ABCO-QUSA/BENE-PAMY"/>
    <x v="1"/>
    <s v="White fir - Intermediate"/>
    <n v="530"/>
    <x v="0"/>
    <m/>
    <x v="4"/>
  </r>
  <r>
    <s v="ABCO-TSHE/BENE2/LIBOL"/>
    <x v="1"/>
    <s v="Western hemlock - Hyper-dry"/>
    <n v="530"/>
    <x v="0"/>
    <m/>
    <x v="0"/>
  </r>
  <r>
    <s v="ABGR/ACCI/ACTR"/>
    <x v="2"/>
    <s v="White fir - Warm moist"/>
    <n v="750"/>
    <x v="1"/>
    <m/>
    <x v="1"/>
  </r>
  <r>
    <s v="ABGR/ACCI/POMU"/>
    <x v="2"/>
    <s v="White fir - Warm moist"/>
    <n v="750"/>
    <x v="1"/>
    <m/>
    <x v="1"/>
  </r>
  <r>
    <s v="ABGR/BENE2-GASH"/>
    <x v="2"/>
    <s v="White fir - Warm moist"/>
    <n v="750"/>
    <x v="1"/>
    <m/>
    <x v="1"/>
  </r>
  <r>
    <s v="ABGR/CACH"/>
    <x v="2"/>
    <s v="White fir - Cool"/>
    <n v="750"/>
    <x v="1"/>
    <m/>
    <x v="1"/>
  </r>
  <r>
    <s v="ABGR/CHUM"/>
    <x v="2"/>
    <s v="White fir - Cool"/>
    <n v="750"/>
    <x v="1"/>
    <m/>
    <x v="1"/>
  </r>
  <r>
    <s v="ABGR/COCO6/VAHE"/>
    <x v="2"/>
    <s v="White fir - Warm moist"/>
    <n v="750"/>
    <x v="1"/>
    <m/>
    <x v="1"/>
  </r>
  <r>
    <s v="ABGR/HODI"/>
    <x v="2"/>
    <s v="White fir - Warm moist"/>
    <n v="750"/>
    <x v="1"/>
    <m/>
    <x v="1"/>
  </r>
  <r>
    <s v="ABGR/HODI/POMU"/>
    <x v="2"/>
    <s v="White fir - Warm moist"/>
    <n v="750"/>
    <x v="1"/>
    <m/>
    <x v="1"/>
  </r>
  <r>
    <s v="ABGR/MANE2-GASH"/>
    <x v="2"/>
    <s v="White fir - Intermediate"/>
    <n v="530"/>
    <x v="0"/>
    <m/>
    <x v="1"/>
  </r>
  <r>
    <s v="ABGR/TODI"/>
    <x v="2"/>
    <s v="White fir - Warm moist"/>
    <n v="750"/>
    <x v="1"/>
    <m/>
    <x v="1"/>
  </r>
  <r>
    <s v="ABGR/TRLA2"/>
    <x v="2"/>
    <s v="White fir - Cool"/>
    <n v="750"/>
    <x v="1"/>
    <m/>
    <x v="1"/>
  </r>
  <r>
    <s v="ABGR/VAGL"/>
    <x v="2"/>
    <s v="White fir - Cool"/>
    <n v="750"/>
    <x v="1"/>
    <m/>
    <x v="1"/>
  </r>
  <r>
    <s v="ABMAS"/>
    <x v="3"/>
    <s v="Shasta red fir - Moist"/>
    <n v="755"/>
    <x v="3"/>
    <m/>
    <x v="1"/>
  </r>
  <r>
    <s v="ABMAS/ARNE"/>
    <x v="3"/>
    <s v="Shasta red fir - Moist"/>
    <n v="755"/>
    <x v="3"/>
    <m/>
    <x v="1"/>
  </r>
  <r>
    <s v="ABMAS/CACH"/>
    <x v="3"/>
    <s v="Shasta red fir - Moist"/>
    <n v="755"/>
    <x v="3"/>
    <m/>
    <x v="1"/>
  </r>
  <r>
    <s v="ABMAS/CACH/CHUM-CAPE"/>
    <x v="3"/>
    <s v="Shasta red fir - Moist"/>
    <n v="755"/>
    <x v="3"/>
    <m/>
    <x v="1"/>
  </r>
  <r>
    <s v="ABMAS/CAIN4"/>
    <x v="3"/>
    <s v="Shasta red fir - Moist"/>
    <n v="755"/>
    <x v="3"/>
    <m/>
    <x v="1"/>
  </r>
  <r>
    <s v="ABMAS/CAPE"/>
    <x v="3"/>
    <s v="Shasta red fir - Moist"/>
    <n v="755"/>
    <x v="3"/>
    <m/>
    <x v="1"/>
  </r>
  <r>
    <s v="ABMAS/CHUM"/>
    <x v="3"/>
    <s v="Shasta red fir - Moist"/>
    <n v="755"/>
    <x v="3"/>
    <m/>
    <x v="1"/>
  </r>
  <r>
    <s v="ABMAS/OSCH"/>
    <x v="3"/>
    <s v="White fir - Cool"/>
    <n v="750"/>
    <x v="1"/>
    <m/>
    <x v="0"/>
  </r>
  <r>
    <s v="ABMAS/PAMY/PYSE"/>
    <x v="3"/>
    <s v="Shasta red fir - Moist"/>
    <n v="755"/>
    <x v="1"/>
    <m/>
    <x v="0"/>
  </r>
  <r>
    <s v="ABMAS/VAAL/POMU"/>
    <x v="3"/>
    <s v=" "/>
    <s v="NA"/>
    <x v="3"/>
    <m/>
    <x v="1"/>
  </r>
  <r>
    <s v="ABMAS/VAME/CHUM"/>
    <x v="3"/>
    <s v="Shasta red fir - Moist"/>
    <n v="460"/>
    <x v="2"/>
    <m/>
    <x v="5"/>
  </r>
  <r>
    <s v="ABMAS-ABCO/CACH6/CHUM"/>
    <x v="3"/>
    <s v="White fir - Cool"/>
    <n v="750"/>
    <x v="3"/>
    <m/>
    <x v="1"/>
  </r>
  <r>
    <s v="ABMAS-ABCO/QUSA2/CHUM"/>
    <x v="3"/>
    <s v="White fir - Cool"/>
    <n v="530"/>
    <x v="0"/>
    <m/>
    <x v="0"/>
  </r>
  <r>
    <s v="ABMAS-ABCO/QUSA2/PYSE"/>
    <x v="3"/>
    <s v="White fir - Cool"/>
    <n v="570"/>
    <x v="5"/>
    <m/>
    <x v="6"/>
  </r>
  <r>
    <s v="ABMAS-ABCO/ROGY/PYSE"/>
    <x v="3"/>
    <s v="White fir - Cool"/>
    <n v="530"/>
    <x v="0"/>
    <m/>
    <x v="0"/>
  </r>
  <r>
    <s v="ABMAS-ABCO/SYMO/CHUM"/>
    <x v="3"/>
    <s v="Shasta red fir - Moist"/>
    <n v="460"/>
    <x v="2"/>
    <m/>
    <x v="5"/>
  </r>
  <r>
    <s v="ABMAS-PICO/ARNE/CHUM"/>
    <x v="3"/>
    <s v="Shasta red fir - Moist"/>
    <n v="460"/>
    <x v="2"/>
    <m/>
    <x v="5"/>
  </r>
  <r>
    <s v="ABMAS-TSME/ARNE/CAPE"/>
    <x v="3"/>
    <s v="Shasta red fir - Moist"/>
    <n v="755"/>
    <x v="3"/>
    <m/>
    <x v="1"/>
  </r>
  <r>
    <s v="ABMAS-TSME/ARNE/CHUM"/>
    <x v="3"/>
    <s v="Mountain hemlock - Cold dry"/>
    <n v="460"/>
    <x v="2"/>
    <m/>
    <x v="7"/>
  </r>
  <r>
    <s v="ABMAS-TSME/ARNE2/CAIN9"/>
    <x v="3"/>
    <s v="Shasta red fir - Moist"/>
    <n v="755"/>
    <x v="3"/>
    <m/>
    <x v="1"/>
  </r>
  <r>
    <s v="CHLA/LOHI2/FESTU"/>
    <x v="4"/>
    <s v="Ultramafic, cold"/>
    <n v="430"/>
    <x v="4"/>
    <m/>
    <x v="0"/>
  </r>
  <r>
    <s v="CHLA/QUVA/XETE"/>
    <x v="4"/>
    <s v="Ultramafic, cold"/>
    <n v="460"/>
    <x v="2"/>
    <m/>
    <x v="0"/>
  </r>
  <r>
    <s v="CHLA/RHMA3-GASH"/>
    <x v="4"/>
    <s v="Western hemlock - Moist"/>
    <n v="600"/>
    <x v="0"/>
    <n v="2"/>
    <x v="0"/>
  </r>
  <r>
    <s v="CHLA/RHOC"/>
    <x v="4"/>
    <s v="Tan oak - Douglas-fir - Moist"/>
    <s v="NA"/>
    <x v="3"/>
    <m/>
    <x v="1"/>
  </r>
  <r>
    <s v="CHLA/VAOV2"/>
    <x v="4"/>
    <s v="Tan oak - Douglas-fir - Moist"/>
    <s v="NA"/>
    <x v="3"/>
    <m/>
    <x v="1"/>
  </r>
  <r>
    <s v="CHLA/VAOV2/POMUM"/>
    <x v="4"/>
    <s v="Western hemlock - Moist"/>
    <n v="600"/>
    <x v="0"/>
    <m/>
    <x v="0"/>
  </r>
  <r>
    <s v="CHLA-ABCO/BENE2"/>
    <x v="4"/>
    <s v="Western hemlock - Moist"/>
    <n v="600"/>
    <x v="0"/>
    <m/>
    <x v="0"/>
  </r>
  <r>
    <s v="CHLA-LIDE3/GASH"/>
    <x v="4"/>
    <s v="Tan oak - Douglas-fir - Moist"/>
    <n v="430"/>
    <x v="4"/>
    <m/>
    <x v="0"/>
  </r>
  <r>
    <s v="CHLA-PIMO3/QUVA"/>
    <x v="4"/>
    <s v="Ultramafic, cold"/>
    <s v="NA"/>
    <x v="3"/>
    <m/>
    <x v="1"/>
  </r>
  <r>
    <s v="CHLA-TSHE/LEDA"/>
    <x v="4"/>
    <s v="Western hemlock - Moist"/>
    <n v="600"/>
    <x v="0"/>
    <m/>
    <x v="0"/>
  </r>
  <r>
    <s v="CHLA-TSHE/POMU"/>
    <x v="4"/>
    <s v="Western hemlock - Moist"/>
    <n v="600"/>
    <x v="0"/>
    <m/>
    <x v="0"/>
  </r>
  <r>
    <s v="LIDE3/ARCTO3/XETE"/>
    <x v="5"/>
    <s v="Tan oak - Douglas-fir - Dry"/>
    <s v="XXX"/>
    <x v="2"/>
    <m/>
    <x v="0"/>
  </r>
  <r>
    <s v="LIDE3/BENE"/>
    <x v="5"/>
    <s v="Tan oak - Douglas-fir - Dry"/>
    <s v="NA"/>
    <x v="3"/>
    <m/>
    <x v="4"/>
  </r>
  <r>
    <s v="LIDE3/RHCA"/>
    <x v="5"/>
    <s v="Tan oak - Douglas-fir - Dry"/>
    <s v="NA"/>
    <x v="3"/>
    <m/>
    <x v="1"/>
  </r>
  <r>
    <s v="LIDE3/RHDI-LOHI"/>
    <x v="5"/>
    <s v="Tan oak - Douglas-fir - Dry"/>
    <s v="NA"/>
    <x v="3"/>
    <m/>
    <x v="4"/>
  </r>
  <r>
    <s v="LIDE3/VAOV2-RHMA3-GASH"/>
    <x v="5"/>
    <s v="Tan oak - Douglas-fir - Moist"/>
    <n v="600"/>
    <x v="0"/>
    <n v="9"/>
    <x v="0"/>
  </r>
  <r>
    <s v="LIDE3-ABCO/BENE2"/>
    <x v="5"/>
    <s v="Tan oak - Douglas-fir - Dry"/>
    <n v="600"/>
    <x v="0"/>
    <n v="1"/>
    <x v="0"/>
  </r>
  <r>
    <s v="LIDE3-ACMA3-QUCH2/POMU"/>
    <x v="5"/>
    <s v="Tan oak - Douglas-fir - Moist"/>
    <n v="600"/>
    <x v="0"/>
    <n v="2"/>
    <x v="0"/>
  </r>
  <r>
    <s v="LIDE3-CACH6/GASH-QUSA2"/>
    <x v="5"/>
    <s v="Tan oak - Douglas-fir - Dry"/>
    <n v="430"/>
    <x v="4"/>
    <m/>
    <x v="8"/>
  </r>
  <r>
    <s v="LIDE3-CACH6-PILA"/>
    <x v="5"/>
    <s v="Tan oak - Douglas-fir - Dry"/>
    <n v="264"/>
    <x v="7"/>
    <m/>
    <x v="0"/>
  </r>
  <r>
    <s v="LIDE3-CHLA/BENE2-LIBOL"/>
    <x v="5"/>
    <s v="Tan oak - Douglas-fir - Moist"/>
    <s v="NA"/>
    <x v="3"/>
    <m/>
    <x v="1"/>
  </r>
  <r>
    <s v="LIDE3-CHLA/GASH"/>
    <x v="5"/>
    <s v="Tan oak - Douglas-fir - Dry"/>
    <n v="600"/>
    <x v="0"/>
    <m/>
    <x v="0"/>
  </r>
  <r>
    <s v="LIDE3-CHLA/VAOV2"/>
    <x v="5"/>
    <s v="Tan oak - Douglas-fir - Moist"/>
    <s v="NA"/>
    <x v="3"/>
    <m/>
    <x v="1"/>
  </r>
  <r>
    <s v="LIDE3-PIMO3/QUVA/XETE"/>
    <x v="5"/>
    <s v="Ultramafic, cold"/>
    <n v="460"/>
    <x v="2"/>
    <n v="2"/>
    <x v="0"/>
  </r>
  <r>
    <s v="LIDE3-PSME/GASH-BENE2"/>
    <x v="5"/>
    <s v="Tan oak - Douglas-fir - Dry"/>
    <n v="430"/>
    <x v="4"/>
    <m/>
    <x v="8"/>
  </r>
  <r>
    <s v="LIDE3-PSME/GASH-RHMA3"/>
    <x v="5"/>
    <s v="Tan oak - Douglas-fir - Moist"/>
    <n v="600"/>
    <x v="0"/>
    <m/>
    <x v="0"/>
  </r>
  <r>
    <s v="LIDE3-PSME/GASH-VAOV2"/>
    <x v="5"/>
    <s v="Tan oak - Douglas-fir - Moist"/>
    <n v="600"/>
    <x v="0"/>
    <n v="6"/>
    <x v="0"/>
  </r>
  <r>
    <s v="LIDE3-PSME/QUSA2-BENE2"/>
    <x v="5"/>
    <s v="Tan oak - Douglas-fir - Dry"/>
    <n v="600"/>
    <x v="0"/>
    <m/>
    <x v="9"/>
  </r>
  <r>
    <s v="LIDE3-PSME-QUCH2/BENE2"/>
    <x v="5"/>
    <s v="Tan oak - Douglas-fir - Dry"/>
    <n v="430"/>
    <x v="4"/>
    <n v="23"/>
    <x v="8"/>
  </r>
  <r>
    <s v="LIDE3-PSME-QUCH2/RHDI6"/>
    <x v="5"/>
    <s v="Tan oak - Douglas-fir - Dry"/>
    <n v="430"/>
    <x v="4"/>
    <n v="68"/>
    <x v="10"/>
  </r>
  <r>
    <s v="LIDE3-QUCH/BENE"/>
    <x v="5"/>
    <s v="Tan oak - Douglas-fir - Dry"/>
    <s v="NA"/>
    <x v="3"/>
    <n v="2"/>
    <x v="11"/>
  </r>
  <r>
    <s v="LIDE3-TSHE/VAOV2/POMU"/>
    <x v="5"/>
    <s v="Tan oak - Douglas-fir - Moist"/>
    <n v="530"/>
    <x v="0"/>
    <n v="1"/>
    <x v="0"/>
  </r>
  <r>
    <s v="LIDE3-TSHE/VAOV2/POMU-RIP"/>
    <x v="5"/>
    <s v="Tan oak - Douglas-fir - Moist"/>
    <n v="530"/>
    <x v="0"/>
    <n v="5"/>
    <x v="0"/>
  </r>
  <r>
    <s v="LIDE3-TSHE/VAOV2-RHDI6"/>
    <x v="5"/>
    <s v="Tan oak - Douglas-fir - Moist"/>
    <s v="NA"/>
    <x v="3"/>
    <n v="5"/>
    <x v="11"/>
  </r>
  <r>
    <s v="MIXED CONIFER/CEVE-ARNE2/FRVI"/>
    <x v="6"/>
    <m/>
    <s v="NA"/>
    <x v="3"/>
    <m/>
    <x v="1"/>
  </r>
  <r>
    <s v="PICO/ARNE"/>
    <x v="7"/>
    <s v="Lodgepole pine - Cold"/>
    <m/>
    <x v="3"/>
    <m/>
    <x v="1"/>
  </r>
  <r>
    <s v="PICO/CAPE-STOC-BASIN"/>
    <x v="7"/>
    <s v="Lodgepole pine - Cold"/>
    <n v="400"/>
    <x v="8"/>
    <m/>
    <x v="1"/>
  </r>
  <r>
    <s v="PICO/VAME-VASC"/>
    <x v="7"/>
    <s v="Lodgepole pine - Cold"/>
    <n v="400"/>
    <x v="8"/>
    <m/>
    <x v="0"/>
  </r>
  <r>
    <s v="PICO/VASC-PUM"/>
    <x v="7"/>
    <s v="Lodgepole pine - Cold"/>
    <n v="400"/>
    <x v="8"/>
    <m/>
    <x v="1"/>
  </r>
  <r>
    <s v="PICO-ABCO-PSME"/>
    <x v="7"/>
    <s v="Lodgepole pine - Cold"/>
    <n v="460"/>
    <x v="2"/>
    <m/>
    <x v="12"/>
  </r>
  <r>
    <s v="PICO-CAREX-LUPINUS"/>
    <x v="7"/>
    <s v="Lodgepole pine - Cold"/>
    <n v="400"/>
    <x v="8"/>
    <m/>
    <x v="1"/>
  </r>
  <r>
    <s v="PICO-TSME/DEP"/>
    <x v="7"/>
    <s v="Lodgepole pine - Cold"/>
    <n v="400"/>
    <x v="8"/>
    <m/>
    <x v="0"/>
  </r>
  <r>
    <s v="PIJE/CECU/FEID"/>
    <x v="8"/>
    <s v="Jeffrey pine"/>
    <n v="264"/>
    <x v="7"/>
    <m/>
    <x v="0"/>
  </r>
  <r>
    <s v="PIJE/FEID"/>
    <x v="8"/>
    <s v="Jeffrey pine"/>
    <n v="264"/>
    <x v="7"/>
    <m/>
    <x v="0"/>
  </r>
  <r>
    <s v="PIJE/QUVA-ARNE"/>
    <x v="8"/>
    <s v="Jeffrey pine"/>
    <n v="264"/>
    <x v="7"/>
    <m/>
    <x v="0"/>
  </r>
  <r>
    <s v="PIJE/QUVA-ARNE-GABU2"/>
    <x v="8"/>
    <s v="Jeffrey pine"/>
    <n v="264"/>
    <x v="7"/>
    <m/>
    <x v="0"/>
  </r>
  <r>
    <s v="PIJE-CADE27/ARVI4"/>
    <x v="8"/>
    <s v="Jeffrey pine"/>
    <n v="264"/>
    <x v="7"/>
    <m/>
    <x v="0"/>
  </r>
  <r>
    <s v="PIJE-CADE27/QUVA"/>
    <x v="8"/>
    <s v="Jeffrey pine"/>
    <n v="264"/>
    <x v="7"/>
    <m/>
    <x v="0"/>
  </r>
  <r>
    <s v="PIJE-CADE27-PSME"/>
    <x v="8"/>
    <s v="Jeffrey pine"/>
    <n v="264"/>
    <x v="7"/>
    <m/>
    <x v="0"/>
  </r>
  <r>
    <s v="PIMO3/XETE"/>
    <x v="9"/>
    <s v="Ultramafic, cold"/>
    <n v="460"/>
    <x v="2"/>
    <m/>
    <x v="0"/>
  </r>
  <r>
    <s v="PIMO3-LIDE3/QUVA/XETE"/>
    <x v="9"/>
    <s v="Ultramafic, cold"/>
    <n v="460"/>
    <x v="2"/>
    <m/>
    <x v="0"/>
  </r>
  <r>
    <s v="PIMO3-PICO/LIDEE-RHMA3"/>
    <x v="9"/>
    <m/>
    <n v="460"/>
    <x v="2"/>
    <m/>
    <x v="1"/>
  </r>
  <r>
    <s v="PIMO3-PIJE/QUVA/XETE"/>
    <x v="9"/>
    <s v="Jeffrey pine"/>
    <n v="264"/>
    <x v="7"/>
    <m/>
    <x v="0"/>
  </r>
  <r>
    <s v="PIMO3-PSME/QUVA-LIDEE"/>
    <x v="9"/>
    <s v="Ultramafic, cold"/>
    <n v="460"/>
    <x v="2"/>
    <m/>
    <x v="1"/>
  </r>
  <r>
    <s v="PIPO/PUTR/CAPE-PUM"/>
    <x v="10"/>
    <s v="Ponderosa pine - Dry"/>
    <n v="499"/>
    <x v="6"/>
    <m/>
    <x v="1"/>
  </r>
  <r>
    <s v="PIPO/PUTR/FEID-PUMICE"/>
    <x v="10"/>
    <s v="Ponderosa pine - Dry"/>
    <n v="499"/>
    <x v="6"/>
    <m/>
    <x v="1"/>
  </r>
  <r>
    <s v="PIPO/PUTR-ARTR/FEID"/>
    <x v="10"/>
    <s v="Ponderosa pine - Dry"/>
    <n v="499"/>
    <x v="6"/>
    <m/>
    <x v="1"/>
  </r>
  <r>
    <s v="PIPO/PUTR-CEVE/STOC-PUM"/>
    <x v="10"/>
    <s v="Ponderosa pine - Dry"/>
    <n v="499"/>
    <x v="6"/>
    <m/>
    <x v="1"/>
  </r>
  <r>
    <s v="PIPO-PSME"/>
    <x v="10"/>
    <s v="Ponderosa pine - Dry"/>
    <n v="499"/>
    <x v="6"/>
    <n v="67"/>
    <x v="0"/>
  </r>
  <r>
    <s v="PIPO-QUKE"/>
    <x v="10"/>
    <s v="Ponderosa pine - Dry"/>
    <n v="499"/>
    <x v="6"/>
    <n v="49"/>
    <x v="0"/>
  </r>
  <r>
    <s v="PSME/ACCI-BENE2"/>
    <x v="11"/>
    <s v="Douglas-fir - Dry"/>
    <n v="430"/>
    <x v="4"/>
    <m/>
    <x v="13"/>
  </r>
  <r>
    <s v="PSME/ARNE-SWO"/>
    <x v="11"/>
    <s v="Douglas-fir - Dry"/>
    <n v="430"/>
    <x v="4"/>
    <n v="14"/>
    <x v="13"/>
  </r>
  <r>
    <s v="PSME/BENE2/POMU"/>
    <x v="11"/>
    <s v="Douglas-fir - Dry"/>
    <n v="499"/>
    <x v="5"/>
    <n v="11"/>
    <x v="0"/>
  </r>
  <r>
    <s v="PSME/BERE"/>
    <x v="11"/>
    <s v="Douglas-fir - Moist"/>
    <n v="499"/>
    <x v="6"/>
    <m/>
    <x v="1"/>
  </r>
  <r>
    <s v="PSME/COCO6-SYMO/POMU"/>
    <x v="11"/>
    <s v="Douglas-fir - Moist"/>
    <n v="499"/>
    <x v="6"/>
    <m/>
    <x v="1"/>
  </r>
  <r>
    <s v="PSME/DRY SHRUB"/>
    <x v="11"/>
    <s v="Douglas-fir - Dry"/>
    <n v="499"/>
    <x v="0"/>
    <n v="423"/>
    <x v="0"/>
  </r>
  <r>
    <s v="PSME/GASH-BENE2"/>
    <x v="11"/>
    <s v="Douglas-fir - Moist"/>
    <n v="530"/>
    <x v="0"/>
    <n v="3"/>
    <x v="0"/>
  </r>
  <r>
    <s v="PSME/GASH-RHMA3"/>
    <x v="11"/>
    <s v="Douglas-fir - Moist"/>
    <n v="430"/>
    <x v="4"/>
    <m/>
    <x v="13"/>
  </r>
  <r>
    <s v="PSME/HODI/WHMO-SWO"/>
    <x v="11"/>
    <s v="Douglas-fir - Dry"/>
    <n v="499"/>
    <x v="0"/>
    <n v="122"/>
    <x v="0"/>
  </r>
  <r>
    <s v="PSME/HODI-MANE2"/>
    <x v="11"/>
    <s v="Douglas-fir - Dry"/>
    <n v="499"/>
    <x v="6"/>
    <m/>
    <x v="0"/>
  </r>
  <r>
    <s v="PSME/HODI-SYMPH"/>
    <x v="11"/>
    <s v="Douglas-fir - Dry"/>
    <n v="499"/>
    <x v="6"/>
    <m/>
    <x v="1"/>
  </r>
  <r>
    <s v="PSME/MANE2"/>
    <x v="11"/>
    <s v="Douglas-fir - Dry"/>
    <n v="499"/>
    <x v="6"/>
    <m/>
    <x v="1"/>
  </r>
  <r>
    <s v="PSME/MANE2-GASH"/>
    <x v="11"/>
    <s v="Douglas-fir - Moist"/>
    <n v="499"/>
    <x v="6"/>
    <m/>
    <x v="1"/>
  </r>
  <r>
    <s v="PSME/RUSP/POMU"/>
    <x v="11"/>
    <s v="Douglas-fir - Moist"/>
    <n v="530"/>
    <x v="0"/>
    <m/>
    <x v="14"/>
  </r>
  <r>
    <s v="PSME/QUVA"/>
    <x v="11"/>
    <s v="Ultramafic, cold"/>
    <n v="530"/>
    <x v="0"/>
    <m/>
    <x v="0"/>
  </r>
  <r>
    <s v="PSME/QUVA-ARNE/XETE"/>
    <x v="11"/>
    <s v="Ultramafic, cold"/>
    <n v="264"/>
    <x v="7"/>
    <m/>
    <x v="0"/>
  </r>
  <r>
    <s v="PSME/QUVA-RHMA3"/>
    <x v="11"/>
    <s v="Douglas-fir - Dry"/>
    <n v="499"/>
    <x v="6"/>
    <m/>
    <x v="1"/>
  </r>
  <r>
    <s v="PSME/RHMA3-VAOV2"/>
    <x v="11"/>
    <s v="Douglas-fir - Moist"/>
    <n v="499"/>
    <x v="6"/>
    <m/>
    <x v="1"/>
  </r>
  <r>
    <s v="PSME/TODI"/>
    <x v="11"/>
    <s v="Douglas-fir - Dry"/>
    <n v="499"/>
    <x v="6"/>
    <m/>
    <x v="1"/>
  </r>
  <r>
    <s v="PSME-ABCO"/>
    <x v="11"/>
    <s v="White fir - Intermediate"/>
    <n v="530"/>
    <x v="0"/>
    <n v="72"/>
    <x v="0"/>
  </r>
  <r>
    <s v="PSME-ABCO/HODI"/>
    <x v="11"/>
    <s v="Douglas-fir - Moist"/>
    <n v="499"/>
    <x v="6"/>
    <m/>
    <x v="1"/>
  </r>
  <r>
    <s v="PSME-ABCO/SYMO"/>
    <x v="11"/>
    <s v="White fir - Intermediate"/>
    <n v="530"/>
    <x v="6"/>
    <m/>
    <x v="0"/>
  </r>
  <r>
    <s v="PSME-CACH6/BENE2"/>
    <x v="11"/>
    <s v="Douglas-fir - Moist"/>
    <n v="430"/>
    <x v="4"/>
    <m/>
    <x v="13"/>
  </r>
  <r>
    <s v="PSME-CADE27"/>
    <x v="11"/>
    <s v="Douglas-fir - Dry"/>
    <n v="264"/>
    <x v="7"/>
    <m/>
    <x v="0"/>
  </r>
  <r>
    <s v="PSME-CADE27/BEPI2"/>
    <x v="11"/>
    <s v="Douglas-fir - Dry"/>
    <n v="499"/>
    <x v="6"/>
    <m/>
    <x v="0"/>
  </r>
  <r>
    <s v="PSME-CADE27-PIJE"/>
    <x v="11"/>
    <s v="Jeffrey pine"/>
    <n v="264"/>
    <x v="7"/>
    <m/>
    <x v="0"/>
  </r>
  <r>
    <s v="PSME-PIPO/RHDI6"/>
    <x v="11"/>
    <s v="Douglas-fir - Dry"/>
    <n v="499"/>
    <x v="6"/>
    <n v="84"/>
    <x v="0"/>
  </r>
  <r>
    <s v="PSME-QUCH2/BENE2"/>
    <x v="11"/>
    <s v="Douglas-fir - Dry"/>
    <n v="499"/>
    <x v="0"/>
    <n v="131"/>
    <x v="0"/>
  </r>
  <r>
    <s v="PSME-QUCH2/RHDI6"/>
    <x v="11"/>
    <s v="Douglas-fir - Dry"/>
    <n v="499"/>
    <x v="0"/>
    <n v="171"/>
    <x v="0"/>
  </r>
  <r>
    <s v="PSME-QUCH2-LIDE3"/>
    <x v="11"/>
    <s v="Douglas-fir - Dry"/>
    <n v="499"/>
    <x v="6"/>
    <n v="41"/>
    <x v="0"/>
  </r>
  <r>
    <s v="PSME-QUKE/RHDI6"/>
    <x v="11"/>
    <s v="Douglas-fir - Dry"/>
    <n v="499"/>
    <x v="6"/>
    <n v="17"/>
    <x v="0"/>
  </r>
  <r>
    <s v="PSME-TSHE/RHMA3"/>
    <x v="11"/>
    <s v="Western hemlock - Hyper-dry"/>
    <n v="499"/>
    <x v="6"/>
    <m/>
    <x v="1"/>
  </r>
  <r>
    <s v="QUGA4/CYEC"/>
    <x v="12"/>
    <s v="Oregon white oak"/>
    <n v="200"/>
    <x v="9"/>
    <n v="139"/>
    <x v="0"/>
  </r>
  <r>
    <s v="QUGA4-PSME/RHDI6"/>
    <x v="12"/>
    <s v="Oregon white oak"/>
    <n v="200"/>
    <x v="9"/>
    <n v="48"/>
    <x v="0"/>
  </r>
  <r>
    <s v="THPL/BENE2/POMU"/>
    <x v="13"/>
    <s v="Western hemlock - Intermediate"/>
    <n v="600"/>
    <x v="0"/>
    <m/>
    <x v="0"/>
  </r>
  <r>
    <s v="TSHE/ACCI/POMU-NWO Coast"/>
    <x v="14"/>
    <s v="Western hemlock - Moist"/>
    <n v="600"/>
    <x v="3"/>
    <m/>
    <x v="1"/>
  </r>
  <r>
    <s v="TSHE/ACCI-COCO6-NWO Coast"/>
    <x v="14"/>
    <s v="Western hemlock - Intermediate"/>
    <n v="600"/>
    <x v="3"/>
    <m/>
    <x v="1"/>
  </r>
  <r>
    <s v="TSHE/ACCI-GASH/POMU-NWO Coast"/>
    <x v="14"/>
    <s v="Western hemlock - Intermediate"/>
    <n v="600"/>
    <x v="0"/>
    <m/>
    <x v="1"/>
  </r>
  <r>
    <s v="TSHE/ACCI-GASH-SWO"/>
    <x v="14"/>
    <s v="Western hemlock - Intermediate"/>
    <n v="600"/>
    <x v="0"/>
    <m/>
    <x v="0"/>
  </r>
  <r>
    <s v="TSHE/ACCI-RHMA3"/>
    <x v="14"/>
    <s v="Western hemlock - Intermediate"/>
    <n v="600"/>
    <x v="0"/>
    <m/>
    <x v="0"/>
  </r>
  <r>
    <s v="TSHE/ACTR-DRY-NWO Coast"/>
    <x v="14"/>
    <s v="Western hemlock - Intermediate"/>
    <n v="600"/>
    <x v="0"/>
    <m/>
    <x v="1"/>
  </r>
  <r>
    <s v="TSHE/BENE/CHME"/>
    <x v="14"/>
    <s v="Western hemlock - Intermediate"/>
    <n v="600"/>
    <x v="0"/>
    <m/>
    <x v="1"/>
  </r>
  <r>
    <s v="TSHE/BENE-COAST"/>
    <x v="14"/>
    <s v="Western hemlock - Intermediate"/>
    <n v="600"/>
    <x v="0"/>
    <m/>
    <x v="1"/>
  </r>
  <r>
    <s v="TSHE/BENE-GASH"/>
    <x v="14"/>
    <s v="Western hemlock - Intermediate"/>
    <n v="600"/>
    <x v="0"/>
    <m/>
    <x v="1"/>
  </r>
  <r>
    <s v="TSHE/GASH/POMU-SWO"/>
    <x v="14"/>
    <s v="Western hemlock - Intermediate"/>
    <n v="600"/>
    <x v="0"/>
    <m/>
    <x v="0"/>
  </r>
  <r>
    <s v="TSHE/GASH-BENE2-SWO"/>
    <x v="14"/>
    <s v="Western hemlock - Intermediate"/>
    <n v="600"/>
    <x v="0"/>
    <m/>
    <x v="0"/>
  </r>
  <r>
    <s v="TSHE/GASH-COAST"/>
    <x v="14"/>
    <s v="Western hemlock - Intermediate"/>
    <n v="600"/>
    <x v="0"/>
    <m/>
    <x v="1"/>
  </r>
  <r>
    <s v="TSHE/GASH-NWO Cascades"/>
    <x v="14"/>
    <s v="Western hemlock - Intermediate"/>
    <n v="600"/>
    <x v="0"/>
    <m/>
    <x v="1"/>
  </r>
  <r>
    <s v="TSHE/GASH-NWO Coast"/>
    <x v="14"/>
    <s v="Western hemlock - Intermediate"/>
    <n v="600"/>
    <x v="0"/>
    <m/>
    <x v="1"/>
  </r>
  <r>
    <s v="TSHE/GASH-OLY"/>
    <x v="14"/>
    <s v="Western hemlock - Intermediate"/>
    <n v="600"/>
    <x v="0"/>
    <m/>
    <x v="1"/>
  </r>
  <r>
    <s v="TSHE/GASH-RHMA3-SWO"/>
    <x v="14"/>
    <s v="Western hemlock - Intermediate"/>
    <s v="XXX"/>
    <x v="2"/>
    <m/>
    <x v="8"/>
  </r>
  <r>
    <s v="TSHE/MANE2/OXOR-NWO Coast"/>
    <x v="14"/>
    <s v="Western hemlock - Moist"/>
    <n v="600"/>
    <x v="0"/>
    <m/>
    <x v="1"/>
  </r>
  <r>
    <s v="TSHE/MANE2/POMU-NWO Coast"/>
    <x v="14"/>
    <s v="Western hemlock - Moist"/>
    <n v="600"/>
    <x v="0"/>
    <m/>
    <x v="1"/>
  </r>
  <r>
    <s v="TSHE/MANE2-DRY-NWO Coast"/>
    <x v="14"/>
    <s v="Western hemlock - Hyper-dry"/>
    <s v="NA"/>
    <x v="3"/>
    <m/>
    <x v="1"/>
  </r>
  <r>
    <s v="TSHE/MANE2-GASH-DRY-NWO Coast"/>
    <x v="14"/>
    <s v="Western hemlock - Intermediate"/>
    <n v="600"/>
    <x v="0"/>
    <m/>
    <x v="1"/>
  </r>
  <r>
    <s v="TSHE/MANE2-GASH-NWO Coast"/>
    <x v="14"/>
    <s v="Western hemlock - Intermediate"/>
    <n v="600"/>
    <x v="0"/>
    <m/>
    <x v="1"/>
  </r>
  <r>
    <s v="TSHE/MANE2-NWO Coast"/>
    <x v="14"/>
    <s v="Western hemlock - Intermediate"/>
    <n v="600"/>
    <x v="0"/>
    <m/>
    <x v="1"/>
  </r>
  <r>
    <s v="TSHE/OXOR-ACTR-NWO Coast"/>
    <x v="14"/>
    <s v="Western hemlock - Moist"/>
    <n v="600"/>
    <x v="0"/>
    <m/>
    <x v="1"/>
  </r>
  <r>
    <s v="TSHE/OXOR-COAST"/>
    <x v="14"/>
    <s v="Western hemlock - Moist"/>
    <n v="600"/>
    <x v="0"/>
    <m/>
    <x v="1"/>
  </r>
  <r>
    <s v="TSHE/OXOR-NWO Coast"/>
    <x v="14"/>
    <s v="Western hemlock - Moist"/>
    <n v="600"/>
    <x v="0"/>
    <m/>
    <x v="1"/>
  </r>
  <r>
    <s v="TSHE/POMU-COAST"/>
    <x v="14"/>
    <s v="Western hemlock - Moist"/>
    <n v="600"/>
    <x v="0"/>
    <m/>
    <x v="1"/>
  </r>
  <r>
    <s v="TSHE/POMU-NWO Coast"/>
    <x v="14"/>
    <s v="Western hemlock - Moist"/>
    <n v="600"/>
    <x v="0"/>
    <m/>
    <x v="1"/>
  </r>
  <r>
    <s v="TSHE/POMU-SWO"/>
    <x v="14"/>
    <s v="Western hemlock - Moist"/>
    <n v="600"/>
    <x v="0"/>
    <m/>
    <x v="0"/>
  </r>
  <r>
    <s v="TSHE/POMU-WILL"/>
    <x v="14"/>
    <s v="Western hemlock - Moist"/>
    <n v="600"/>
    <x v="0"/>
    <m/>
    <x v="1"/>
  </r>
  <r>
    <s v="TSHE/RHMA/LIBOL (SWO)"/>
    <x v="14"/>
    <s v="Western hemlock - Intermediate"/>
    <n v="600"/>
    <x v="0"/>
    <m/>
    <x v="1"/>
  </r>
  <r>
    <s v="TSHE/RHMA3/POMU"/>
    <x v="14"/>
    <s v="Western hemlock - Moist"/>
    <n v="600"/>
    <x v="0"/>
    <m/>
    <x v="1"/>
  </r>
  <r>
    <s v="TSHE/RHMA3/POMU-NWO Coast"/>
    <x v="14"/>
    <s v="Western hemlock - Moist"/>
    <n v="600"/>
    <x v="0"/>
    <m/>
    <x v="1"/>
  </r>
  <r>
    <s v="TSHE/RHMA3-BENE2-SWO"/>
    <x v="14"/>
    <s v="Western hemlock - Intermediate"/>
    <n v="600"/>
    <x v="0"/>
    <m/>
    <x v="0"/>
  </r>
  <r>
    <s v="TSHE/RHMA3-GASH-NWO Coast"/>
    <x v="14"/>
    <s v="Western hemlock - Intermediate"/>
    <n v="600"/>
    <x v="0"/>
    <m/>
    <x v="1"/>
  </r>
  <r>
    <s v="TSHE/RHMA3-GASH-SWO"/>
    <x v="14"/>
    <s v="Western hemlock - Intermediate"/>
    <n v="600"/>
    <x v="0"/>
    <m/>
    <x v="15"/>
  </r>
  <r>
    <s v="TSHE/RHMA3-MANE2-NWO Coast"/>
    <x v="14"/>
    <s v="Western hemlock - Intermediate"/>
    <n v="600"/>
    <x v="0"/>
    <m/>
    <x v="1"/>
  </r>
  <r>
    <s v="TSHE/RHMA3-VAOV2-NWO Coast"/>
    <x v="14"/>
    <s v="Western hemlock - Intermediate"/>
    <n v="600"/>
    <x v="0"/>
    <m/>
    <x v="1"/>
  </r>
  <r>
    <s v="TSHE/RHMA-BENE-WILL"/>
    <x v="14"/>
    <s v="Western hemlock - Intermediate"/>
    <n v="600"/>
    <x v="0"/>
    <m/>
    <x v="1"/>
  </r>
  <r>
    <s v="TSHE/RHMA-OLY"/>
    <x v="14"/>
    <s v="Western hemlock - Intermediate"/>
    <n v="600"/>
    <x v="0"/>
    <m/>
    <x v="1"/>
  </r>
  <r>
    <s v="TSHE/RUSP"/>
    <x v="14"/>
    <s v="Western hemlock - Moist"/>
    <n v="600"/>
    <x v="0"/>
    <m/>
    <x v="0"/>
  </r>
  <r>
    <s v="TSHE/RUSP-ACCI"/>
    <x v="14"/>
    <s v="Western hemlock - Moist"/>
    <n v="600"/>
    <x v="0"/>
    <m/>
    <x v="1"/>
  </r>
  <r>
    <s v="TSHE/RUSP-COAST"/>
    <x v="14"/>
    <s v="Western hemlock - Moist"/>
    <n v="600"/>
    <x v="0"/>
    <m/>
    <x v="1"/>
  </r>
  <r>
    <s v="TSHE/RUSP-GASH"/>
    <x v="14"/>
    <s v="Western hemlock - Moist"/>
    <n v="600"/>
    <x v="0"/>
    <m/>
    <x v="1"/>
  </r>
  <r>
    <s v="TSHE/VAOV2"/>
    <x v="14"/>
    <s v="Western hemlock - Moist"/>
    <n v="600"/>
    <x v="0"/>
    <m/>
    <x v="1"/>
  </r>
  <r>
    <s v="TSHE/VAOV2/POMU"/>
    <x v="14"/>
    <s v="Western hemlock - Moist"/>
    <n v="600"/>
    <x v="0"/>
    <m/>
    <x v="0"/>
  </r>
  <r>
    <s v="TSHE-ABAM"/>
    <x v="14"/>
    <s v="Pacific silver fir - Intermediate"/>
    <n v="755"/>
    <x v="1"/>
    <m/>
    <x v="0"/>
  </r>
  <r>
    <s v="TSHE-ABCO/ACCI-BENE2"/>
    <x v="14"/>
    <s v="Western hemlock - Hyper-dry"/>
    <n v="430"/>
    <x v="4"/>
    <m/>
    <x v="0"/>
  </r>
  <r>
    <s v="TSHE-ABCO/BENE2"/>
    <x v="14"/>
    <s v="Western hemlock - Hyper-dry"/>
    <n v="430"/>
    <x v="4"/>
    <m/>
    <x v="0"/>
  </r>
  <r>
    <s v="TSHE-ACMA/POMU"/>
    <x v="14"/>
    <s v="Western hemlock - Intermediate"/>
    <n v="600"/>
    <x v="0"/>
    <m/>
    <x v="4"/>
  </r>
  <r>
    <s v="TSHE-CACH6/GASH-RHMA3"/>
    <x v="14"/>
    <s v="Western hemlock - Intermediate"/>
    <s v="XXX"/>
    <x v="4"/>
    <m/>
    <x v="8"/>
  </r>
  <r>
    <s v="TSHE-CADE27/GASH"/>
    <x v="14"/>
    <s v="Western hemlock - Hyper-dry"/>
    <n v="600"/>
    <x v="0"/>
    <m/>
    <x v="0"/>
  </r>
  <r>
    <s v="TSHE-CHLA"/>
    <x v="14"/>
    <s v="Douglas-fir - Moist"/>
    <n v="499"/>
    <x v="6"/>
    <m/>
    <x v="4"/>
  </r>
  <r>
    <s v="TSHE-CHLA/RHMA3-BENE2"/>
    <x v="14"/>
    <s v="Tan oak - Douglas-fir - Moist"/>
    <n v="600"/>
    <x v="0"/>
    <m/>
    <x v="1"/>
  </r>
  <r>
    <s v="TSHE-LIDE3/RHMA3"/>
    <x v="14"/>
    <s v="Tan oak - Douglas-fir - Moist"/>
    <n v="600"/>
    <x v="0"/>
    <m/>
    <x v="0"/>
  </r>
  <r>
    <s v="TSHE-LIDE3/RHMA3/POMU"/>
    <x v="14"/>
    <s v="Tan oak - Douglas-fir - Moist"/>
    <n v="600"/>
    <x v="0"/>
    <m/>
    <x v="1"/>
  </r>
  <r>
    <s v="TSHE-LIDE3/RHMA3-VAOV2"/>
    <x v="14"/>
    <s v="Tan oak - Douglas-fir - Moist"/>
    <n v="600"/>
    <x v="0"/>
    <m/>
    <x v="1"/>
  </r>
  <r>
    <s v="TSHE-LIDE3/VAOV2-RHMA3"/>
    <x v="14"/>
    <s v="Western hemlock - Moist"/>
    <n v="600"/>
    <x v="0"/>
    <m/>
    <x v="0"/>
  </r>
  <r>
    <s v="TSHE-LIDE3-UMCA"/>
    <x v="14"/>
    <s v="Western hemlock - Moist"/>
    <n v="600"/>
    <x v="0"/>
    <m/>
    <x v="0"/>
  </r>
  <r>
    <s v="TSHE-PSME/GASH-SWO"/>
    <x v="14"/>
    <s v="Western hemlock - Intermediate"/>
    <n v="600"/>
    <x v="0"/>
    <m/>
    <x v="0"/>
  </r>
  <r>
    <s v="TSHE-THPL/RHMA3"/>
    <x v="14"/>
    <s v="Western hemlock - Intermediate"/>
    <n v="600"/>
    <x v="0"/>
    <m/>
    <x v="0"/>
  </r>
  <r>
    <s v="TSME/ARNE"/>
    <x v="15"/>
    <s v="Mountain hemlock - Cold dry"/>
    <n v="755"/>
    <x v="1"/>
    <m/>
    <x v="1"/>
  </r>
  <r>
    <s v="TSME/ARNE/CHUM"/>
    <x v="15"/>
    <s v="Mountain hemlock - Cold dry"/>
    <n v="460"/>
    <x v="2"/>
    <m/>
    <x v="0"/>
  </r>
  <r>
    <s v="TSME/CACH"/>
    <x v="15"/>
    <s v="Mountain hemlock - Cold dry"/>
    <n v="755"/>
    <x v="1"/>
    <m/>
    <x v="1"/>
  </r>
  <r>
    <s v="TSME/CAIN4"/>
    <x v="15"/>
    <s v="Mountain hemlock - Cold dry"/>
    <n v="755"/>
    <x v="1"/>
    <m/>
    <x v="1"/>
  </r>
  <r>
    <s v="TSME/CHUM"/>
    <x v="15"/>
    <s v="Mountain hemlock - Cold dry"/>
    <n v="755"/>
    <x v="1"/>
    <m/>
    <x v="1"/>
  </r>
  <r>
    <s v="TSME/HERB"/>
    <x v="15"/>
    <s v="Mountain hemlock - Cold dry"/>
    <n v="755"/>
    <x v="1"/>
    <m/>
    <x v="16"/>
  </r>
  <r>
    <s v="TSME/LUHI"/>
    <x v="15"/>
    <s v="Mountain hemlock - Cold dry"/>
    <n v="755"/>
    <x v="1"/>
    <m/>
    <x v="1"/>
  </r>
  <r>
    <s v="TSME/RHMA"/>
    <x v="15"/>
    <s v="Mountain hemlock - Cold dry"/>
    <n v="755"/>
    <x v="1"/>
    <m/>
    <x v="1"/>
  </r>
  <r>
    <s v="TSME/RHMA3/XETE"/>
    <x v="15"/>
    <s v="Mountain hemlock - Cold dry"/>
    <n v="460"/>
    <x v="2"/>
    <m/>
    <x v="0"/>
  </r>
  <r>
    <s v="TSME/VAME"/>
    <x v="15"/>
    <s v="Mountain hemlock - Cold dry"/>
    <n v="755"/>
    <x v="1"/>
    <m/>
    <x v="1"/>
  </r>
  <r>
    <s v="TSME/VAME/PYSE"/>
    <x v="15"/>
    <s v="Mountain hemlock - Cold dry"/>
    <n v="460"/>
    <x v="2"/>
    <m/>
    <x v="0"/>
  </r>
  <r>
    <s v="TSME/VAME/XETE"/>
    <x v="15"/>
    <s v="Mountain hemlock - Cold dry"/>
    <n v="755"/>
    <x v="1"/>
    <m/>
    <x v="1"/>
  </r>
  <r>
    <s v="TSME/VAME-GP"/>
    <x v="15"/>
    <s v="Mountain hemlock - Cold dry"/>
    <n v="755"/>
    <x v="1"/>
    <m/>
    <x v="1"/>
  </r>
  <r>
    <s v="TSME/VASC"/>
    <x v="15"/>
    <s v="Mountain hemlock - Cold dry"/>
    <n v="755"/>
    <x v="1"/>
    <m/>
    <x v="1"/>
  </r>
  <r>
    <s v="TSME/VASC/CHUM"/>
    <x v="15"/>
    <s v="Mountain hemlock - Cold dry"/>
    <n v="755"/>
    <x v="1"/>
    <m/>
    <x v="16"/>
  </r>
  <r>
    <s v="TSME/VASC-DES"/>
    <x v="15"/>
    <s v="Mountain hemlock - Cold dry"/>
    <n v="755"/>
    <x v="1"/>
    <m/>
    <x v="1"/>
  </r>
  <r>
    <s v="TSME/VASC-MTH"/>
    <x v="15"/>
    <s v="Mountain hemlock - Cold dry"/>
    <n v="755"/>
    <x v="1"/>
    <m/>
    <x v="1"/>
  </r>
  <r>
    <s v="TSME-ABMAS/RULA2/PYSE"/>
    <x v="15"/>
    <s v="Mountain hemlock - Cold dry"/>
    <n v="755"/>
    <x v="1"/>
    <m/>
    <x v="17"/>
  </r>
  <r>
    <s v="TSME-ABMAS/VAME/CHUM"/>
    <x v="15"/>
    <s v="Mountain hemlock - Cold dry"/>
    <n v="460"/>
    <x v="2"/>
    <m/>
    <x v="0"/>
  </r>
  <r>
    <m/>
    <x v="16"/>
    <m/>
    <m/>
    <x v="3"/>
    <m/>
    <x v="18"/>
  </r>
  <r>
    <m/>
    <x v="16"/>
    <m/>
    <m/>
    <x v="3"/>
    <m/>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420C92-400A-404C-AB50-63F167780BA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L20" firstHeaderRow="1" firstDataRow="2" firstDataCol="1" rowPageCount="1" colPageCount="1"/>
  <pivotFields count="7">
    <pivotField dataField="1" compact="0" outline="0" showAll="0"/>
    <pivotField axis="axisRow" compact="0" outline="0" showAll="0">
      <items count="20">
        <item x="0"/>
        <item x="1"/>
        <item x="2"/>
        <item m="1" x="18"/>
        <item x="4"/>
        <item x="5"/>
        <item x="6"/>
        <item x="7"/>
        <item x="8"/>
        <item m="1" x="17"/>
        <item x="10"/>
        <item x="11"/>
        <item x="12"/>
        <item x="13"/>
        <item x="14"/>
        <item x="15"/>
        <item x="16"/>
        <item x="3"/>
        <item x="9"/>
        <item t="default"/>
      </items>
    </pivotField>
    <pivotField compact="0" outline="0" showAll="0"/>
    <pivotField compact="0" outline="0" showAll="0"/>
    <pivotField axis="axisCol" compact="0" outline="0" showAll="0">
      <items count="12">
        <item x="1"/>
        <item x="5"/>
        <item x="8"/>
        <item x="7"/>
        <item x="4"/>
        <item m="1" x="10"/>
        <item x="2"/>
        <item x="6"/>
        <item x="0"/>
        <item x="9"/>
        <item x="3"/>
        <item t="default"/>
      </items>
    </pivotField>
    <pivotField compact="0" outline="0" showAll="0"/>
    <pivotField axis="axisPage" compact="0" outline="0" multipleItemSelectionAllowed="1" showAll="0">
      <items count="27">
        <item m="1" x="21"/>
        <item m="1" x="22"/>
        <item h="1" x="1"/>
        <item x="12"/>
        <item x="6"/>
        <item x="5"/>
        <item x="14"/>
        <item m="1" x="25"/>
        <item x="13"/>
        <item m="1" x="24"/>
        <item x="7"/>
        <item m="1" x="23"/>
        <item x="0"/>
        <item x="16"/>
        <item x="18"/>
        <item x="2"/>
        <item x="3"/>
        <item h="1" x="4"/>
        <item m="1" x="19"/>
        <item x="8"/>
        <item x="9"/>
        <item x="10"/>
        <item h="1" x="11"/>
        <item m="1" x="20"/>
        <item x="15"/>
        <item x="17"/>
        <item t="default"/>
      </items>
    </pivotField>
  </pivotFields>
  <rowFields count="1">
    <field x="1"/>
  </rowFields>
  <rowItems count="16">
    <i>
      <x/>
    </i>
    <i>
      <x v="1"/>
    </i>
    <i>
      <x v="4"/>
    </i>
    <i>
      <x v="5"/>
    </i>
    <i>
      <x v="7"/>
    </i>
    <i>
      <x v="8"/>
    </i>
    <i>
      <x v="10"/>
    </i>
    <i>
      <x v="11"/>
    </i>
    <i>
      <x v="12"/>
    </i>
    <i>
      <x v="13"/>
    </i>
    <i>
      <x v="14"/>
    </i>
    <i>
      <x v="15"/>
    </i>
    <i>
      <x v="16"/>
    </i>
    <i>
      <x v="17"/>
    </i>
    <i>
      <x v="18"/>
    </i>
    <i t="grand">
      <x/>
    </i>
  </rowItems>
  <colFields count="1">
    <field x="4"/>
  </colFields>
  <colItems count="11">
    <i>
      <x/>
    </i>
    <i>
      <x v="1"/>
    </i>
    <i>
      <x v="2"/>
    </i>
    <i>
      <x v="3"/>
    </i>
    <i>
      <x v="4"/>
    </i>
    <i>
      <x v="6"/>
    </i>
    <i>
      <x v="7"/>
    </i>
    <i>
      <x v="8"/>
    </i>
    <i>
      <x v="9"/>
    </i>
    <i>
      <x v="10"/>
    </i>
    <i t="grand">
      <x/>
    </i>
  </colItems>
  <pageFields count="1">
    <pageField fld="6" hier="-1"/>
  </pageFields>
  <dataFields count="1">
    <dataField name="Count of PlantAssocia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5"/>
  <sheetViews>
    <sheetView workbookViewId="0">
      <pane xSplit="3" ySplit="1" topLeftCell="D2" activePane="bottomRight" state="frozen"/>
      <selection pane="topRight"/>
      <selection pane="bottomLeft"/>
      <selection pane="bottomRight" activeCell="E86" sqref="E86"/>
    </sheetView>
  </sheetViews>
  <sheetFormatPr defaultRowHeight="15" customHeight="1" x14ac:dyDescent="0.5"/>
  <cols>
    <col min="2" max="2" width="25.87890625" customWidth="1"/>
    <col min="3" max="3" width="25.1171875" customWidth="1"/>
    <col min="4" max="4" width="15.1171875" customWidth="1"/>
    <col min="5" max="5" width="16.29296875" customWidth="1"/>
    <col min="6" max="6" width="13.29296875" bestFit="1" customWidth="1"/>
    <col min="7" max="7" width="58.41015625" style="11" customWidth="1"/>
    <col min="8" max="8" width="21.41015625" customWidth="1"/>
    <col min="9" max="9" width="22.87890625" bestFit="1" customWidth="1"/>
  </cols>
  <sheetData>
    <row r="1" spans="1:9" s="39" customFormat="1" ht="28.7" x14ac:dyDescent="0.5">
      <c r="A1" s="39" t="s">
        <v>0</v>
      </c>
      <c r="B1" s="62" t="s">
        <v>1</v>
      </c>
      <c r="C1" s="62" t="s">
        <v>2</v>
      </c>
      <c r="D1" s="62" t="s">
        <v>3</v>
      </c>
      <c r="E1" s="62" t="s">
        <v>4</v>
      </c>
      <c r="F1" s="62" t="s">
        <v>5</v>
      </c>
      <c r="G1" s="63" t="s">
        <v>6</v>
      </c>
      <c r="H1" s="62" t="s">
        <v>7</v>
      </c>
      <c r="I1" s="62" t="s">
        <v>8</v>
      </c>
    </row>
    <row r="2" spans="1:9" ht="15.7" x14ac:dyDescent="0.55000000000000004">
      <c r="A2">
        <v>1</v>
      </c>
      <c r="B2" t="s">
        <v>279</v>
      </c>
      <c r="C2" t="s">
        <v>280</v>
      </c>
      <c r="F2" s="3">
        <v>711740</v>
      </c>
      <c r="G2" t="s">
        <v>281</v>
      </c>
      <c r="I2" t="str">
        <f>_xlfn.XLOOKUP(B2,RA_LFBpS_SWO_PAG_PA!B:B,RA_LFBpS_SWO_PAG_PA!C:C)</f>
        <v>Pacific Silver Fir/Vanillaleaf-Coolwort Foamflower - mesic</v>
      </c>
    </row>
    <row r="3" spans="1:9" ht="15.7" x14ac:dyDescent="0.55000000000000004">
      <c r="A3">
        <v>11</v>
      </c>
      <c r="B3" t="s">
        <v>282</v>
      </c>
      <c r="C3" t="s">
        <v>280</v>
      </c>
      <c r="F3" s="3">
        <v>711740</v>
      </c>
      <c r="G3" t="s">
        <v>281</v>
      </c>
      <c r="I3" t="e">
        <f>_xlfn.XLOOKUP(B3,RA_LFBpS_SWO_PAG_PA!B:B,RA_LFBpS_SWO_PAG_PA!C:C)</f>
        <v>#N/A</v>
      </c>
    </row>
    <row r="4" spans="1:9" ht="15.7" x14ac:dyDescent="0.55000000000000004">
      <c r="A4">
        <v>3</v>
      </c>
      <c r="B4" t="s">
        <v>283</v>
      </c>
      <c r="C4" t="s">
        <v>280</v>
      </c>
      <c r="F4" s="3">
        <v>711740</v>
      </c>
      <c r="G4" t="s">
        <v>281</v>
      </c>
      <c r="I4" t="e">
        <f>_xlfn.XLOOKUP(B4,RA_LFBpS_SWO_PAG_PA!B:B,RA_LFBpS_SWO_PAG_PA!C:C)</f>
        <v>#N/A</v>
      </c>
    </row>
    <row r="5" spans="1:9" ht="15.7" x14ac:dyDescent="0.55000000000000004">
      <c r="A5">
        <v>4</v>
      </c>
      <c r="B5" t="s">
        <v>284</v>
      </c>
      <c r="C5" t="s">
        <v>280</v>
      </c>
      <c r="F5" s="3">
        <v>711740</v>
      </c>
      <c r="G5" t="s">
        <v>281</v>
      </c>
      <c r="I5" t="e">
        <f>_xlfn.XLOOKUP(B5,RA_LFBpS_SWO_PAG_PA!B:B,RA_LFBpS_SWO_PAG_PA!C:C)</f>
        <v>#N/A</v>
      </c>
    </row>
    <row r="6" spans="1:9" ht="15.7" x14ac:dyDescent="0.55000000000000004">
      <c r="A6">
        <v>5</v>
      </c>
      <c r="B6" t="s">
        <v>285</v>
      </c>
      <c r="C6" t="s">
        <v>280</v>
      </c>
      <c r="F6" s="3">
        <v>711740</v>
      </c>
      <c r="G6" t="s">
        <v>281</v>
      </c>
      <c r="I6" t="e">
        <f>_xlfn.XLOOKUP(B6,RA_LFBpS_SWO_PAG_PA!B:B,RA_LFBpS_SWO_PAG_PA!C:C)</f>
        <v>#N/A</v>
      </c>
    </row>
    <row r="7" spans="1:9" ht="15.7" x14ac:dyDescent="0.55000000000000004">
      <c r="A7">
        <v>6</v>
      </c>
      <c r="B7" t="s">
        <v>286</v>
      </c>
      <c r="C7" t="s">
        <v>280</v>
      </c>
      <c r="F7" s="3">
        <v>711740</v>
      </c>
      <c r="G7" t="s">
        <v>281</v>
      </c>
      <c r="I7" t="e">
        <f>_xlfn.XLOOKUP(B7,RA_LFBpS_SWO_PAG_PA!B:B,RA_LFBpS_SWO_PAG_PA!C:C)</f>
        <v>#N/A</v>
      </c>
    </row>
    <row r="8" spans="1:9" ht="15.7" x14ac:dyDescent="0.55000000000000004">
      <c r="A8">
        <v>7</v>
      </c>
      <c r="B8" t="s">
        <v>287</v>
      </c>
      <c r="C8" t="s">
        <v>280</v>
      </c>
      <c r="F8" s="3">
        <v>711740</v>
      </c>
      <c r="G8" t="s">
        <v>281</v>
      </c>
      <c r="I8" t="str">
        <f>_xlfn.XLOOKUP(B8,RA_LFBpS_SWO_PAG_PA!B:B,RA_LFBpS_SWO_PAG_PA!C:C)</f>
        <v>Pacific Silver Fir/Vanillaleaf-Coolwort Foamflower - mesic</v>
      </c>
    </row>
    <row r="9" spans="1:9" ht="15.7" x14ac:dyDescent="0.55000000000000004">
      <c r="A9">
        <v>8</v>
      </c>
      <c r="B9" t="s">
        <v>288</v>
      </c>
      <c r="C9" t="s">
        <v>280</v>
      </c>
      <c r="F9" s="3">
        <v>711740</v>
      </c>
      <c r="G9" t="s">
        <v>281</v>
      </c>
      <c r="I9" t="str">
        <f>_xlfn.XLOOKUP(B9,RA_LFBpS_SWO_PAG_PA!B:B,RA_LFBpS_SWO_PAG_PA!C:C)</f>
        <v>Pacific Silver Fir/Big Huckleberry/Beargrass</v>
      </c>
    </row>
    <row r="10" spans="1:9" ht="15.7" x14ac:dyDescent="0.55000000000000004">
      <c r="A10">
        <v>1</v>
      </c>
      <c r="B10" t="s">
        <v>116</v>
      </c>
      <c r="C10" t="s">
        <v>117</v>
      </c>
      <c r="F10" s="3">
        <v>710280</v>
      </c>
      <c r="G10" t="s">
        <v>118</v>
      </c>
      <c r="I10" t="s">
        <v>119</v>
      </c>
    </row>
    <row r="11" spans="1:9" ht="15.7" x14ac:dyDescent="0.55000000000000004">
      <c r="A11">
        <v>2</v>
      </c>
      <c r="B11" t="s">
        <v>120</v>
      </c>
      <c r="C11" t="s">
        <v>117</v>
      </c>
      <c r="F11" s="3">
        <v>710280</v>
      </c>
      <c r="G11" t="s">
        <v>118</v>
      </c>
      <c r="I11" t="str">
        <f>_xlfn.XLOOKUP(B11,RA_LFBpS_SWO_PAG_PA!B:B,RA_LFBpS_SWO_PAG_PA!C:C)</f>
        <v>White Fir/Pacific Rhododendron</v>
      </c>
    </row>
    <row r="12" spans="1:9" ht="15.7" x14ac:dyDescent="0.55000000000000004">
      <c r="A12">
        <v>1</v>
      </c>
      <c r="B12" t="s">
        <v>121</v>
      </c>
      <c r="C12" t="s">
        <v>106</v>
      </c>
      <c r="F12" s="3">
        <v>710280</v>
      </c>
      <c r="G12" t="s">
        <v>118</v>
      </c>
      <c r="I12" t="str">
        <f>_xlfn.XLOOKUP(B12,RA_LFBpS_SWO_PAG_PA!B:B,RA_LFBpS_SWO_PAG_PA!C:C)</f>
        <v>White Fir - cool, dry</v>
      </c>
    </row>
    <row r="13" spans="1:9" ht="15.7" x14ac:dyDescent="0.55000000000000004">
      <c r="A13">
        <v>3</v>
      </c>
      <c r="B13" t="s">
        <v>122</v>
      </c>
      <c r="C13" t="s">
        <v>106</v>
      </c>
      <c r="F13" s="3">
        <v>710280</v>
      </c>
      <c r="G13" t="s">
        <v>118</v>
      </c>
      <c r="I13" t="str">
        <f>_xlfn.XLOOKUP(B13,RA_LFBpS_SWO_PAG_PA!B:B,RA_LFBpS_SWO_PAG_PA!C:C)</f>
        <v>White Fir/Dwarf Oregongrape</v>
      </c>
    </row>
    <row r="14" spans="1:9" ht="15.7" x14ac:dyDescent="0.55000000000000004">
      <c r="A14">
        <v>5</v>
      </c>
      <c r="B14" t="s">
        <v>123</v>
      </c>
      <c r="C14" t="s">
        <v>106</v>
      </c>
      <c r="F14" s="3">
        <v>710280</v>
      </c>
      <c r="G14" t="s">
        <v>118</v>
      </c>
      <c r="I14" t="str">
        <f>_xlfn.XLOOKUP(B14,RA_LFBpS_SWO_PAG_PA!B:B,RA_LFBpS_SWO_PAG_PA!C:C)</f>
        <v>White Fir/Dwarf Oregongrape</v>
      </c>
    </row>
    <row r="15" spans="1:9" ht="15.7" x14ac:dyDescent="0.55000000000000004">
      <c r="A15">
        <v>1</v>
      </c>
      <c r="B15" t="s">
        <v>124</v>
      </c>
      <c r="C15" t="s">
        <v>106</v>
      </c>
      <c r="F15" s="3">
        <v>710280</v>
      </c>
      <c r="G15" t="s">
        <v>118</v>
      </c>
      <c r="I15" t="str">
        <f>_xlfn.XLOOKUP(B15,RA_LFBpS_SWO_PAG_PA!B:B,RA_LFBpS_SWO_PAG_PA!C:C)</f>
        <v>White Fir/Dwarf Oregongrape</v>
      </c>
    </row>
    <row r="16" spans="1:9" ht="15.7" x14ac:dyDescent="0.55000000000000004">
      <c r="A16">
        <v>3</v>
      </c>
      <c r="B16" t="s">
        <v>125</v>
      </c>
      <c r="C16" t="s">
        <v>106</v>
      </c>
      <c r="F16" s="3">
        <v>710280</v>
      </c>
      <c r="G16" t="s">
        <v>118</v>
      </c>
      <c r="I16" t="e">
        <f>_xlfn.XLOOKUP(B16,RA_LFBpS_SWO_PAG_PA!B:B,RA_LFBpS_SWO_PAG_PA!C:C)</f>
        <v>#N/A</v>
      </c>
    </row>
    <row r="17" spans="1:9" ht="15.7" x14ac:dyDescent="0.55000000000000004">
      <c r="A17">
        <v>5</v>
      </c>
      <c r="B17" t="s">
        <v>126</v>
      </c>
      <c r="C17" t="s">
        <v>106</v>
      </c>
      <c r="F17" s="3">
        <v>710280</v>
      </c>
      <c r="G17" t="s">
        <v>118</v>
      </c>
      <c r="I17" t="e">
        <f>_xlfn.XLOOKUP(B17,RA_LFBpS_SWO_PAG_PA!B:B,RA_LFBpS_SWO_PAG_PA!C:C)</f>
        <v>#N/A</v>
      </c>
    </row>
    <row r="18" spans="1:9" ht="15.7" x14ac:dyDescent="0.55000000000000004">
      <c r="A18">
        <v>3</v>
      </c>
      <c r="B18" t="s">
        <v>127</v>
      </c>
      <c r="C18" t="s">
        <v>117</v>
      </c>
      <c r="F18" s="3">
        <v>710280</v>
      </c>
      <c r="G18" t="s">
        <v>118</v>
      </c>
      <c r="I18" t="e">
        <f>_xlfn.XLOOKUP(B18,RA_LFBpS_SWO_PAG_PA!B:B,RA_LFBpS_SWO_PAG_PA!C:C)</f>
        <v>#N/A</v>
      </c>
    </row>
    <row r="19" spans="1:9" ht="15.7" x14ac:dyDescent="0.55000000000000004">
      <c r="A19">
        <v>1</v>
      </c>
      <c r="B19" t="s">
        <v>128</v>
      </c>
      <c r="C19" t="s">
        <v>129</v>
      </c>
      <c r="F19" s="3">
        <v>710280</v>
      </c>
      <c r="G19" t="s">
        <v>118</v>
      </c>
      <c r="I19" t="str">
        <f>_xlfn.XLOOKUP(B19,RA_LFBpS_SWO_PAG_PA!B:B,RA_LFBpS_SWO_PAG_PA!C:C)</f>
        <v>White Fir-Western Hemlock/Dwarf Oregongrape</v>
      </c>
    </row>
    <row r="20" spans="1:9" ht="15.7" x14ac:dyDescent="0.55000000000000004">
      <c r="A20">
        <v>4</v>
      </c>
      <c r="B20" t="s">
        <v>130</v>
      </c>
      <c r="C20" t="s">
        <v>117</v>
      </c>
      <c r="F20" s="3">
        <v>710280</v>
      </c>
      <c r="G20" t="s">
        <v>118</v>
      </c>
      <c r="I20" t="str">
        <f>_xlfn.XLOOKUP(B20,RA_LFBpS_SWO_PAG_PA!B:B,RA_LFBpS_SWO_PAG_PA!C:C)</f>
        <v>White Fir - cool, dry</v>
      </c>
    </row>
    <row r="21" spans="1:9" ht="15.7" x14ac:dyDescent="0.55000000000000004">
      <c r="A21">
        <v>5</v>
      </c>
      <c r="B21" t="s">
        <v>131</v>
      </c>
      <c r="C21" t="s">
        <v>117</v>
      </c>
      <c r="F21" s="3">
        <v>710280</v>
      </c>
      <c r="G21" t="s">
        <v>118</v>
      </c>
      <c r="I21" t="str">
        <f>_xlfn.XLOOKUP(B21,RA_LFBpS_SWO_PAG_PA!B:B,RA_LFBpS_SWO_PAG_PA!C:C)</f>
        <v>White Fir/Pacific Rhododendron</v>
      </c>
    </row>
    <row r="22" spans="1:9" ht="15.7" x14ac:dyDescent="0.55000000000000004">
      <c r="A22">
        <v>6</v>
      </c>
      <c r="B22" t="s">
        <v>132</v>
      </c>
      <c r="C22" t="s">
        <v>117</v>
      </c>
      <c r="F22" s="3">
        <v>710280</v>
      </c>
      <c r="G22" t="s">
        <v>118</v>
      </c>
      <c r="I22" t="str">
        <f>_xlfn.XLOOKUP(B22,RA_LFBpS_SWO_PAG_PA!B:B,RA_LFBpS_SWO_PAG_PA!C:C)</f>
        <v>White Fir/Pacific Rhododendron</v>
      </c>
    </row>
    <row r="23" spans="1:9" ht="15.7" x14ac:dyDescent="0.55000000000000004">
      <c r="A23">
        <v>7</v>
      </c>
      <c r="B23" t="s">
        <v>133</v>
      </c>
      <c r="C23" t="s">
        <v>106</v>
      </c>
      <c r="F23" s="3">
        <v>710280</v>
      </c>
      <c r="G23" t="s">
        <v>118</v>
      </c>
      <c r="I23" t="str">
        <f>_xlfn.XLOOKUP(B23,RA_LFBpS_SWO_PAG_PA!B:B,RA_LFBpS_SWO_PAG_PA!C:C)</f>
        <v>White Fir-Douglas-fir - warm, dry</v>
      </c>
    </row>
    <row r="24" spans="1:9" ht="15.7" x14ac:dyDescent="0.55000000000000004">
      <c r="A24">
        <v>1</v>
      </c>
      <c r="B24" t="s">
        <v>134</v>
      </c>
      <c r="C24" t="s">
        <v>117</v>
      </c>
      <c r="F24" s="3">
        <v>710280</v>
      </c>
      <c r="G24" t="s">
        <v>118</v>
      </c>
      <c r="I24" t="str">
        <f>_xlfn.XLOOKUP(B24,RA_LFBpS_SWO_PAG_PA!B:B,RA_LFBpS_SWO_PAG_PA!C:C)</f>
        <v>White Fir - cool, dry</v>
      </c>
    </row>
    <row r="25" spans="1:9" ht="15.7" x14ac:dyDescent="0.55000000000000004">
      <c r="A25">
        <v>2</v>
      </c>
      <c r="B25" t="s">
        <v>135</v>
      </c>
      <c r="C25" t="s">
        <v>117</v>
      </c>
      <c r="F25" s="3">
        <v>710280</v>
      </c>
      <c r="G25" t="s">
        <v>118</v>
      </c>
      <c r="I25" t="e">
        <f>_xlfn.XLOOKUP(B25,RA_LFBpS_SWO_PAG_PA!B:B,RA_LFBpS_SWO_PAG_PA!C:C)</f>
        <v>#N/A</v>
      </c>
    </row>
    <row r="26" spans="1:9" ht="15.7" x14ac:dyDescent="0.55000000000000004">
      <c r="A26">
        <v>3</v>
      </c>
      <c r="B26" t="s">
        <v>136</v>
      </c>
      <c r="C26" t="s">
        <v>117</v>
      </c>
      <c r="F26" s="3">
        <v>710280</v>
      </c>
      <c r="G26" t="s">
        <v>118</v>
      </c>
      <c r="I26" t="e">
        <f>_xlfn.XLOOKUP(B26,RA_LFBpS_SWO_PAG_PA!B:B,RA_LFBpS_SWO_PAG_PA!C:C)</f>
        <v>#N/A</v>
      </c>
    </row>
    <row r="27" spans="1:9" ht="15.7" x14ac:dyDescent="0.55000000000000004">
      <c r="A27">
        <v>4</v>
      </c>
      <c r="B27" t="s">
        <v>137</v>
      </c>
      <c r="C27" t="s">
        <v>117</v>
      </c>
      <c r="F27" s="3">
        <v>710280</v>
      </c>
      <c r="G27" t="s">
        <v>118</v>
      </c>
      <c r="I27" t="e">
        <f>_xlfn.XLOOKUP(B27,RA_LFBpS_SWO_PAG_PA!B:B,RA_LFBpS_SWO_PAG_PA!C:C)</f>
        <v>#N/A</v>
      </c>
    </row>
    <row r="28" spans="1:9" ht="15.7" x14ac:dyDescent="0.55000000000000004">
      <c r="A28">
        <v>5</v>
      </c>
      <c r="B28" t="s">
        <v>138</v>
      </c>
      <c r="C28" t="s">
        <v>117</v>
      </c>
      <c r="F28" s="3">
        <v>710280</v>
      </c>
      <c r="G28" t="s">
        <v>118</v>
      </c>
      <c r="I28" t="str">
        <f>_xlfn.XLOOKUP(B28,RA_LFBpS_SWO_PAG_PA!B:B,RA_LFBpS_SWO_PAG_PA!C:C)</f>
        <v>White Fir-Shasta Red Fir</v>
      </c>
    </row>
    <row r="29" spans="1:9" ht="15.7" x14ac:dyDescent="0.55000000000000004">
      <c r="A29">
        <v>6</v>
      </c>
      <c r="B29" t="s">
        <v>139</v>
      </c>
      <c r="C29" t="s">
        <v>117</v>
      </c>
      <c r="F29" s="3">
        <v>710280</v>
      </c>
      <c r="G29" t="s">
        <v>118</v>
      </c>
      <c r="I29" t="str">
        <f>_xlfn.XLOOKUP(B29,RA_LFBpS_SWO_PAG_PA!B:B,RA_LFBpS_SWO_PAG_PA!C:C)</f>
        <v>White Fir-Shasta Red Fir</v>
      </c>
    </row>
    <row r="30" spans="1:9" ht="15.7" x14ac:dyDescent="0.55000000000000004">
      <c r="A30">
        <v>7</v>
      </c>
      <c r="B30" t="s">
        <v>140</v>
      </c>
      <c r="C30" t="s">
        <v>117</v>
      </c>
      <c r="F30" s="3">
        <v>710280</v>
      </c>
      <c r="G30" t="s">
        <v>118</v>
      </c>
      <c r="I30" t="str">
        <f>_xlfn.XLOOKUP(B30,RA_LFBpS_SWO_PAG_PA!B:B,RA_LFBpS_SWO_PAG_PA!C:C)</f>
        <v>White Fir-Shasta Red Fir</v>
      </c>
    </row>
    <row r="31" spans="1:9" ht="15.7" x14ac:dyDescent="0.55000000000000004">
      <c r="A31">
        <v>9</v>
      </c>
      <c r="B31" t="s">
        <v>141</v>
      </c>
      <c r="C31" t="s">
        <v>106</v>
      </c>
      <c r="F31" s="3">
        <v>710280</v>
      </c>
      <c r="G31" t="s">
        <v>118</v>
      </c>
      <c r="I31" t="e">
        <f>_xlfn.XLOOKUP(B31,RA_LFBpS_SWO_PAG_PA!B:B,RA_LFBpS_SWO_PAG_PA!C:C)</f>
        <v>#N/A</v>
      </c>
    </row>
    <row r="32" spans="1:9" ht="15.7" x14ac:dyDescent="0.55000000000000004">
      <c r="A32">
        <v>8</v>
      </c>
      <c r="B32" t="s">
        <v>142</v>
      </c>
      <c r="C32" t="s">
        <v>117</v>
      </c>
      <c r="F32" s="3">
        <v>710280</v>
      </c>
      <c r="G32" t="s">
        <v>118</v>
      </c>
      <c r="I32" t="e">
        <f>_xlfn.XLOOKUP(B32,RA_LFBpS_SWO_PAG_PA!B:B,RA_LFBpS_SWO_PAG_PA!C:C)</f>
        <v>#N/A</v>
      </c>
    </row>
    <row r="33" spans="1:9" ht="15.7" x14ac:dyDescent="0.55000000000000004">
      <c r="A33">
        <v>11</v>
      </c>
      <c r="B33" t="s">
        <v>143</v>
      </c>
      <c r="C33" t="s">
        <v>106</v>
      </c>
      <c r="F33" s="3">
        <v>710280</v>
      </c>
      <c r="G33" t="s">
        <v>118</v>
      </c>
      <c r="I33" t="str">
        <f>_xlfn.XLOOKUP(B33,RA_LFBpS_SWO_PAG_PA!B:B,RA_LFBpS_SWO_PAG_PA!C:C)</f>
        <v>White Fir/Dwarf Oregongrape</v>
      </c>
    </row>
    <row r="34" spans="1:9" ht="15.7" x14ac:dyDescent="0.55000000000000004">
      <c r="A34">
        <v>13</v>
      </c>
      <c r="B34" t="s">
        <v>144</v>
      </c>
      <c r="C34" t="s">
        <v>106</v>
      </c>
      <c r="F34" s="3">
        <v>710280</v>
      </c>
      <c r="G34" t="s">
        <v>118</v>
      </c>
      <c r="I34" t="e">
        <f>_xlfn.XLOOKUP(B34,RA_LFBpS_SWO_PAG_PA!B:B,RA_LFBpS_SWO_PAG_PA!C:C)</f>
        <v>#N/A</v>
      </c>
    </row>
    <row r="35" spans="1:9" ht="15.7" x14ac:dyDescent="0.55000000000000004">
      <c r="A35">
        <v>9</v>
      </c>
      <c r="B35" t="s">
        <v>145</v>
      </c>
      <c r="C35" t="s">
        <v>117</v>
      </c>
      <c r="F35" s="3">
        <v>710280</v>
      </c>
      <c r="G35" t="s">
        <v>118</v>
      </c>
      <c r="I35" t="str">
        <f>_xlfn.XLOOKUP(B35,RA_LFBpS_SWO_PAG_PA!B:B,RA_LFBpS_SWO_PAG_PA!C:C)</f>
        <v>White Fir - cool, dry</v>
      </c>
    </row>
    <row r="36" spans="1:9" ht="15.7" x14ac:dyDescent="0.55000000000000004">
      <c r="A36">
        <v>10</v>
      </c>
      <c r="B36" t="s">
        <v>146</v>
      </c>
      <c r="C36" t="s">
        <v>117</v>
      </c>
      <c r="F36" s="3">
        <v>710280</v>
      </c>
      <c r="G36" t="s">
        <v>118</v>
      </c>
      <c r="I36" t="str">
        <f>_xlfn.XLOOKUP(B36,RA_LFBpS_SWO_PAG_PA!B:B,RA_LFBpS_SWO_PAG_PA!C:C)</f>
        <v>White Fir-Shasta Red Fir</v>
      </c>
    </row>
    <row r="37" spans="1:9" ht="15.7" x14ac:dyDescent="0.55000000000000004">
      <c r="A37">
        <v>1</v>
      </c>
      <c r="B37" t="s">
        <v>147</v>
      </c>
      <c r="C37" t="s">
        <v>148</v>
      </c>
      <c r="F37" s="3">
        <v>710280</v>
      </c>
      <c r="G37" t="s">
        <v>118</v>
      </c>
      <c r="I37" t="e">
        <f>_xlfn.XLOOKUP(B37,RA_LFBpS_SWO_PAG_PA!B:B,RA_LFBpS_SWO_PAG_PA!C:C)</f>
        <v>#N/A</v>
      </c>
    </row>
    <row r="38" spans="1:9" ht="15.7" x14ac:dyDescent="0.55000000000000004">
      <c r="A38">
        <v>15</v>
      </c>
      <c r="B38" t="s">
        <v>149</v>
      </c>
      <c r="C38" t="s">
        <v>106</v>
      </c>
      <c r="F38" s="3">
        <v>710280</v>
      </c>
      <c r="G38" t="s">
        <v>118</v>
      </c>
      <c r="I38" t="e">
        <f>_xlfn.XLOOKUP(B38,RA_LFBpS_SWO_PAG_PA!B:B,RA_LFBpS_SWO_PAG_PA!C:C)</f>
        <v>#N/A</v>
      </c>
    </row>
    <row r="39" spans="1:9" ht="15.7" x14ac:dyDescent="0.55000000000000004">
      <c r="A39">
        <v>17</v>
      </c>
      <c r="B39" t="s">
        <v>150</v>
      </c>
      <c r="C39" t="s">
        <v>106</v>
      </c>
      <c r="F39" s="3">
        <v>710280</v>
      </c>
      <c r="G39" t="s">
        <v>118</v>
      </c>
      <c r="I39" t="e">
        <f>_xlfn.XLOOKUP(B39,RA_LFBpS_SWO_PAG_PA!B:B,RA_LFBpS_SWO_PAG_PA!C:C)</f>
        <v>#N/A</v>
      </c>
    </row>
    <row r="40" spans="1:9" ht="15.7" x14ac:dyDescent="0.55000000000000004">
      <c r="A40">
        <v>19</v>
      </c>
      <c r="B40" t="s">
        <v>151</v>
      </c>
      <c r="C40" t="s">
        <v>106</v>
      </c>
      <c r="F40" s="3">
        <v>710280</v>
      </c>
      <c r="G40" t="s">
        <v>118</v>
      </c>
      <c r="I40" t="str">
        <f>_xlfn.XLOOKUP(B40,RA_LFBpS_SWO_PAG_PA!B:B,RA_LFBpS_SWO_PAG_PA!C:C)</f>
        <v>White Fir-Douglas-fir - warm, dry</v>
      </c>
    </row>
    <row r="41" spans="1:9" ht="15.7" x14ac:dyDescent="0.55000000000000004">
      <c r="A41">
        <v>21</v>
      </c>
      <c r="B41" t="s">
        <v>152</v>
      </c>
      <c r="C41" t="s">
        <v>106</v>
      </c>
      <c r="F41" s="3">
        <v>710280</v>
      </c>
      <c r="G41" t="s">
        <v>118</v>
      </c>
      <c r="I41" t="e">
        <f>_xlfn.XLOOKUP(B41,RA_LFBpS_SWO_PAG_PA!B:B,RA_LFBpS_SWO_PAG_PA!C:C)</f>
        <v>#N/A</v>
      </c>
    </row>
    <row r="42" spans="1:9" ht="15.7" x14ac:dyDescent="0.55000000000000004">
      <c r="A42">
        <v>1</v>
      </c>
      <c r="B42" t="s">
        <v>153</v>
      </c>
      <c r="C42" t="s">
        <v>154</v>
      </c>
      <c r="F42" s="3">
        <v>710280</v>
      </c>
      <c r="G42" t="s">
        <v>118</v>
      </c>
      <c r="I42" t="str">
        <f>_xlfn.XLOOKUP(B42,RA_LFBpS_SWO_PAG_PA!B:B,RA_LFBpS_SWO_PAG_PA!C:C)</f>
        <v>White Fir-Western Hemlock/Dwarf Oregongrape</v>
      </c>
    </row>
    <row r="43" spans="1:9" ht="15.7" x14ac:dyDescent="0.55000000000000004">
      <c r="A43">
        <v>2</v>
      </c>
      <c r="B43" t="s">
        <v>155</v>
      </c>
      <c r="C43" t="s">
        <v>129</v>
      </c>
      <c r="F43" s="3">
        <v>710280</v>
      </c>
      <c r="G43" t="s">
        <v>118</v>
      </c>
      <c r="I43" t="e">
        <f>_xlfn.XLOOKUP(B43,RA_LFBpS_SWO_PAG_PA!B:B,RA_LFBpS_SWO_PAG_PA!C:C)</f>
        <v>#N/A</v>
      </c>
    </row>
    <row r="44" spans="1:9" ht="15.7" x14ac:dyDescent="0.55000000000000004">
      <c r="A44">
        <v>3</v>
      </c>
      <c r="B44" t="s">
        <v>156</v>
      </c>
      <c r="C44" t="s">
        <v>129</v>
      </c>
      <c r="F44" s="3">
        <v>710280</v>
      </c>
      <c r="G44" t="s">
        <v>118</v>
      </c>
      <c r="I44" t="e">
        <f>_xlfn.XLOOKUP(B44,RA_LFBpS_SWO_PAG_PA!B:B,RA_LFBpS_SWO_PAG_PA!C:C)</f>
        <v>#N/A</v>
      </c>
    </row>
    <row r="45" spans="1:9" ht="15.7" x14ac:dyDescent="0.55000000000000004">
      <c r="A45">
        <v>4</v>
      </c>
      <c r="B45" t="s">
        <v>157</v>
      </c>
      <c r="C45" t="s">
        <v>129</v>
      </c>
      <c r="F45" s="3">
        <v>710280</v>
      </c>
      <c r="G45" t="s">
        <v>118</v>
      </c>
      <c r="I45" t="e">
        <f>_xlfn.XLOOKUP(B45,RA_LFBpS_SWO_PAG_PA!B:B,RA_LFBpS_SWO_PAG_PA!C:C)</f>
        <v>#N/A</v>
      </c>
    </row>
    <row r="46" spans="1:9" ht="15.7" x14ac:dyDescent="0.55000000000000004">
      <c r="A46">
        <v>11</v>
      </c>
      <c r="B46" t="s">
        <v>158</v>
      </c>
      <c r="C46" t="s">
        <v>117</v>
      </c>
      <c r="F46" s="3">
        <v>710280</v>
      </c>
      <c r="G46" t="s">
        <v>118</v>
      </c>
      <c r="I46" t="e">
        <f>_xlfn.XLOOKUP(B46,RA_LFBpS_SWO_PAG_PA!B:B,RA_LFBpS_SWO_PAG_PA!C:C)</f>
        <v>#N/A</v>
      </c>
    </row>
    <row r="47" spans="1:9" ht="15.7" x14ac:dyDescent="0.55000000000000004">
      <c r="A47">
        <v>12</v>
      </c>
      <c r="B47" t="s">
        <v>159</v>
      </c>
      <c r="C47" t="s">
        <v>117</v>
      </c>
      <c r="F47" s="3">
        <v>710280</v>
      </c>
      <c r="G47" t="s">
        <v>118</v>
      </c>
      <c r="I47" t="e">
        <f>_xlfn.XLOOKUP(B47,RA_LFBpS_SWO_PAG_PA!B:B,RA_LFBpS_SWO_PAG_PA!C:C)</f>
        <v>#N/A</v>
      </c>
    </row>
    <row r="48" spans="1:9" ht="15.7" x14ac:dyDescent="0.55000000000000004">
      <c r="A48">
        <v>5</v>
      </c>
      <c r="B48" t="s">
        <v>160</v>
      </c>
      <c r="C48" t="s">
        <v>129</v>
      </c>
      <c r="F48" s="3">
        <v>710280</v>
      </c>
      <c r="G48" t="s">
        <v>118</v>
      </c>
      <c r="I48" t="e">
        <f>_xlfn.XLOOKUP(B48,RA_LFBpS_SWO_PAG_PA!B:B,RA_LFBpS_SWO_PAG_PA!C:C)</f>
        <v>#N/A</v>
      </c>
    </row>
    <row r="49" spans="1:9" ht="15.7" x14ac:dyDescent="0.55000000000000004">
      <c r="A49">
        <v>6</v>
      </c>
      <c r="B49" t="s">
        <v>161</v>
      </c>
      <c r="C49" t="s">
        <v>129</v>
      </c>
      <c r="F49" s="3">
        <v>710280</v>
      </c>
      <c r="G49" t="s">
        <v>118</v>
      </c>
      <c r="I49" t="e">
        <f>_xlfn.XLOOKUP(B49,RA_LFBpS_SWO_PAG_PA!B:B,RA_LFBpS_SWO_PAG_PA!C:C)</f>
        <v>#N/A</v>
      </c>
    </row>
    <row r="50" spans="1:9" ht="15.7" x14ac:dyDescent="0.55000000000000004">
      <c r="A50">
        <v>7</v>
      </c>
      <c r="B50" t="s">
        <v>162</v>
      </c>
      <c r="C50" t="s">
        <v>129</v>
      </c>
      <c r="F50" s="3">
        <v>710280</v>
      </c>
      <c r="G50" t="s">
        <v>118</v>
      </c>
      <c r="I50" t="e">
        <f>_xlfn.XLOOKUP(B50,RA_LFBpS_SWO_PAG_PA!B:B,RA_LFBpS_SWO_PAG_PA!C:C)</f>
        <v>#N/A</v>
      </c>
    </row>
    <row r="51" spans="1:9" ht="15.7" x14ac:dyDescent="0.55000000000000004">
      <c r="A51">
        <v>23</v>
      </c>
      <c r="B51" t="s">
        <v>163</v>
      </c>
      <c r="C51" t="s">
        <v>106</v>
      </c>
      <c r="F51" s="3">
        <v>710280</v>
      </c>
      <c r="G51" t="s">
        <v>118</v>
      </c>
      <c r="I51" t="e">
        <f>_xlfn.XLOOKUP(B51,RA_LFBpS_SWO_PAG_PA!B:B,RA_LFBpS_SWO_PAG_PA!C:C)</f>
        <v>#N/A</v>
      </c>
    </row>
    <row r="52" spans="1:9" ht="15.7" x14ac:dyDescent="0.55000000000000004">
      <c r="A52">
        <v>8</v>
      </c>
      <c r="B52" t="s">
        <v>164</v>
      </c>
      <c r="C52" t="s">
        <v>129</v>
      </c>
      <c r="F52" s="3">
        <v>710280</v>
      </c>
      <c r="G52" t="s">
        <v>118</v>
      </c>
      <c r="I52" t="e">
        <f>_xlfn.XLOOKUP(B52,RA_LFBpS_SWO_PAG_PA!B:B,RA_LFBpS_SWO_PAG_PA!C:C)</f>
        <v>#N/A</v>
      </c>
    </row>
    <row r="53" spans="1:9" ht="15.7" x14ac:dyDescent="0.55000000000000004">
      <c r="A53">
        <v>13</v>
      </c>
      <c r="B53" t="s">
        <v>165</v>
      </c>
      <c r="C53" t="s">
        <v>117</v>
      </c>
      <c r="F53" s="3">
        <v>710280</v>
      </c>
      <c r="G53" t="s">
        <v>118</v>
      </c>
      <c r="I53" t="e">
        <f>_xlfn.XLOOKUP(B53,RA_LFBpS_SWO_PAG_PA!B:B,RA_LFBpS_SWO_PAG_PA!C:C)</f>
        <v>#N/A</v>
      </c>
    </row>
    <row r="54" spans="1:9" ht="15.7" x14ac:dyDescent="0.55000000000000004">
      <c r="A54">
        <v>14</v>
      </c>
      <c r="B54" t="s">
        <v>166</v>
      </c>
      <c r="C54" t="s">
        <v>117</v>
      </c>
      <c r="F54" s="3">
        <v>710280</v>
      </c>
      <c r="G54" t="s">
        <v>118</v>
      </c>
      <c r="I54" t="e">
        <f>_xlfn.XLOOKUP(B54,RA_LFBpS_SWO_PAG_PA!B:B,RA_LFBpS_SWO_PAG_PA!C:C)</f>
        <v>#N/A</v>
      </c>
    </row>
    <row r="55" spans="1:9" ht="15.7" x14ac:dyDescent="0.55000000000000004">
      <c r="A55">
        <v>1</v>
      </c>
      <c r="B55" t="s">
        <v>180</v>
      </c>
      <c r="C55" t="s">
        <v>181</v>
      </c>
      <c r="F55" s="3">
        <v>710320</v>
      </c>
      <c r="G55" t="s">
        <v>182</v>
      </c>
      <c r="I55" t="e">
        <f>_xlfn.XLOOKUP(B55,RA_LFBpS_SWO_PAG_PA!B:B,RA_LFBpS_SWO_PAG_PA!C:C)</f>
        <v>#N/A</v>
      </c>
    </row>
    <row r="56" spans="1:9" ht="15.7" x14ac:dyDescent="0.55000000000000004">
      <c r="A56">
        <v>2</v>
      </c>
      <c r="B56" t="s">
        <v>183</v>
      </c>
      <c r="C56" t="s">
        <v>181</v>
      </c>
      <c r="F56" s="3">
        <v>710320</v>
      </c>
      <c r="G56" t="s">
        <v>182</v>
      </c>
      <c r="I56" t="e">
        <f>_xlfn.XLOOKUP(B56,RA_LFBpS_SWO_PAG_PA!B:B,RA_LFBpS_SWO_PAG_PA!C:C)</f>
        <v>#N/A</v>
      </c>
    </row>
    <row r="57" spans="1:9" ht="15.7" x14ac:dyDescent="0.55000000000000004">
      <c r="A57">
        <v>3</v>
      </c>
      <c r="B57" t="s">
        <v>184</v>
      </c>
      <c r="C57" t="s">
        <v>181</v>
      </c>
      <c r="F57" s="3">
        <v>710320</v>
      </c>
      <c r="G57" t="s">
        <v>182</v>
      </c>
      <c r="I57" t="e">
        <f>_xlfn.XLOOKUP(B57,RA_LFBpS_SWO_PAG_PA!B:B,RA_LFBpS_SWO_PAG_PA!C:C)</f>
        <v>#N/A</v>
      </c>
    </row>
    <row r="58" spans="1:9" ht="15.7" x14ac:dyDescent="0.55000000000000004">
      <c r="A58">
        <v>4</v>
      </c>
      <c r="B58" t="s">
        <v>185</v>
      </c>
      <c r="C58" t="s">
        <v>181</v>
      </c>
      <c r="F58" s="3">
        <v>710320</v>
      </c>
      <c r="G58" t="s">
        <v>182</v>
      </c>
      <c r="I58" t="e">
        <f>_xlfn.XLOOKUP(B58,RA_LFBpS_SWO_PAG_PA!B:B,RA_LFBpS_SWO_PAG_PA!C:C)</f>
        <v>#N/A</v>
      </c>
    </row>
    <row r="59" spans="1:9" ht="15.7" x14ac:dyDescent="0.55000000000000004">
      <c r="A59">
        <v>5</v>
      </c>
      <c r="B59" t="s">
        <v>186</v>
      </c>
      <c r="C59" t="s">
        <v>181</v>
      </c>
      <c r="F59" s="3">
        <v>710320</v>
      </c>
      <c r="G59" t="s">
        <v>182</v>
      </c>
      <c r="I59" t="e">
        <f>_xlfn.XLOOKUP(B59,RA_LFBpS_SWO_PAG_PA!B:B,RA_LFBpS_SWO_PAG_PA!C:C)</f>
        <v>#N/A</v>
      </c>
    </row>
    <row r="60" spans="1:9" ht="15.7" x14ac:dyDescent="0.55000000000000004">
      <c r="A60">
        <v>6</v>
      </c>
      <c r="B60" t="s">
        <v>187</v>
      </c>
      <c r="C60" t="s">
        <v>181</v>
      </c>
      <c r="F60" s="3">
        <v>710320</v>
      </c>
      <c r="G60" t="s">
        <v>182</v>
      </c>
      <c r="I60" t="e">
        <f>_xlfn.XLOOKUP(B60,RA_LFBpS_SWO_PAG_PA!B:B,RA_LFBpS_SWO_PAG_PA!C:C)</f>
        <v>#N/A</v>
      </c>
    </row>
    <row r="61" spans="1:9" ht="15.7" x14ac:dyDescent="0.55000000000000004">
      <c r="A61">
        <v>7</v>
      </c>
      <c r="B61" t="s">
        <v>188</v>
      </c>
      <c r="C61" t="s">
        <v>181</v>
      </c>
      <c r="F61" s="3">
        <v>710320</v>
      </c>
      <c r="G61" t="s">
        <v>182</v>
      </c>
      <c r="I61" t="e">
        <f>_xlfn.XLOOKUP(B61,RA_LFBpS_SWO_PAG_PA!B:B,RA_LFBpS_SWO_PAG_PA!C:C)</f>
        <v>#N/A</v>
      </c>
    </row>
    <row r="62" spans="1:9" ht="15.7" x14ac:dyDescent="0.55000000000000004">
      <c r="A62">
        <v>15</v>
      </c>
      <c r="B62" t="s">
        <v>189</v>
      </c>
      <c r="C62" t="s">
        <v>117</v>
      </c>
      <c r="F62" s="3">
        <v>710320</v>
      </c>
      <c r="G62" t="s">
        <v>182</v>
      </c>
      <c r="I62" t="str">
        <f>_xlfn.XLOOKUP(B62,RA_LFBpS_SWO_PAG_PA!B:B,RA_LFBpS_SWO_PAG_PA!C:C)</f>
        <v>Shasta Red Fir - Siskiyou Province</v>
      </c>
    </row>
    <row r="63" spans="1:9" ht="15.7" x14ac:dyDescent="0.55000000000000004">
      <c r="A63">
        <v>8</v>
      </c>
      <c r="B63" t="s">
        <v>190</v>
      </c>
      <c r="C63" t="s">
        <v>181</v>
      </c>
      <c r="F63" s="3">
        <v>710320</v>
      </c>
      <c r="G63" t="s">
        <v>182</v>
      </c>
      <c r="I63" t="str">
        <f>_xlfn.XLOOKUP(B63,RA_LFBpS_SWO_PAG_PA!B:B,RA_LFBpS_SWO_PAG_PA!C:C)</f>
        <v>Shasta Red Fir - Cascade Province</v>
      </c>
    </row>
    <row r="64" spans="1:9" ht="15.7" x14ac:dyDescent="0.55000000000000004">
      <c r="A64">
        <v>9</v>
      </c>
      <c r="B64" t="s">
        <v>191</v>
      </c>
      <c r="C64" t="s">
        <v>181</v>
      </c>
      <c r="F64" s="3">
        <v>710320</v>
      </c>
      <c r="G64" t="s">
        <v>182</v>
      </c>
      <c r="I64" t="str">
        <f>_xlfn.XLOOKUP(B64,RA_LFBpS_SWO_PAG_PA!B:B,RA_LFBpS_SWO_PAG_PA!C:C)</f>
        <v>Shasta Red Fir - Cascade Province</v>
      </c>
    </row>
    <row r="65" spans="1:9" ht="15.7" x14ac:dyDescent="0.55000000000000004">
      <c r="A65">
        <v>16</v>
      </c>
      <c r="B65" t="s">
        <v>192</v>
      </c>
      <c r="C65" t="s">
        <v>117</v>
      </c>
      <c r="F65" s="3">
        <v>710320</v>
      </c>
      <c r="G65" t="s">
        <v>182</v>
      </c>
      <c r="I65" t="e">
        <f>_xlfn.XLOOKUP(B65,RA_LFBpS_SWO_PAG_PA!B:B,RA_LFBpS_SWO_PAG_PA!C:C)</f>
        <v>#N/A</v>
      </c>
    </row>
    <row r="66" spans="1:9" ht="15.7" x14ac:dyDescent="0.55000000000000004">
      <c r="A66">
        <v>17</v>
      </c>
      <c r="B66" t="s">
        <v>193</v>
      </c>
      <c r="C66" t="s">
        <v>117</v>
      </c>
      <c r="F66" s="3">
        <v>710320</v>
      </c>
      <c r="G66" t="s">
        <v>182</v>
      </c>
      <c r="I66" t="str">
        <f>_xlfn.XLOOKUP(B66,RA_LFBpS_SWO_PAG_PA!B:B,RA_LFBpS_SWO_PAG_PA!C:C)</f>
        <v>Shasta Red Fir - Siskiyou Province</v>
      </c>
    </row>
    <row r="67" spans="1:9" ht="15.7" x14ac:dyDescent="0.55000000000000004">
      <c r="A67">
        <v>18</v>
      </c>
      <c r="B67" t="s">
        <v>194</v>
      </c>
      <c r="C67" t="s">
        <v>117</v>
      </c>
      <c r="F67" s="3">
        <v>710320</v>
      </c>
      <c r="G67" t="s">
        <v>182</v>
      </c>
      <c r="I67" t="str">
        <f>_xlfn.XLOOKUP(B67,RA_LFBpS_SWO_PAG_PA!B:B,RA_LFBpS_SWO_PAG_PA!C:C)</f>
        <v>Shasta Red Fir - Siskiyou Province</v>
      </c>
    </row>
    <row r="68" spans="1:9" ht="15.7" x14ac:dyDescent="0.55000000000000004">
      <c r="A68">
        <v>19</v>
      </c>
      <c r="B68" t="s">
        <v>195</v>
      </c>
      <c r="C68" t="s">
        <v>117</v>
      </c>
      <c r="F68" s="3">
        <v>710320</v>
      </c>
      <c r="G68" t="s">
        <v>182</v>
      </c>
      <c r="I68" t="str">
        <f>_xlfn.XLOOKUP(B68,RA_LFBpS_SWO_PAG_PA!B:B,RA_LFBpS_SWO_PAG_PA!C:C)</f>
        <v>Shasta Red Fir - Siskiyou Province</v>
      </c>
    </row>
    <row r="69" spans="1:9" ht="15.7" x14ac:dyDescent="0.55000000000000004">
      <c r="A69">
        <v>10</v>
      </c>
      <c r="B69" t="s">
        <v>196</v>
      </c>
      <c r="C69" t="s">
        <v>181</v>
      </c>
      <c r="F69" s="3">
        <v>710320</v>
      </c>
      <c r="G69" t="s">
        <v>182</v>
      </c>
      <c r="I69" t="str">
        <f>_xlfn.XLOOKUP(B69,RA_LFBpS_SWO_PAG_PA!B:B,RA_LFBpS_SWO_PAG_PA!C:C)</f>
        <v>Shasta Red Fir - Cascade Province</v>
      </c>
    </row>
    <row r="70" spans="1:9" ht="15.7" x14ac:dyDescent="0.55000000000000004">
      <c r="A70">
        <v>11</v>
      </c>
      <c r="B70" t="s">
        <v>197</v>
      </c>
      <c r="C70" t="s">
        <v>181</v>
      </c>
      <c r="F70" s="3">
        <v>710320</v>
      </c>
      <c r="G70" t="s">
        <v>182</v>
      </c>
      <c r="I70" t="str">
        <f>_xlfn.XLOOKUP(B70,RA_LFBpS_SWO_PAG_PA!B:B,RA_LFBpS_SWO_PAG_PA!C:C)</f>
        <v>Shasta Red Fir - Cascade Province</v>
      </c>
    </row>
    <row r="71" spans="1:9" ht="15.7" x14ac:dyDescent="0.55000000000000004">
      <c r="A71">
        <v>12</v>
      </c>
      <c r="B71" t="s">
        <v>198</v>
      </c>
      <c r="C71" t="s">
        <v>181</v>
      </c>
      <c r="F71" s="3">
        <v>710320</v>
      </c>
      <c r="G71" t="s">
        <v>182</v>
      </c>
      <c r="I71" t="e">
        <f>_xlfn.XLOOKUP(B71,RA_LFBpS_SWO_PAG_PA!B:B,RA_LFBpS_SWO_PAG_PA!C:C)</f>
        <v>#N/A</v>
      </c>
    </row>
    <row r="72" spans="1:9" ht="15.7" x14ac:dyDescent="0.55000000000000004">
      <c r="A72">
        <v>1</v>
      </c>
      <c r="B72" t="s">
        <v>199</v>
      </c>
      <c r="C72" t="s">
        <v>200</v>
      </c>
      <c r="F72" s="3">
        <v>710320</v>
      </c>
      <c r="G72" t="s">
        <v>182</v>
      </c>
      <c r="I72" t="str">
        <f>_xlfn.XLOOKUP(B72,RA_LFBpS_SWO_PAG_PA!B:B,RA_LFBpS_SWO_PAG_PA!C:C)</f>
        <v>Shasta Red Fir - Cascade Province</v>
      </c>
    </row>
    <row r="73" spans="1:9" ht="15.7" x14ac:dyDescent="0.55000000000000004">
      <c r="A73">
        <v>13</v>
      </c>
      <c r="B73" t="s">
        <v>201</v>
      </c>
      <c r="C73" t="s">
        <v>181</v>
      </c>
      <c r="F73" s="3">
        <v>710320</v>
      </c>
      <c r="G73" t="s">
        <v>182</v>
      </c>
      <c r="I73" t="e">
        <f>_xlfn.XLOOKUP(B73,RA_LFBpS_SWO_PAG_PA!B:B,RA_LFBpS_SWO_PAG_PA!C:C)</f>
        <v>#N/A</v>
      </c>
    </row>
    <row r="74" spans="1:9" ht="15.7" x14ac:dyDescent="0.55000000000000004">
      <c r="A74">
        <v>1</v>
      </c>
      <c r="B74" t="s">
        <v>43</v>
      </c>
      <c r="C74" t="s">
        <v>31</v>
      </c>
      <c r="F74" s="3">
        <v>210390</v>
      </c>
      <c r="G74" t="s">
        <v>44</v>
      </c>
      <c r="I74" t="str">
        <f>_xlfn.XLOOKUP(B74,RA_LFBpS_SWO_PAG_PA!B:B,RA_LFBpS_SWO_PAG_PA!C:C)</f>
        <v>Port-Orford Cedar-Ultramafic</v>
      </c>
    </row>
    <row r="75" spans="1:9" ht="15.7" x14ac:dyDescent="0.55000000000000004">
      <c r="A75">
        <v>2</v>
      </c>
      <c r="B75" t="s">
        <v>45</v>
      </c>
      <c r="C75" t="s">
        <v>31</v>
      </c>
      <c r="F75" s="3">
        <v>210390</v>
      </c>
      <c r="G75" t="s">
        <v>44</v>
      </c>
      <c r="I75" t="str">
        <f>_xlfn.XLOOKUP(B75,RA_LFBpS_SWO_PAG_PA!B:B,RA_LFBpS_SWO_PAG_PA!C:C)</f>
        <v>Port-Orford Cedar-Ultramafic</v>
      </c>
    </row>
    <row r="76" spans="1:9" ht="15.7" x14ac:dyDescent="0.55000000000000004">
      <c r="A76">
        <v>1</v>
      </c>
      <c r="B76" t="s">
        <v>46</v>
      </c>
      <c r="C76" t="s">
        <v>41</v>
      </c>
      <c r="F76" s="3">
        <v>210390</v>
      </c>
      <c r="G76" t="s">
        <v>44</v>
      </c>
      <c r="I76" t="str">
        <f>_xlfn.XLOOKUP(B76,RA_LFBpS_SWO_PAG_PA!B:B,RA_LFBpS_SWO_PAG_PA!C:C)</f>
        <v>Port-Orford Cedar/Salal</v>
      </c>
    </row>
    <row r="77" spans="1:9" ht="15.7" x14ac:dyDescent="0.55000000000000004">
      <c r="A77">
        <v>1</v>
      </c>
      <c r="B77" t="s">
        <v>47</v>
      </c>
      <c r="C77" t="s">
        <v>25</v>
      </c>
      <c r="F77" s="3">
        <v>210390</v>
      </c>
      <c r="G77" t="s">
        <v>44</v>
      </c>
      <c r="I77" t="e">
        <f>_xlfn.XLOOKUP(B77,RA_LFBpS_SWO_PAG_PA!B:B,RA_LFBpS_SWO_PAG_PA!C:C)</f>
        <v>#N/A</v>
      </c>
    </row>
    <row r="78" spans="1:9" ht="15.7" x14ac:dyDescent="0.55000000000000004">
      <c r="A78">
        <v>2</v>
      </c>
      <c r="B78" t="s">
        <v>48</v>
      </c>
      <c r="C78" t="s">
        <v>25</v>
      </c>
      <c r="F78" s="3">
        <v>210390</v>
      </c>
      <c r="G78" t="s">
        <v>44</v>
      </c>
      <c r="I78" t="e">
        <f>_xlfn.XLOOKUP(B78,RA_LFBpS_SWO_PAG_PA!B:B,RA_LFBpS_SWO_PAG_PA!C:C)</f>
        <v>#N/A</v>
      </c>
    </row>
    <row r="79" spans="1:9" ht="15.7" x14ac:dyDescent="0.55000000000000004">
      <c r="A79">
        <v>2</v>
      </c>
      <c r="B79" t="s">
        <v>49</v>
      </c>
      <c r="C79" t="s">
        <v>41</v>
      </c>
      <c r="F79" s="3">
        <v>210390</v>
      </c>
      <c r="G79" t="s">
        <v>44</v>
      </c>
      <c r="I79" t="str">
        <f>_xlfn.XLOOKUP(B79,RA_LFBpS_SWO_PAG_PA!B:B,RA_LFBpS_SWO_PAG_PA!C:C)</f>
        <v>Port-Orford Cedar/Western Swordfern</v>
      </c>
    </row>
    <row r="80" spans="1:9" ht="15.7" x14ac:dyDescent="0.55000000000000004">
      <c r="A80">
        <v>3</v>
      </c>
      <c r="B80" t="s">
        <v>50</v>
      </c>
      <c r="C80" t="s">
        <v>41</v>
      </c>
      <c r="F80" s="3">
        <v>210390</v>
      </c>
      <c r="G80" t="s">
        <v>44</v>
      </c>
      <c r="I80" t="str">
        <f>_xlfn.XLOOKUP(B80,RA_LFBpS_SWO_PAG_PA!B:B,RA_LFBpS_SWO_PAG_PA!C:C)</f>
        <v>Port-Orford Cedar/Salal</v>
      </c>
    </row>
    <row r="81" spans="1:9" ht="15.7" x14ac:dyDescent="0.55000000000000004">
      <c r="A81">
        <v>3</v>
      </c>
      <c r="B81" t="s">
        <v>51</v>
      </c>
      <c r="C81" t="s">
        <v>25</v>
      </c>
      <c r="F81" s="3">
        <v>210390</v>
      </c>
      <c r="G81" t="s">
        <v>44</v>
      </c>
      <c r="I81" t="str">
        <f>_xlfn.XLOOKUP(B81,RA_LFBpS_SWO_PAG_PA!B:B,RA_LFBpS_SWO_PAG_PA!C:C)</f>
        <v>Port-Orford Cedar/Salal</v>
      </c>
    </row>
    <row r="82" spans="1:9" ht="15.7" x14ac:dyDescent="0.55000000000000004">
      <c r="A82">
        <v>3</v>
      </c>
      <c r="B82" t="s">
        <v>52</v>
      </c>
      <c r="C82" t="s">
        <v>31</v>
      </c>
      <c r="F82" s="3">
        <v>210390</v>
      </c>
      <c r="G82" t="s">
        <v>44</v>
      </c>
      <c r="I82" t="e">
        <f>_xlfn.XLOOKUP(B82,RA_LFBpS_SWO_PAG_PA!B:B,RA_LFBpS_SWO_PAG_PA!C:C)</f>
        <v>#N/A</v>
      </c>
    </row>
    <row r="83" spans="1:9" ht="15.7" x14ac:dyDescent="0.55000000000000004">
      <c r="A83">
        <v>4</v>
      </c>
      <c r="B83" t="s">
        <v>53</v>
      </c>
      <c r="C83" t="s">
        <v>41</v>
      </c>
      <c r="F83" s="3">
        <v>210390</v>
      </c>
      <c r="G83" t="s">
        <v>44</v>
      </c>
      <c r="I83" t="str">
        <f>_xlfn.XLOOKUP(B83,RA_LFBpS_SWO_PAG_PA!B:B,RA_LFBpS_SWO_PAG_PA!C:C)</f>
        <v>Port-Orford Cedar/Salal</v>
      </c>
    </row>
    <row r="84" spans="1:9" ht="15.7" x14ac:dyDescent="0.55000000000000004">
      <c r="A84">
        <v>5</v>
      </c>
      <c r="B84" t="s">
        <v>54</v>
      </c>
      <c r="C84" t="s">
        <v>41</v>
      </c>
      <c r="F84" s="3">
        <v>210390</v>
      </c>
      <c r="G84" t="s">
        <v>44</v>
      </c>
      <c r="I84" t="str">
        <f>_xlfn.XLOOKUP(B84,RA_LFBpS_SWO_PAG_PA!B:B,RA_LFBpS_SWO_PAG_PA!C:C)</f>
        <v>Port-Orford Cedar/Western Swordfern</v>
      </c>
    </row>
    <row r="85" spans="1:9" ht="14.35" x14ac:dyDescent="0.5">
      <c r="A85">
        <v>1</v>
      </c>
      <c r="B85" t="s">
        <v>9</v>
      </c>
      <c r="C85" t="s">
        <v>10</v>
      </c>
      <c r="F85">
        <v>10431</v>
      </c>
      <c r="G85" t="s">
        <v>11</v>
      </c>
      <c r="I85" t="str">
        <f>_xlfn.XLOOKUP(B85,RA_LFBpS_SWO_PAG_PA!B:B,RA_LFBpS_SWO_PAG_PA!C:C)</f>
        <v>Tanoak-Ultramafic</v>
      </c>
    </row>
    <row r="86" spans="1:9" ht="14.35" x14ac:dyDescent="0.5">
      <c r="A86">
        <v>2</v>
      </c>
      <c r="B86" t="s">
        <v>12</v>
      </c>
      <c r="C86" t="s">
        <v>10</v>
      </c>
      <c r="F86">
        <v>10431</v>
      </c>
      <c r="G86" t="s">
        <v>11</v>
      </c>
      <c r="I86" t="e">
        <f>_xlfn.XLOOKUP(B86,RA_LFBpS_SWO_PAG_PA!B:B,RA_LFBpS_SWO_PAG_PA!C:C)</f>
        <v>#N/A</v>
      </c>
    </row>
    <row r="87" spans="1:9" ht="14.35" x14ac:dyDescent="0.5">
      <c r="A87">
        <v>3</v>
      </c>
      <c r="B87" t="s">
        <v>13</v>
      </c>
      <c r="C87" t="s">
        <v>10</v>
      </c>
      <c r="F87">
        <v>10431</v>
      </c>
      <c r="G87" t="s">
        <v>11</v>
      </c>
      <c r="I87" t="e">
        <f>_xlfn.XLOOKUP(B87,RA_LFBpS_SWO_PAG_PA!B:B,RA_LFBpS_SWO_PAG_PA!C:C)</f>
        <v>#N/A</v>
      </c>
    </row>
    <row r="88" spans="1:9" ht="14.35" x14ac:dyDescent="0.5">
      <c r="A88">
        <v>4</v>
      </c>
      <c r="B88" t="s">
        <v>14</v>
      </c>
      <c r="C88" t="s">
        <v>10</v>
      </c>
      <c r="F88">
        <v>10431</v>
      </c>
      <c r="G88" t="s">
        <v>11</v>
      </c>
      <c r="I88" t="e">
        <f>_xlfn.XLOOKUP(B88,RA_LFBpS_SWO_PAG_PA!B:B,RA_LFBpS_SWO_PAG_PA!C:C)</f>
        <v>#N/A</v>
      </c>
    </row>
    <row r="89" spans="1:9" ht="14.35" x14ac:dyDescent="0.5">
      <c r="A89">
        <v>4</v>
      </c>
      <c r="B89" t="s">
        <v>24</v>
      </c>
      <c r="C89" t="s">
        <v>25</v>
      </c>
      <c r="F89">
        <v>10432</v>
      </c>
      <c r="G89" t="s">
        <v>26</v>
      </c>
      <c r="I89" t="str">
        <f>_xlfn.XLOOKUP(B89,RA_LFBpS_SWO_PAG_PA!B:B,RA_LFBpS_SWO_PAG_PA!C:C)</f>
        <v> </v>
      </c>
    </row>
    <row r="90" spans="1:9" ht="14.35" x14ac:dyDescent="0.5">
      <c r="A90">
        <v>5</v>
      </c>
      <c r="B90" t="s">
        <v>15</v>
      </c>
      <c r="C90" t="s">
        <v>10</v>
      </c>
      <c r="F90">
        <v>10431</v>
      </c>
      <c r="G90" t="s">
        <v>11</v>
      </c>
      <c r="I90" t="str">
        <f>_xlfn.XLOOKUP(B90,RA_LFBpS_SWO_PAG_PA!B:B,RA_LFBpS_SWO_PAG_PA!C:C)</f>
        <v>Tanoak-Canyon Live Oak and/or Sadler Oak</v>
      </c>
    </row>
    <row r="91" spans="1:9" ht="14.35" x14ac:dyDescent="0.5">
      <c r="A91">
        <v>5</v>
      </c>
      <c r="B91" t="s">
        <v>27</v>
      </c>
      <c r="C91" t="s">
        <v>25</v>
      </c>
      <c r="F91">
        <v>10432</v>
      </c>
      <c r="G91" t="s">
        <v>26</v>
      </c>
      <c r="I91" t="str">
        <f>_xlfn.XLOOKUP(B91,RA_LFBpS_SWO_PAG_PA!B:B,RA_LFBpS_SWO_PAG_PA!C:C)</f>
        <v>Tanoak-Bigleaf Maple-Canyon Live Oak/Western Swordfern</v>
      </c>
    </row>
    <row r="92" spans="1:9" ht="14.35" x14ac:dyDescent="0.5">
      <c r="A92">
        <v>6</v>
      </c>
      <c r="B92" t="s">
        <v>16</v>
      </c>
      <c r="C92" t="s">
        <v>10</v>
      </c>
      <c r="F92">
        <v>10431</v>
      </c>
      <c r="G92" t="s">
        <v>11</v>
      </c>
      <c r="I92" t="str">
        <f>_xlfn.XLOOKUP(B92,RA_LFBpS_SWO_PAG_PA!B:B,RA_LFBpS_SWO_PAG_PA!C:C)</f>
        <v>Tanoak-Canyon Live Oak and/or Sadler Oak</v>
      </c>
    </row>
    <row r="93" spans="1:9" ht="14.35" x14ac:dyDescent="0.5">
      <c r="A93">
        <v>7</v>
      </c>
      <c r="B93" t="s">
        <v>17</v>
      </c>
      <c r="C93" t="s">
        <v>10</v>
      </c>
      <c r="F93">
        <v>10431</v>
      </c>
      <c r="G93" t="s">
        <v>11</v>
      </c>
      <c r="I93" t="str">
        <f>_xlfn.XLOOKUP(B93,RA_LFBpS_SWO_PAG_PA!B:B,RA_LFBpS_SWO_PAG_PA!C:C)</f>
        <v>Tanoak-Canyon Live Oak and/or Sadler Oak</v>
      </c>
    </row>
    <row r="94" spans="1:9" ht="14.35" x14ac:dyDescent="0.5">
      <c r="A94">
        <v>6</v>
      </c>
      <c r="B94" t="s">
        <v>28</v>
      </c>
      <c r="C94" t="s">
        <v>25</v>
      </c>
      <c r="F94">
        <v>10432</v>
      </c>
      <c r="G94" t="s">
        <v>26</v>
      </c>
      <c r="I94" t="e">
        <f>_xlfn.XLOOKUP(B94,RA_LFBpS_SWO_PAG_PA!B:B,RA_LFBpS_SWO_PAG_PA!C:C)</f>
        <v>#N/A</v>
      </c>
    </row>
    <row r="95" spans="1:9" ht="14.35" x14ac:dyDescent="0.5">
      <c r="A95">
        <v>8</v>
      </c>
      <c r="B95" t="s">
        <v>18</v>
      </c>
      <c r="C95" t="s">
        <v>10</v>
      </c>
      <c r="F95">
        <v>10431</v>
      </c>
      <c r="G95" t="s">
        <v>11</v>
      </c>
      <c r="I95" t="str">
        <f>_xlfn.XLOOKUP(B95,RA_LFBpS_SWO_PAG_PA!B:B,RA_LFBpS_SWO_PAG_PA!C:C)</f>
        <v>Tanoak/Salal</v>
      </c>
    </row>
    <row r="96" spans="1:9" ht="14.35" x14ac:dyDescent="0.5">
      <c r="A96">
        <v>7</v>
      </c>
      <c r="B96" t="s">
        <v>29</v>
      </c>
      <c r="C96" t="s">
        <v>25</v>
      </c>
      <c r="F96">
        <v>10432</v>
      </c>
      <c r="G96" t="s">
        <v>26</v>
      </c>
      <c r="I96" t="e">
        <f>_xlfn.XLOOKUP(B96,RA_LFBpS_SWO_PAG_PA!B:B,RA_LFBpS_SWO_PAG_PA!C:C)</f>
        <v>#N/A</v>
      </c>
    </row>
    <row r="97" spans="1:9" ht="14.35" x14ac:dyDescent="0.5">
      <c r="A97">
        <v>5</v>
      </c>
      <c r="B97" t="s">
        <v>30</v>
      </c>
      <c r="C97" t="s">
        <v>31</v>
      </c>
      <c r="F97">
        <v>10432</v>
      </c>
      <c r="G97" t="s">
        <v>26</v>
      </c>
      <c r="I97" t="str">
        <f>_xlfn.XLOOKUP(B97,RA_LFBpS_SWO_PAG_PA!B:B,RA_LFBpS_SWO_PAG_PA!C:C)</f>
        <v> </v>
      </c>
    </row>
    <row r="98" spans="1:9" ht="14.35" x14ac:dyDescent="0.5">
      <c r="A98">
        <v>9</v>
      </c>
      <c r="B98" t="s">
        <v>19</v>
      </c>
      <c r="C98" t="s">
        <v>10</v>
      </c>
      <c r="F98">
        <v>10431</v>
      </c>
      <c r="G98" t="s">
        <v>11</v>
      </c>
      <c r="I98" t="str">
        <f>_xlfn.XLOOKUP(B98,RA_LFBpS_SWO_PAG_PA!B:B,RA_LFBpS_SWO_PAG_PA!C:C)</f>
        <v> </v>
      </c>
    </row>
    <row r="99" spans="1:9" ht="14.35" x14ac:dyDescent="0.5">
      <c r="A99">
        <v>8</v>
      </c>
      <c r="B99" t="s">
        <v>32</v>
      </c>
      <c r="C99" t="s">
        <v>25</v>
      </c>
      <c r="F99">
        <v>10432</v>
      </c>
      <c r="G99" t="s">
        <v>26</v>
      </c>
      <c r="I99" t="str">
        <f>_xlfn.XLOOKUP(B99,RA_LFBpS_SWO_PAG_PA!B:B,RA_LFBpS_SWO_PAG_PA!C:C)</f>
        <v>Tanoak/Evergreen Huckleberry</v>
      </c>
    </row>
    <row r="100" spans="1:9" ht="14.35" x14ac:dyDescent="0.5">
      <c r="A100">
        <v>9</v>
      </c>
      <c r="B100" t="s">
        <v>33</v>
      </c>
      <c r="C100" t="s">
        <v>25</v>
      </c>
      <c r="F100">
        <v>10432</v>
      </c>
      <c r="G100" t="s">
        <v>26</v>
      </c>
      <c r="I100" t="str">
        <f>_xlfn.XLOOKUP(B100,RA_LFBpS_SWO_PAG_PA!B:B,RA_LFBpS_SWO_PAG_PA!C:C)</f>
        <v> </v>
      </c>
    </row>
    <row r="101" spans="1:9" ht="14.35" x14ac:dyDescent="0.5">
      <c r="A101">
        <v>10</v>
      </c>
      <c r="B101" t="s">
        <v>20</v>
      </c>
      <c r="C101" t="s">
        <v>10</v>
      </c>
      <c r="F101">
        <v>10431</v>
      </c>
      <c r="G101" t="s">
        <v>11</v>
      </c>
      <c r="I101" t="str">
        <f>_xlfn.XLOOKUP(B101,RA_LFBpS_SWO_PAG_PA!B:B,RA_LFBpS_SWO_PAG_PA!C:C)</f>
        <v>Tanoak-Canyon Live Oak and/or Sadler Oak</v>
      </c>
    </row>
    <row r="102" spans="1:9" ht="14.35" x14ac:dyDescent="0.5">
      <c r="A102">
        <v>11</v>
      </c>
      <c r="B102" t="s">
        <v>21</v>
      </c>
      <c r="C102" t="s">
        <v>10</v>
      </c>
      <c r="F102">
        <v>10431</v>
      </c>
      <c r="G102" t="s">
        <v>11</v>
      </c>
      <c r="I102" t="str">
        <f>_xlfn.XLOOKUP(B102,RA_LFBpS_SWO_PAG_PA!B:B,RA_LFBpS_SWO_PAG_PA!C:C)</f>
        <v>Tanoak-Canyon Live Oak and/or Sadler Oak</v>
      </c>
    </row>
    <row r="103" spans="1:9" ht="14.35" x14ac:dyDescent="0.5">
      <c r="A103">
        <v>12</v>
      </c>
      <c r="B103" t="s">
        <v>22</v>
      </c>
      <c r="C103" t="s">
        <v>10</v>
      </c>
      <c r="F103">
        <v>10431</v>
      </c>
      <c r="G103" t="s">
        <v>11</v>
      </c>
      <c r="I103" t="str">
        <f>_xlfn.XLOOKUP(B103,RA_LFBpS_SWO_PAG_PA!B:B,RA_LFBpS_SWO_PAG_PA!C:C)</f>
        <v>Tanoak-Canyon Live Oak and/or Sadler Oak</v>
      </c>
    </row>
    <row r="104" spans="1:9" ht="14.35" x14ac:dyDescent="0.5">
      <c r="A104">
        <v>13</v>
      </c>
      <c r="B104" t="s">
        <v>23</v>
      </c>
      <c r="C104" t="s">
        <v>10</v>
      </c>
      <c r="F104">
        <v>10431</v>
      </c>
      <c r="G104" t="s">
        <v>11</v>
      </c>
      <c r="I104" t="e">
        <f>_xlfn.XLOOKUP(B104,RA_LFBpS_SWO_PAG_PA!B:B,RA_LFBpS_SWO_PAG_PA!C:C)</f>
        <v>#N/A</v>
      </c>
    </row>
    <row r="105" spans="1:9" ht="14.35" x14ac:dyDescent="0.5">
      <c r="A105">
        <v>10</v>
      </c>
      <c r="B105" t="s">
        <v>34</v>
      </c>
      <c r="C105" t="s">
        <v>25</v>
      </c>
      <c r="F105">
        <v>10432</v>
      </c>
      <c r="G105" t="s">
        <v>26</v>
      </c>
      <c r="I105" t="str">
        <f>_xlfn.XLOOKUP(B105,RA_LFBpS_SWO_PAG_PA!B:B,RA_LFBpS_SWO_PAG_PA!C:C)</f>
        <v> </v>
      </c>
    </row>
    <row r="106" spans="1:9" ht="14.35" x14ac:dyDescent="0.5">
      <c r="A106">
        <v>11</v>
      </c>
      <c r="B106" t="s">
        <v>35</v>
      </c>
      <c r="C106" t="s">
        <v>25</v>
      </c>
      <c r="F106">
        <v>10432</v>
      </c>
      <c r="G106" t="s">
        <v>26</v>
      </c>
      <c r="I106" t="str">
        <f>_xlfn.XLOOKUP(B106,RA_LFBpS_SWO_PAG_PA!B:B,RA_LFBpS_SWO_PAG_PA!C:C)</f>
        <v> </v>
      </c>
    </row>
    <row r="107" spans="1:9" ht="14.35" x14ac:dyDescent="0.5">
      <c r="A107">
        <v>12</v>
      </c>
      <c r="B107" t="s">
        <v>36</v>
      </c>
      <c r="C107" t="s">
        <v>25</v>
      </c>
      <c r="F107">
        <v>10432</v>
      </c>
      <c r="G107" t="s">
        <v>26</v>
      </c>
      <c r="I107" t="str">
        <f>_xlfn.XLOOKUP(B107,RA_LFBpS_SWO_PAG_PA!B:B,RA_LFBpS_SWO_PAG_PA!C:C)</f>
        <v> </v>
      </c>
    </row>
    <row r="108" spans="1:9" ht="14.35" x14ac:dyDescent="0.5">
      <c r="A108">
        <v>3</v>
      </c>
      <c r="B108" t="s">
        <v>270</v>
      </c>
      <c r="C108" t="s">
        <v>271</v>
      </c>
      <c r="F108">
        <v>710580</v>
      </c>
      <c r="G108" t="s">
        <v>272</v>
      </c>
      <c r="I108" t="e">
        <f>_xlfn.XLOOKUP(B108,RA_LFBpS_SWO_PAG_PA!B:B,RA_LFBpS_SWO_PAG_PA!C:C)</f>
        <v>#N/A</v>
      </c>
    </row>
    <row r="109" spans="1:9" ht="14.35" x14ac:dyDescent="0.5">
      <c r="A109">
        <v>4</v>
      </c>
      <c r="B109" t="s">
        <v>273</v>
      </c>
      <c r="C109" t="s">
        <v>271</v>
      </c>
      <c r="F109">
        <v>710580</v>
      </c>
      <c r="G109" t="s">
        <v>272</v>
      </c>
      <c r="I109" t="e">
        <f>_xlfn.XLOOKUP(B109,RA_LFBpS_SWO_PAG_PA!B:B,RA_LFBpS_SWO_PAG_PA!C:C)</f>
        <v>#N/A</v>
      </c>
    </row>
    <row r="110" spans="1:9" ht="14.35" x14ac:dyDescent="0.5">
      <c r="A110">
        <v>5</v>
      </c>
      <c r="B110" t="s">
        <v>274</v>
      </c>
      <c r="C110" t="s">
        <v>271</v>
      </c>
      <c r="F110">
        <v>710580</v>
      </c>
      <c r="G110" t="s">
        <v>272</v>
      </c>
      <c r="I110" t="str">
        <f>_xlfn.XLOOKUP(B110,RA_LFBpS_SWO_PAG_PA!B:B,RA_LFBpS_SWO_PAG_PA!C:C)</f>
        <v>Lodgepole Pine - SWO</v>
      </c>
    </row>
    <row r="111" spans="1:9" ht="14.35" x14ac:dyDescent="0.5">
      <c r="A111">
        <v>6</v>
      </c>
      <c r="B111" t="s">
        <v>275</v>
      </c>
      <c r="C111" t="s">
        <v>271</v>
      </c>
      <c r="F111">
        <v>710580</v>
      </c>
      <c r="G111" t="s">
        <v>272</v>
      </c>
      <c r="I111" t="e">
        <f>_xlfn.XLOOKUP(B111,RA_LFBpS_SWO_PAG_PA!B:B,RA_LFBpS_SWO_PAG_PA!C:C)</f>
        <v>#N/A</v>
      </c>
    </row>
    <row r="112" spans="1:9" ht="14.35" x14ac:dyDescent="0.5">
      <c r="A112">
        <v>7</v>
      </c>
      <c r="B112" t="s">
        <v>276</v>
      </c>
      <c r="C112" t="s">
        <v>271</v>
      </c>
      <c r="F112">
        <v>710580</v>
      </c>
      <c r="G112" t="s">
        <v>272</v>
      </c>
      <c r="I112" t="str">
        <f>_xlfn.XLOOKUP(B112,RA_LFBpS_SWO_PAG_PA!B:B,RA_LFBpS_SWO_PAG_PA!C:C)</f>
        <v>Lodgepole Pine - SWO</v>
      </c>
    </row>
    <row r="113" spans="1:9" ht="14.35" x14ac:dyDescent="0.5">
      <c r="A113">
        <v>8</v>
      </c>
      <c r="B113" t="s">
        <v>277</v>
      </c>
      <c r="C113" t="s">
        <v>271</v>
      </c>
      <c r="F113">
        <v>710580</v>
      </c>
      <c r="G113" t="s">
        <v>272</v>
      </c>
      <c r="I113" t="e">
        <f>_xlfn.XLOOKUP(B113,RA_LFBpS_SWO_PAG_PA!B:B,RA_LFBpS_SWO_PAG_PA!C:C)</f>
        <v>#N/A</v>
      </c>
    </row>
    <row r="114" spans="1:9" ht="14.35" x14ac:dyDescent="0.5">
      <c r="A114">
        <v>9</v>
      </c>
      <c r="B114" t="s">
        <v>278</v>
      </c>
      <c r="C114" t="s">
        <v>271</v>
      </c>
      <c r="F114">
        <v>710580</v>
      </c>
      <c r="G114" t="s">
        <v>272</v>
      </c>
      <c r="I114" t="str">
        <f>_xlfn.XLOOKUP(B114,RA_LFBpS_SWO_PAG_PA!B:B,RA_LFBpS_SWO_PAG_PA!C:C)</f>
        <v>Lodgepole Pine - SWO</v>
      </c>
    </row>
    <row r="115" spans="1:9" ht="14.35" x14ac:dyDescent="0.5">
      <c r="A115">
        <v>1</v>
      </c>
      <c r="B115" t="s">
        <v>75</v>
      </c>
      <c r="C115" t="s">
        <v>76</v>
      </c>
      <c r="F115">
        <v>710210</v>
      </c>
      <c r="G115" t="s">
        <v>77</v>
      </c>
      <c r="I115" t="str">
        <f>_xlfn.XLOOKUP(B115,RA_LFBpS_SWO_PAG_PA!B:B,RA_LFBpS_SWO_PAG_PA!C:C)</f>
        <v>Jeffrey Pine/Grass</v>
      </c>
    </row>
    <row r="116" spans="1:9" ht="14.35" x14ac:dyDescent="0.5">
      <c r="A116">
        <v>2</v>
      </c>
      <c r="B116" t="s">
        <v>78</v>
      </c>
      <c r="C116" t="s">
        <v>76</v>
      </c>
      <c r="F116">
        <v>710210</v>
      </c>
      <c r="G116" t="s">
        <v>77</v>
      </c>
      <c r="I116" t="str">
        <f>_xlfn.XLOOKUP(B116,RA_LFBpS_SWO_PAG_PA!B:B,RA_LFBpS_SWO_PAG_PA!C:C)</f>
        <v>Jeffrey Pine/Grass</v>
      </c>
    </row>
    <row r="117" spans="1:9" ht="14.35" x14ac:dyDescent="0.5">
      <c r="A117">
        <v>3</v>
      </c>
      <c r="B117" t="s">
        <v>79</v>
      </c>
      <c r="C117" t="s">
        <v>76</v>
      </c>
      <c r="F117">
        <v>710210</v>
      </c>
      <c r="G117" t="s">
        <v>77</v>
      </c>
      <c r="I117" t="str">
        <f>_xlfn.XLOOKUP(B117,RA_LFBpS_SWO_PAG_PA!B:B,RA_LFBpS_SWO_PAG_PA!C:C)</f>
        <v>Jeffrey Pine/Shrub</v>
      </c>
    </row>
    <row r="118" spans="1:9" ht="14.35" x14ac:dyDescent="0.5">
      <c r="A118">
        <v>4</v>
      </c>
      <c r="B118" t="s">
        <v>80</v>
      </c>
      <c r="C118" t="s">
        <v>76</v>
      </c>
      <c r="F118">
        <v>710210</v>
      </c>
      <c r="G118" t="s">
        <v>77</v>
      </c>
      <c r="I118" t="str">
        <f>_xlfn.XLOOKUP(B118,RA_LFBpS_SWO_PAG_PA!B:B,RA_LFBpS_SWO_PAG_PA!C:C)</f>
        <v>Jeffrey Pine/Shrub</v>
      </c>
    </row>
    <row r="119" spans="1:9" ht="14.35" x14ac:dyDescent="0.5">
      <c r="A119">
        <v>5</v>
      </c>
      <c r="B119" t="s">
        <v>81</v>
      </c>
      <c r="C119" t="s">
        <v>76</v>
      </c>
      <c r="F119">
        <v>710210</v>
      </c>
      <c r="G119" t="s">
        <v>77</v>
      </c>
      <c r="I119" t="str">
        <f>_xlfn.XLOOKUP(B119,RA_LFBpS_SWO_PAG_PA!B:B,RA_LFBpS_SWO_PAG_PA!C:C)</f>
        <v>Jeffrey Pine-Incense Cedar</v>
      </c>
    </row>
    <row r="120" spans="1:9" ht="14.35" x14ac:dyDescent="0.5">
      <c r="A120">
        <v>6</v>
      </c>
      <c r="B120" t="s">
        <v>82</v>
      </c>
      <c r="C120" t="s">
        <v>76</v>
      </c>
      <c r="F120">
        <v>710210</v>
      </c>
      <c r="G120" t="s">
        <v>77</v>
      </c>
      <c r="I120" t="str">
        <f>_xlfn.XLOOKUP(B120,RA_LFBpS_SWO_PAG_PA!B:B,RA_LFBpS_SWO_PAG_PA!C:C)</f>
        <v>Jeffrey Pine-Incense Cedar</v>
      </c>
    </row>
    <row r="121" spans="1:9" ht="14.35" x14ac:dyDescent="0.5">
      <c r="A121">
        <v>7</v>
      </c>
      <c r="B121" t="s">
        <v>83</v>
      </c>
      <c r="C121" t="s">
        <v>76</v>
      </c>
      <c r="F121">
        <v>710210</v>
      </c>
      <c r="G121" t="s">
        <v>77</v>
      </c>
      <c r="I121" t="str">
        <f>_xlfn.XLOOKUP(B121,RA_LFBpS_SWO_PAG_PA!B:B,RA_LFBpS_SWO_PAG_PA!C:C)</f>
        <v>Jeffrey Pine-Incense Cedar</v>
      </c>
    </row>
    <row r="122" spans="1:9" ht="14.35" x14ac:dyDescent="0.5">
      <c r="A122">
        <v>6</v>
      </c>
      <c r="B122" t="s">
        <v>202</v>
      </c>
      <c r="C122" t="s">
        <v>31</v>
      </c>
      <c r="F122">
        <v>710320</v>
      </c>
      <c r="G122" t="s">
        <v>182</v>
      </c>
      <c r="I122" t="str">
        <f>_xlfn.XLOOKUP(B122,RA_LFBpS_SWO_PAG_PA!B:B,RA_LFBpS_SWO_PAG_PA!C:C)</f>
        <v>Western White Pine - SWO</v>
      </c>
    </row>
    <row r="123" spans="1:9" ht="14.35" x14ac:dyDescent="0.5">
      <c r="A123">
        <v>7</v>
      </c>
      <c r="B123" t="s">
        <v>261</v>
      </c>
      <c r="C123" t="s">
        <v>31</v>
      </c>
      <c r="F123">
        <v>10432</v>
      </c>
      <c r="G123" t="s">
        <v>26</v>
      </c>
      <c r="I123" t="str">
        <f>_xlfn.XLOOKUP(B123,RA_LFBpS_SWO_PAG_PA!B:B,RA_LFBpS_SWO_PAG_PA!C:C)</f>
        <v>Western White Pine - SWO</v>
      </c>
    </row>
    <row r="124" spans="1:9" ht="14.35" x14ac:dyDescent="0.5">
      <c r="A124">
        <v>8</v>
      </c>
      <c r="B124" t="s">
        <v>262</v>
      </c>
      <c r="C124" t="s">
        <v>31</v>
      </c>
      <c r="F124">
        <v>10432</v>
      </c>
      <c r="G124" t="s">
        <v>26</v>
      </c>
      <c r="I124" t="e">
        <f>_xlfn.XLOOKUP(B124,RA_LFBpS_SWO_PAG_PA!B:B,RA_LFBpS_SWO_PAG_PA!C:C)</f>
        <v>#N/A</v>
      </c>
    </row>
    <row r="125" spans="1:9" ht="14.35" x14ac:dyDescent="0.5">
      <c r="A125">
        <v>8</v>
      </c>
      <c r="B125" t="s">
        <v>84</v>
      </c>
      <c r="C125" t="s">
        <v>76</v>
      </c>
      <c r="F125">
        <v>710210</v>
      </c>
      <c r="G125" t="s">
        <v>77</v>
      </c>
      <c r="I125" t="str">
        <f>_xlfn.XLOOKUP(B125,RA_LFBpS_SWO_PAG_PA!B:B,RA_LFBpS_SWO_PAG_PA!C:C)</f>
        <v>Western White Pine - SWO</v>
      </c>
    </row>
    <row r="126" spans="1:9" ht="14.35" x14ac:dyDescent="0.5">
      <c r="A126">
        <v>9</v>
      </c>
      <c r="B126" t="s">
        <v>167</v>
      </c>
      <c r="C126" t="s">
        <v>31</v>
      </c>
      <c r="F126">
        <v>710280</v>
      </c>
      <c r="G126" t="s">
        <v>118</v>
      </c>
      <c r="I126" t="e">
        <f>_xlfn.XLOOKUP(B126,RA_LFBpS_SWO_PAG_PA!B:B,RA_LFBpS_SWO_PAG_PA!C:C)</f>
        <v>#N/A</v>
      </c>
    </row>
    <row r="127" spans="1:9" ht="14.35" x14ac:dyDescent="0.5">
      <c r="A127">
        <v>2</v>
      </c>
      <c r="B127" t="s">
        <v>263</v>
      </c>
      <c r="C127" t="s">
        <v>148</v>
      </c>
      <c r="F127">
        <v>710531</v>
      </c>
      <c r="G127" t="s">
        <v>264</v>
      </c>
      <c r="I127" t="e">
        <f>_xlfn.XLOOKUP(B127,RA_LFBpS_SWO_PAG_PA!B:B,RA_LFBpS_SWO_PAG_PA!C:C)</f>
        <v>#N/A</v>
      </c>
    </row>
    <row r="128" spans="1:9" ht="14.35" x14ac:dyDescent="0.5">
      <c r="A128">
        <v>3</v>
      </c>
      <c r="B128" t="s">
        <v>265</v>
      </c>
      <c r="C128" t="s">
        <v>148</v>
      </c>
      <c r="F128">
        <v>710531</v>
      </c>
      <c r="G128" t="s">
        <v>264</v>
      </c>
      <c r="I128" t="e">
        <f>_xlfn.XLOOKUP(B128,RA_LFBpS_SWO_PAG_PA!B:B,RA_LFBpS_SWO_PAG_PA!C:C)</f>
        <v>#N/A</v>
      </c>
    </row>
    <row r="129" spans="1:9" ht="14.35" x14ac:dyDescent="0.5">
      <c r="A129">
        <v>4</v>
      </c>
      <c r="B129" t="s">
        <v>266</v>
      </c>
      <c r="C129" t="s">
        <v>148</v>
      </c>
      <c r="F129">
        <v>710531</v>
      </c>
      <c r="G129" t="s">
        <v>264</v>
      </c>
      <c r="I129" t="e">
        <f>_xlfn.XLOOKUP(B129,RA_LFBpS_SWO_PAG_PA!B:B,RA_LFBpS_SWO_PAG_PA!C:C)</f>
        <v>#N/A</v>
      </c>
    </row>
    <row r="130" spans="1:9" ht="14.35" x14ac:dyDescent="0.5">
      <c r="A130">
        <v>5</v>
      </c>
      <c r="B130" t="s">
        <v>267</v>
      </c>
      <c r="C130" t="s">
        <v>148</v>
      </c>
      <c r="F130">
        <v>710531</v>
      </c>
      <c r="G130" t="s">
        <v>264</v>
      </c>
      <c r="I130" t="e">
        <f>_xlfn.XLOOKUP(B130,RA_LFBpS_SWO_PAG_PA!B:B,RA_LFBpS_SWO_PAG_PA!C:C)</f>
        <v>#N/A</v>
      </c>
    </row>
    <row r="131" spans="1:9" ht="14.35" x14ac:dyDescent="0.5">
      <c r="A131">
        <v>6</v>
      </c>
      <c r="B131" t="s">
        <v>268</v>
      </c>
      <c r="C131" t="s">
        <v>148</v>
      </c>
      <c r="F131">
        <v>710531</v>
      </c>
      <c r="G131" t="s">
        <v>264</v>
      </c>
      <c r="I131" t="str">
        <f>_xlfn.XLOOKUP(B131,RA_LFBpS_SWO_PAG_PA!B:B,RA_LFBpS_SWO_PAG_PA!C:C)</f>
        <v>Ponderosa Pine - SWO</v>
      </c>
    </row>
    <row r="132" spans="1:9" ht="14.35" x14ac:dyDescent="0.5">
      <c r="A132">
        <v>7</v>
      </c>
      <c r="B132" t="s">
        <v>269</v>
      </c>
      <c r="C132" t="s">
        <v>148</v>
      </c>
      <c r="F132">
        <v>710531</v>
      </c>
      <c r="G132" t="s">
        <v>264</v>
      </c>
      <c r="I132" t="str">
        <f>_xlfn.XLOOKUP(B132,RA_LFBpS_SWO_PAG_PA!B:B,RA_LFBpS_SWO_PAG_PA!C:C)</f>
        <v>Ponderosa Pine - SWO</v>
      </c>
    </row>
    <row r="133" spans="1:9" ht="15.7" x14ac:dyDescent="0.55000000000000004">
      <c r="A133">
        <v>1</v>
      </c>
      <c r="B133" t="s">
        <v>85</v>
      </c>
      <c r="C133" t="s">
        <v>86</v>
      </c>
      <c r="F133" s="3">
        <v>710270</v>
      </c>
      <c r="G133" t="s">
        <v>87</v>
      </c>
      <c r="I133" t="str">
        <f>_xlfn.XLOOKUP(B133,RA_LFBpS_SWO_PAG_PA!B:B,RA_LFBpS_SWO_PAG_PA!C:C)</f>
        <v>Douglas-fir-Canyon Live Oak-cool, dry - SWO</v>
      </c>
    </row>
    <row r="134" spans="1:9" ht="15.7" x14ac:dyDescent="0.55000000000000004">
      <c r="A134">
        <v>2</v>
      </c>
      <c r="B134" t="s">
        <v>88</v>
      </c>
      <c r="C134" t="s">
        <v>86</v>
      </c>
      <c r="F134" s="3">
        <v>710270</v>
      </c>
      <c r="G134" t="s">
        <v>87</v>
      </c>
      <c r="I134" t="str">
        <f>_xlfn.XLOOKUP(B134,RA_LFBpS_SWO_PAG_PA!B:B,RA_LFBpS_SWO_PAG_PA!C:C)</f>
        <v>Douglas-fir-Canyon Live Oak-cool, dry - SWO</v>
      </c>
    </row>
    <row r="135" spans="1:9" ht="15.7" x14ac:dyDescent="0.55000000000000004">
      <c r="A135">
        <v>2</v>
      </c>
      <c r="B135" t="s">
        <v>89</v>
      </c>
      <c r="C135" t="s">
        <v>86</v>
      </c>
      <c r="F135" s="3">
        <v>710270</v>
      </c>
      <c r="G135" t="s">
        <v>87</v>
      </c>
      <c r="I135" t="str">
        <f>_xlfn.XLOOKUP(B135,RA_LFBpS_SWO_PAG_PA!B:B,RA_LFBpS_SWO_PAG_PA!C:C)</f>
        <v>Douglas-fir-Canyon Live Oak-cool, dry - SWO</v>
      </c>
    </row>
    <row r="136" spans="1:9" ht="15.7" x14ac:dyDescent="0.55000000000000004">
      <c r="A136">
        <v>3</v>
      </c>
      <c r="B136" t="s">
        <v>90</v>
      </c>
      <c r="C136" t="s">
        <v>73</v>
      </c>
      <c r="F136" s="3">
        <v>710270</v>
      </c>
      <c r="G136" t="s">
        <v>87</v>
      </c>
      <c r="I136" t="s">
        <v>91</v>
      </c>
    </row>
    <row r="137" spans="1:9" ht="15.7" x14ac:dyDescent="0.55000000000000004">
      <c r="A137">
        <v>4</v>
      </c>
      <c r="B137" t="s">
        <v>168</v>
      </c>
      <c r="C137" t="s">
        <v>73</v>
      </c>
      <c r="F137" s="3">
        <v>710280</v>
      </c>
      <c r="G137" t="s">
        <v>118</v>
      </c>
      <c r="I137" t="e">
        <f>_xlfn.XLOOKUP(B137,RA_LFBpS_SWO_PAG_PA!B:B,RA_LFBpS_SWO_PAG_PA!C:C)</f>
        <v>#N/A</v>
      </c>
    </row>
    <row r="138" spans="1:9" ht="14.35" x14ac:dyDescent="0.5">
      <c r="A138">
        <v>3</v>
      </c>
      <c r="B138" t="s">
        <v>92</v>
      </c>
      <c r="C138" t="s">
        <v>86</v>
      </c>
      <c r="F138">
        <v>710270</v>
      </c>
      <c r="G138" t="s">
        <v>87</v>
      </c>
      <c r="I138" t="str">
        <f>_xlfn.XLOOKUP(B138,RA_LFBpS_SWO_PAG_PA!B:B,RA_LFBpS_SWO_PAG_PA!C:C)</f>
        <v>Douglas-fir/Poison Oak-warm, often low elevation</v>
      </c>
    </row>
    <row r="139" spans="1:9" ht="14.35" x14ac:dyDescent="0.5">
      <c r="A139">
        <v>5</v>
      </c>
      <c r="B139" t="s">
        <v>169</v>
      </c>
      <c r="C139" t="s">
        <v>73</v>
      </c>
      <c r="F139">
        <v>710280</v>
      </c>
      <c r="G139" t="s">
        <v>118</v>
      </c>
      <c r="I139" t="str">
        <f>_xlfn.XLOOKUP(B139,RA_LFBpS_SWO_PAG_PA!B:B,RA_LFBpS_SWO_PAG_PA!C:C)</f>
        <v>Douglas-fir-Chinquapin/Salal - SWO</v>
      </c>
    </row>
    <row r="140" spans="1:9" ht="14.35" x14ac:dyDescent="0.5">
      <c r="A140">
        <v>6</v>
      </c>
      <c r="B140" t="s">
        <v>170</v>
      </c>
      <c r="C140" t="s">
        <v>73</v>
      </c>
      <c r="F140">
        <v>710280</v>
      </c>
      <c r="G140" t="s">
        <v>118</v>
      </c>
      <c r="I140" t="str">
        <f>_xlfn.XLOOKUP(B140,RA_LFBpS_SWO_PAG_PA!B:B,RA_LFBpS_SWO_PAG_PA!C:C)</f>
        <v>Douglas-fir-Chinquapin/Salal - SWO</v>
      </c>
    </row>
    <row r="141" spans="1:9" ht="15.7" x14ac:dyDescent="0.55000000000000004">
      <c r="A141">
        <v>4</v>
      </c>
      <c r="B141" t="s">
        <v>93</v>
      </c>
      <c r="C141" t="s">
        <v>86</v>
      </c>
      <c r="F141" s="3">
        <v>710270</v>
      </c>
      <c r="G141" t="s">
        <v>87</v>
      </c>
      <c r="I141" t="str">
        <f>_xlfn.XLOOKUP(B141,RA_LFBpS_SWO_PAG_PA!B:B,RA_LFBpS_SWO_PAG_PA!C:C)</f>
        <v>Douglas-fir/Poison Oak-warm, often low elevation</v>
      </c>
    </row>
    <row r="142" spans="1:9" ht="15.7" x14ac:dyDescent="0.55000000000000004">
      <c r="A142">
        <v>5</v>
      </c>
      <c r="B142" t="s">
        <v>94</v>
      </c>
      <c r="C142" t="s">
        <v>86</v>
      </c>
      <c r="F142" s="3">
        <v>710270</v>
      </c>
      <c r="G142" t="s">
        <v>87</v>
      </c>
      <c r="I142" t="s">
        <v>95</v>
      </c>
    </row>
    <row r="143" spans="1:9" ht="15.7" x14ac:dyDescent="0.55000000000000004">
      <c r="A143">
        <v>6</v>
      </c>
      <c r="B143" t="s">
        <v>96</v>
      </c>
      <c r="C143" t="s">
        <v>86</v>
      </c>
      <c r="F143" s="3">
        <v>710270</v>
      </c>
      <c r="G143" t="s">
        <v>87</v>
      </c>
      <c r="I143" t="s">
        <v>97</v>
      </c>
    </row>
    <row r="144" spans="1:9" ht="15.7" x14ac:dyDescent="0.55000000000000004">
      <c r="A144">
        <v>7</v>
      </c>
      <c r="B144" t="s">
        <v>98</v>
      </c>
      <c r="C144" t="s">
        <v>86</v>
      </c>
      <c r="F144" s="3">
        <v>710270</v>
      </c>
      <c r="G144" t="s">
        <v>87</v>
      </c>
      <c r="I144" t="s">
        <v>99</v>
      </c>
    </row>
    <row r="145" spans="1:9" ht="14.35" x14ac:dyDescent="0.5">
      <c r="A145">
        <v>7</v>
      </c>
      <c r="B145" t="s">
        <v>171</v>
      </c>
      <c r="C145" t="s">
        <v>73</v>
      </c>
      <c r="F145">
        <v>710280</v>
      </c>
      <c r="G145" t="s">
        <v>118</v>
      </c>
      <c r="I145" t="e">
        <f>_xlfn.XLOOKUP(B145,RA_LFBpS_SWO_PAG_PA!B:B,RA_LFBpS_SWO_PAG_PA!C:C)</f>
        <v>#N/A</v>
      </c>
    </row>
    <row r="146" spans="1:9" ht="14.35" x14ac:dyDescent="0.5">
      <c r="A146">
        <v>10</v>
      </c>
      <c r="B146" t="s">
        <v>100</v>
      </c>
      <c r="C146" t="s">
        <v>31</v>
      </c>
      <c r="F146">
        <v>710270</v>
      </c>
      <c r="G146" t="s">
        <v>87</v>
      </c>
      <c r="I146" t="str">
        <f>_xlfn.XLOOKUP(B146,RA_LFBpS_SWO_PAG_PA!B:B,RA_LFBpS_SWO_PAG_PA!C:C)</f>
        <v>Douglas-fir-Ultramafic - SWO</v>
      </c>
    </row>
    <row r="147" spans="1:9" ht="14.35" x14ac:dyDescent="0.5">
      <c r="A147">
        <v>11</v>
      </c>
      <c r="B147" t="s">
        <v>172</v>
      </c>
      <c r="C147" t="s">
        <v>31</v>
      </c>
      <c r="F147">
        <v>710280</v>
      </c>
      <c r="G147" t="s">
        <v>118</v>
      </c>
      <c r="I147" t="str">
        <f>_xlfn.XLOOKUP(B147,RA_LFBpS_SWO_PAG_PA!B:B,RA_LFBpS_SWO_PAG_PA!C:C)</f>
        <v>Douglas-fir-Ultramafic - SWO</v>
      </c>
    </row>
    <row r="148" spans="1:9" ht="14.35" x14ac:dyDescent="0.5">
      <c r="A148">
        <v>8</v>
      </c>
      <c r="B148" t="s">
        <v>101</v>
      </c>
      <c r="C148" t="s">
        <v>86</v>
      </c>
      <c r="F148">
        <v>710270</v>
      </c>
      <c r="G148" t="s">
        <v>87</v>
      </c>
      <c r="I148" t="s">
        <v>102</v>
      </c>
    </row>
    <row r="149" spans="1:9" ht="14.35" x14ac:dyDescent="0.5">
      <c r="A149">
        <v>8</v>
      </c>
      <c r="B149" t="s">
        <v>173</v>
      </c>
      <c r="C149" t="s">
        <v>73</v>
      </c>
      <c r="F149">
        <v>710280</v>
      </c>
      <c r="G149" t="s">
        <v>118</v>
      </c>
      <c r="I149" t="e">
        <f>_xlfn.XLOOKUP(B149,RA_LFBpS_SWO_PAG_PA!B:B,RA_LFBpS_SWO_PAG_PA!C:C)</f>
        <v>#N/A</v>
      </c>
    </row>
    <row r="150" spans="1:9" ht="14.35" x14ac:dyDescent="0.5">
      <c r="A150">
        <v>9</v>
      </c>
      <c r="B150" t="s">
        <v>103</v>
      </c>
      <c r="C150" t="s">
        <v>86</v>
      </c>
      <c r="F150">
        <v>710270</v>
      </c>
      <c r="G150" t="s">
        <v>87</v>
      </c>
      <c r="I150" t="s">
        <v>104</v>
      </c>
    </row>
    <row r="151" spans="1:9" ht="14.35" x14ac:dyDescent="0.5">
      <c r="A151">
        <v>25</v>
      </c>
      <c r="B151" t="s">
        <v>105</v>
      </c>
      <c r="C151" t="s">
        <v>106</v>
      </c>
      <c r="F151">
        <v>710270</v>
      </c>
      <c r="G151" t="s">
        <v>87</v>
      </c>
      <c r="I151" t="str">
        <f>_xlfn.XLOOKUP(B151,RA_LFBpS_SWO_PAG_PA!B:B,RA_LFBpS_SWO_PAG_PA!C:C)</f>
        <v>White Fir-Douglas-fir - warm, dry</v>
      </c>
    </row>
    <row r="152" spans="1:9" ht="14.35" x14ac:dyDescent="0.5">
      <c r="A152">
        <v>9</v>
      </c>
      <c r="B152" t="s">
        <v>174</v>
      </c>
      <c r="C152" t="s">
        <v>73</v>
      </c>
      <c r="F152">
        <v>710280</v>
      </c>
      <c r="G152" t="s">
        <v>118</v>
      </c>
      <c r="I152" t="e">
        <f>_xlfn.XLOOKUP(B152,RA_LFBpS_SWO_PAG_PA!B:B,RA_LFBpS_SWO_PAG_PA!C:C)</f>
        <v>#N/A</v>
      </c>
    </row>
    <row r="153" spans="1:9" ht="15.7" x14ac:dyDescent="0.55000000000000004">
      <c r="A153">
        <v>27</v>
      </c>
      <c r="B153" t="s">
        <v>107</v>
      </c>
      <c r="C153" t="s">
        <v>106</v>
      </c>
      <c r="F153" s="3">
        <v>710270</v>
      </c>
      <c r="G153" t="s">
        <v>87</v>
      </c>
      <c r="I153" t="str">
        <f>_xlfn.XLOOKUP(B153,RA_LFBpS_SWO_PAG_PA!B:B,RA_LFBpS_SWO_PAG_PA!C:C)</f>
        <v>Douglas-fir-Canyon Live Oak-cool, dry - SWO</v>
      </c>
    </row>
    <row r="154" spans="1:9" ht="14.35" x14ac:dyDescent="0.5">
      <c r="A154">
        <v>10</v>
      </c>
      <c r="B154" t="s">
        <v>175</v>
      </c>
      <c r="C154" t="s">
        <v>73</v>
      </c>
      <c r="F154">
        <v>710280</v>
      </c>
      <c r="G154" t="s">
        <v>118</v>
      </c>
      <c r="I154" t="str">
        <f>_xlfn.XLOOKUP(B154,RA_LFBpS_SWO_PAG_PA!B:B,RA_LFBpS_SWO_PAG_PA!C:C)</f>
        <v>Douglas-fir-Chinquapin/Salal - SWO</v>
      </c>
    </row>
    <row r="155" spans="1:9" ht="15.7" x14ac:dyDescent="0.55000000000000004">
      <c r="A155">
        <v>10</v>
      </c>
      <c r="B155" t="s">
        <v>108</v>
      </c>
      <c r="C155" t="s">
        <v>86</v>
      </c>
      <c r="F155" s="3">
        <v>710270</v>
      </c>
      <c r="G155" t="s">
        <v>87</v>
      </c>
      <c r="I155" t="str">
        <f>_xlfn.XLOOKUP(B155,RA_LFBpS_SWO_PAG_PA!B:B,RA_LFBpS_SWO_PAG_PA!C:C)</f>
        <v>Douglas-fir-Ultramafic - SWO</v>
      </c>
    </row>
    <row r="156" spans="1:9" ht="15.7" x14ac:dyDescent="0.55000000000000004">
      <c r="A156">
        <v>11</v>
      </c>
      <c r="B156" t="s">
        <v>109</v>
      </c>
      <c r="C156" t="s">
        <v>86</v>
      </c>
      <c r="F156" s="3">
        <v>710270</v>
      </c>
      <c r="G156" t="s">
        <v>87</v>
      </c>
      <c r="I156" t="str">
        <f>_xlfn.XLOOKUP(B156,RA_LFBpS_SWO_PAG_PA!B:B,RA_LFBpS_SWO_PAG_PA!C:C)</f>
        <v>Douglas-fir/Poison Oak-warm, often low elevation</v>
      </c>
    </row>
    <row r="157" spans="1:9" ht="15.7" x14ac:dyDescent="0.55000000000000004">
      <c r="A157">
        <v>9</v>
      </c>
      <c r="B157" t="s">
        <v>110</v>
      </c>
      <c r="C157" t="s">
        <v>76</v>
      </c>
      <c r="F157" s="3">
        <v>710270</v>
      </c>
      <c r="G157" t="s">
        <v>87</v>
      </c>
      <c r="I157" t="str">
        <f>_xlfn.XLOOKUP(B157,RA_LFBpS_SWO_PAG_PA!B:B,RA_LFBpS_SWO_PAG_PA!C:C)</f>
        <v>Douglas-fir-Ultramafic - SWO</v>
      </c>
    </row>
    <row r="158" spans="1:9" ht="15.7" x14ac:dyDescent="0.55000000000000004">
      <c r="A158">
        <v>12</v>
      </c>
      <c r="B158" t="s">
        <v>111</v>
      </c>
      <c r="C158" t="s">
        <v>86</v>
      </c>
      <c r="F158" s="3">
        <v>710270</v>
      </c>
      <c r="G158" t="s">
        <v>87</v>
      </c>
      <c r="I158" t="str">
        <f>_xlfn.XLOOKUP(B158,RA_LFBpS_SWO_PAG_PA!B:B,RA_LFBpS_SWO_PAG_PA!C:C)</f>
        <v>Douglas-fir/Poison Oak-warm, often low elevation</v>
      </c>
    </row>
    <row r="159" spans="1:9" ht="15.7" x14ac:dyDescent="0.55000000000000004">
      <c r="A159">
        <v>13</v>
      </c>
      <c r="B159" t="s">
        <v>112</v>
      </c>
      <c r="C159" t="s">
        <v>86</v>
      </c>
      <c r="F159" s="3">
        <v>710270</v>
      </c>
      <c r="G159" t="s">
        <v>87</v>
      </c>
      <c r="I159" t="str">
        <f>_xlfn.XLOOKUP(B159,RA_LFBpS_SWO_PAG_PA!B:B,RA_LFBpS_SWO_PAG_PA!C:C)</f>
        <v>Douglas-fir-Canyon Live Oak-cool, dry - SWO</v>
      </c>
    </row>
    <row r="160" spans="1:9" ht="15.7" x14ac:dyDescent="0.55000000000000004">
      <c r="A160">
        <v>14</v>
      </c>
      <c r="B160" t="s">
        <v>113</v>
      </c>
      <c r="C160" t="s">
        <v>86</v>
      </c>
      <c r="F160" s="3">
        <v>710270</v>
      </c>
      <c r="G160" t="s">
        <v>87</v>
      </c>
      <c r="I160" t="str">
        <f>_xlfn.XLOOKUP(B160,RA_LFBpS_SWO_PAG_PA!B:B,RA_LFBpS_SWO_PAG_PA!C:C)</f>
        <v>Douglas-fir-Canyon Live Oak-cool, dry - SWO</v>
      </c>
    </row>
    <row r="161" spans="1:9" ht="15.7" x14ac:dyDescent="0.55000000000000004">
      <c r="A161">
        <v>15</v>
      </c>
      <c r="B161" t="s">
        <v>114</v>
      </c>
      <c r="C161" t="s">
        <v>86</v>
      </c>
      <c r="F161" s="3">
        <v>710270</v>
      </c>
      <c r="G161" t="s">
        <v>87</v>
      </c>
      <c r="I161" t="str">
        <f>_xlfn.XLOOKUP(B161,RA_LFBpS_SWO_PAG_PA!B:B,RA_LFBpS_SWO_PAG_PA!C:C)</f>
        <v>Douglas-fir-Canyon Live Oak-cool, dry - SWO</v>
      </c>
    </row>
    <row r="162" spans="1:9" ht="15.7" x14ac:dyDescent="0.55000000000000004">
      <c r="A162">
        <v>16</v>
      </c>
      <c r="B162" t="s">
        <v>115</v>
      </c>
      <c r="C162" t="s">
        <v>86</v>
      </c>
      <c r="F162" s="3">
        <v>710270</v>
      </c>
      <c r="G162" t="s">
        <v>87</v>
      </c>
      <c r="I162" t="str">
        <f>_xlfn.XLOOKUP(B162,RA_LFBpS_SWO_PAG_PA!B:B,RA_LFBpS_SWO_PAG_PA!C:C)</f>
        <v>Douglas-fir/Poison Oak-warm, often low elevation</v>
      </c>
    </row>
    <row r="163" spans="1:9" ht="15.7" x14ac:dyDescent="0.55000000000000004">
      <c r="A163">
        <v>2</v>
      </c>
      <c r="B163" t="s">
        <v>290</v>
      </c>
      <c r="C163" t="s">
        <v>154</v>
      </c>
      <c r="F163" s="3">
        <v>710370</v>
      </c>
      <c r="G163" t="s">
        <v>205</v>
      </c>
      <c r="I163" t="str">
        <f>_xlfn.XLOOKUP(B163,RA_LFBpS_SWO_PAG_PA!B:B,RA_LFBpS_SWO_PAG_PA!C:C)</f>
        <v>Western hemlock - Hyper-dry</v>
      </c>
    </row>
    <row r="164" spans="1:9" ht="15.7" x14ac:dyDescent="0.55000000000000004">
      <c r="A164">
        <v>1</v>
      </c>
      <c r="B164" t="s">
        <v>176</v>
      </c>
      <c r="C164" t="s">
        <v>177</v>
      </c>
      <c r="F164" s="3">
        <v>710290</v>
      </c>
      <c r="G164" t="s">
        <v>178</v>
      </c>
      <c r="I164" t="str">
        <f>_xlfn.XLOOKUP(B164,RA_LFBpS_SWO_PAG_PA!B:B,RA_LFBpS_SWO_PAG_PA!C:C)</f>
        <v>Oregon White Oak - SWO</v>
      </c>
    </row>
    <row r="165" spans="1:9" ht="15.7" x14ac:dyDescent="0.55000000000000004">
      <c r="A165">
        <v>2</v>
      </c>
      <c r="B165" t="s">
        <v>179</v>
      </c>
      <c r="C165" t="s">
        <v>177</v>
      </c>
      <c r="F165" s="3">
        <v>710290</v>
      </c>
      <c r="G165" t="s">
        <v>178</v>
      </c>
      <c r="I165" t="str">
        <f>_xlfn.XLOOKUP(B165,RA_LFBpS_SWO_PAG_PA!B:B,RA_LFBpS_SWO_PAG_PA!C:C)</f>
        <v>Oregon White Oak - SWO</v>
      </c>
    </row>
    <row r="166" spans="1:9" ht="15.7" x14ac:dyDescent="0.55000000000000004">
      <c r="A166">
        <v>1</v>
      </c>
      <c r="B166" t="s">
        <v>203</v>
      </c>
      <c r="C166" t="s">
        <v>204</v>
      </c>
      <c r="F166" s="3">
        <v>710370</v>
      </c>
      <c r="G166" t="s">
        <v>205</v>
      </c>
      <c r="I166" t="str">
        <f>_xlfn.XLOOKUP(B166,RA_LFBpS_SWO_PAG_PA!B:B,RA_LFBpS_SWO_PAG_PA!C:C)</f>
        <v>Western Hemlock/Salal-Dwarf Oregongrape - SWO Cascades</v>
      </c>
    </row>
    <row r="167" spans="1:9" ht="15.7" x14ac:dyDescent="0.55000000000000004">
      <c r="A167">
        <v>6</v>
      </c>
      <c r="B167" t="s">
        <v>206</v>
      </c>
      <c r="C167" t="s">
        <v>41</v>
      </c>
      <c r="F167" s="3">
        <v>710370</v>
      </c>
      <c r="G167" t="s">
        <v>205</v>
      </c>
      <c r="I167" t="e">
        <f>_xlfn.XLOOKUP(B167,RA_LFBpS_SWO_PAG_PA!B:B,RA_LFBpS_SWO_PAG_PA!C:C)</f>
        <v>#N/A</v>
      </c>
    </row>
    <row r="168" spans="1:9" ht="15.7" x14ac:dyDescent="0.55000000000000004">
      <c r="A168">
        <v>2</v>
      </c>
      <c r="B168" t="s">
        <v>207</v>
      </c>
      <c r="C168" t="s">
        <v>204</v>
      </c>
      <c r="F168" s="3">
        <v>710370</v>
      </c>
      <c r="G168" t="s">
        <v>205</v>
      </c>
      <c r="I168" t="e">
        <f>_xlfn.XLOOKUP(B168,RA_LFBpS_SWO_PAG_PA!B:B,RA_LFBpS_SWO_PAG_PA!C:C)</f>
        <v>#N/A</v>
      </c>
    </row>
    <row r="169" spans="1:9" ht="15.7" x14ac:dyDescent="0.55000000000000004">
      <c r="A169">
        <v>3</v>
      </c>
      <c r="B169" t="s">
        <v>208</v>
      </c>
      <c r="C169" t="s">
        <v>204</v>
      </c>
      <c r="F169" s="3">
        <v>710370</v>
      </c>
      <c r="G169" t="s">
        <v>205</v>
      </c>
      <c r="I169" t="e">
        <f>_xlfn.XLOOKUP(B169,RA_LFBpS_SWO_PAG_PA!B:B,RA_LFBpS_SWO_PAG_PA!C:C)</f>
        <v>#N/A</v>
      </c>
    </row>
    <row r="170" spans="1:9" ht="15.7" x14ac:dyDescent="0.55000000000000004">
      <c r="A170">
        <v>4</v>
      </c>
      <c r="B170" t="s">
        <v>209</v>
      </c>
      <c r="C170" t="s">
        <v>204</v>
      </c>
      <c r="F170" s="3">
        <v>710370</v>
      </c>
      <c r="G170" t="s">
        <v>205</v>
      </c>
      <c r="I170" t="str">
        <f>_xlfn.XLOOKUP(B170,RA_LFBpS_SWO_PAG_PA!B:B,RA_LFBpS_SWO_PAG_PA!C:C)</f>
        <v>Western Hemlock/Salal-Dwarf Oregongrape - SWO Cascades</v>
      </c>
    </row>
    <row r="171" spans="1:9" ht="15.7" x14ac:dyDescent="0.55000000000000004">
      <c r="A171">
        <v>5</v>
      </c>
      <c r="B171" t="s">
        <v>210</v>
      </c>
      <c r="C171" t="s">
        <v>204</v>
      </c>
      <c r="F171" s="3">
        <v>710370</v>
      </c>
      <c r="G171" t="s">
        <v>205</v>
      </c>
      <c r="I171" t="str">
        <f>_xlfn.XLOOKUP(B171,RA_LFBpS_SWO_PAG_PA!B:B,RA_LFBpS_SWO_PAG_PA!C:C)</f>
        <v>Western Hemlock/Pacific Rhododendron - SWO Cascades</v>
      </c>
    </row>
    <row r="172" spans="1:9" ht="15.7" x14ac:dyDescent="0.55000000000000004">
      <c r="A172">
        <v>6</v>
      </c>
      <c r="B172" t="s">
        <v>211</v>
      </c>
      <c r="C172" t="s">
        <v>204</v>
      </c>
      <c r="F172" s="3">
        <v>710370</v>
      </c>
      <c r="G172" t="s">
        <v>205</v>
      </c>
      <c r="I172" t="e">
        <f>_xlfn.XLOOKUP(B172,RA_LFBpS_SWO_PAG_PA!B:B,RA_LFBpS_SWO_PAG_PA!C:C)</f>
        <v>#N/A</v>
      </c>
    </row>
    <row r="173" spans="1:9" ht="15.7" x14ac:dyDescent="0.55000000000000004">
      <c r="A173">
        <v>7</v>
      </c>
      <c r="B173" t="s">
        <v>212</v>
      </c>
      <c r="C173" t="s">
        <v>204</v>
      </c>
      <c r="F173" s="3">
        <v>710370</v>
      </c>
      <c r="G173" t="s">
        <v>205</v>
      </c>
      <c r="I173" t="e">
        <f>_xlfn.XLOOKUP(B173,RA_LFBpS_SWO_PAG_PA!B:B,RA_LFBpS_SWO_PAG_PA!C:C)</f>
        <v>#N/A</v>
      </c>
    </row>
    <row r="174" spans="1:9" ht="15.7" x14ac:dyDescent="0.55000000000000004">
      <c r="A174">
        <v>8</v>
      </c>
      <c r="B174" t="s">
        <v>213</v>
      </c>
      <c r="C174" t="s">
        <v>204</v>
      </c>
      <c r="F174" s="3">
        <v>710370</v>
      </c>
      <c r="G174" t="s">
        <v>205</v>
      </c>
      <c r="I174" t="e">
        <f>_xlfn.XLOOKUP(B174,RA_LFBpS_SWO_PAG_PA!B:B,RA_LFBpS_SWO_PAG_PA!C:C)</f>
        <v>#N/A</v>
      </c>
    </row>
    <row r="175" spans="1:9" ht="15.7" x14ac:dyDescent="0.55000000000000004">
      <c r="A175">
        <v>9</v>
      </c>
      <c r="B175" t="s">
        <v>214</v>
      </c>
      <c r="C175" t="s">
        <v>204</v>
      </c>
      <c r="F175" s="3">
        <v>710370</v>
      </c>
      <c r="G175" t="s">
        <v>205</v>
      </c>
      <c r="I175" t="e">
        <f>_xlfn.XLOOKUP(B175,RA_LFBpS_SWO_PAG_PA!B:B,RA_LFBpS_SWO_PAG_PA!C:C)</f>
        <v>#N/A</v>
      </c>
    </row>
    <row r="176" spans="1:9" ht="15.7" x14ac:dyDescent="0.55000000000000004">
      <c r="A176">
        <v>10</v>
      </c>
      <c r="B176" t="s">
        <v>215</v>
      </c>
      <c r="C176" t="s">
        <v>204</v>
      </c>
      <c r="F176" s="3">
        <v>710370</v>
      </c>
      <c r="G176" t="s">
        <v>205</v>
      </c>
      <c r="I176" t="str">
        <f>_xlfn.XLOOKUP(B176,RA_LFBpS_SWO_PAG_PA!B:B,RA_LFBpS_SWO_PAG_PA!C:C)</f>
        <v>Western Hemlock/Salal-Dwarf Oregongrape - SWO Cascades</v>
      </c>
    </row>
    <row r="177" spans="1:9" ht="15.7" x14ac:dyDescent="0.55000000000000004">
      <c r="A177">
        <v>11</v>
      </c>
      <c r="B177" t="s">
        <v>216</v>
      </c>
      <c r="C177" t="s">
        <v>204</v>
      </c>
      <c r="F177" s="3">
        <v>710370</v>
      </c>
      <c r="G177" t="s">
        <v>205</v>
      </c>
      <c r="I177" t="str">
        <f>_xlfn.XLOOKUP(B177,RA_LFBpS_SWO_PAG_PA!B:B,RA_LFBpS_SWO_PAG_PA!C:C)</f>
        <v>Western Hemlock/Salal-Dwarf Oregongrape - SWO Cascades</v>
      </c>
    </row>
    <row r="178" spans="1:9" ht="15.7" x14ac:dyDescent="0.55000000000000004">
      <c r="A178">
        <v>12</v>
      </c>
      <c r="B178" t="s">
        <v>217</v>
      </c>
      <c r="C178" t="s">
        <v>204</v>
      </c>
      <c r="F178" s="3">
        <v>710370</v>
      </c>
      <c r="G178" t="s">
        <v>205</v>
      </c>
      <c r="I178" t="e">
        <f>_xlfn.XLOOKUP(B178,RA_LFBpS_SWO_PAG_PA!B:B,RA_LFBpS_SWO_PAG_PA!C:C)</f>
        <v>#N/A</v>
      </c>
    </row>
    <row r="179" spans="1:9" ht="15.7" x14ac:dyDescent="0.55000000000000004">
      <c r="A179">
        <v>13</v>
      </c>
      <c r="B179" t="s">
        <v>218</v>
      </c>
      <c r="C179" t="s">
        <v>204</v>
      </c>
      <c r="F179" s="3">
        <v>710370</v>
      </c>
      <c r="G179" t="s">
        <v>205</v>
      </c>
      <c r="I179" t="e">
        <f>_xlfn.XLOOKUP(B179,RA_LFBpS_SWO_PAG_PA!B:B,RA_LFBpS_SWO_PAG_PA!C:C)</f>
        <v>#N/A</v>
      </c>
    </row>
    <row r="180" spans="1:9" ht="15.7" x14ac:dyDescent="0.55000000000000004">
      <c r="A180">
        <v>14</v>
      </c>
      <c r="B180" t="s">
        <v>219</v>
      </c>
      <c r="C180" t="s">
        <v>204</v>
      </c>
      <c r="F180" s="3">
        <v>710370</v>
      </c>
      <c r="G180" t="s">
        <v>205</v>
      </c>
      <c r="I180" t="e">
        <f>_xlfn.XLOOKUP(B180,RA_LFBpS_SWO_PAG_PA!B:B,RA_LFBpS_SWO_PAG_PA!C:C)</f>
        <v>#N/A</v>
      </c>
    </row>
    <row r="181" spans="1:9" ht="15.7" x14ac:dyDescent="0.55000000000000004">
      <c r="A181">
        <v>15</v>
      </c>
      <c r="B181" t="s">
        <v>220</v>
      </c>
      <c r="C181" t="s">
        <v>204</v>
      </c>
      <c r="F181" s="3">
        <v>710370</v>
      </c>
      <c r="G181" t="s">
        <v>205</v>
      </c>
      <c r="I181" t="e">
        <f>_xlfn.XLOOKUP(B181,RA_LFBpS_SWO_PAG_PA!B:B,RA_LFBpS_SWO_PAG_PA!C:C)</f>
        <v>#N/A</v>
      </c>
    </row>
    <row r="182" spans="1:9" ht="15.7" x14ac:dyDescent="0.55000000000000004">
      <c r="A182">
        <v>16</v>
      </c>
      <c r="B182" t="s">
        <v>221</v>
      </c>
      <c r="C182" t="s">
        <v>204</v>
      </c>
      <c r="F182" s="3">
        <v>710370</v>
      </c>
      <c r="G182" t="s">
        <v>205</v>
      </c>
      <c r="I182" t="str">
        <f>_xlfn.XLOOKUP(B182,RA_LFBpS_SWO_PAG_PA!B:B,RA_LFBpS_SWO_PAG_PA!C:C)</f>
        <v>Western Hemlock/Pacific Rhododendron - SWO Cascades</v>
      </c>
    </row>
    <row r="183" spans="1:9" ht="15.7" x14ac:dyDescent="0.55000000000000004">
      <c r="A183">
        <v>1</v>
      </c>
      <c r="B183" t="s">
        <v>55</v>
      </c>
      <c r="C183" t="s">
        <v>41</v>
      </c>
      <c r="F183" s="3">
        <v>210390</v>
      </c>
      <c r="G183" t="s">
        <v>44</v>
      </c>
      <c r="I183" t="e">
        <f>_xlfn.XLOOKUP(B183,RA_LFBpS_SWO_PAG_PA!B:B,RA_LFBpS_SWO_PAG_PA!C:C)</f>
        <v>#N/A</v>
      </c>
    </row>
    <row r="184" spans="1:9" ht="15.7" x14ac:dyDescent="0.55000000000000004">
      <c r="A184">
        <v>2</v>
      </c>
      <c r="B184" t="s">
        <v>56</v>
      </c>
      <c r="C184" t="s">
        <v>41</v>
      </c>
      <c r="F184" s="3">
        <v>210390</v>
      </c>
      <c r="G184" t="s">
        <v>44</v>
      </c>
      <c r="I184" t="e">
        <f>_xlfn.XLOOKUP(B184,RA_LFBpS_SWO_PAG_PA!B:B,RA_LFBpS_SWO_PAG_PA!C:C)</f>
        <v>#N/A</v>
      </c>
    </row>
    <row r="185" spans="1:9" ht="15.7" x14ac:dyDescent="0.55000000000000004">
      <c r="A185">
        <v>3</v>
      </c>
      <c r="B185" t="s">
        <v>222</v>
      </c>
      <c r="C185" t="s">
        <v>154</v>
      </c>
      <c r="F185" s="3">
        <v>710370</v>
      </c>
      <c r="G185" t="s">
        <v>44</v>
      </c>
      <c r="I185" t="e">
        <f>_xlfn.XLOOKUP(B185,RA_LFBpS_SWO_PAG_PA!B:B,RA_LFBpS_SWO_PAG_PA!C:C)</f>
        <v>#N/A</v>
      </c>
    </row>
    <row r="186" spans="1:9" ht="15.7" x14ac:dyDescent="0.55000000000000004">
      <c r="A186">
        <v>17</v>
      </c>
      <c r="B186" t="s">
        <v>223</v>
      </c>
      <c r="C186" t="s">
        <v>204</v>
      </c>
      <c r="F186" s="3">
        <v>710370</v>
      </c>
      <c r="G186" t="s">
        <v>44</v>
      </c>
      <c r="I186" t="e">
        <f>_xlfn.XLOOKUP(B186,RA_LFBpS_SWO_PAG_PA!B:B,RA_LFBpS_SWO_PAG_PA!C:C)</f>
        <v>#N/A</v>
      </c>
    </row>
    <row r="187" spans="1:9" ht="15.7" x14ac:dyDescent="0.55000000000000004">
      <c r="A187">
        <v>18</v>
      </c>
      <c r="B187" t="s">
        <v>224</v>
      </c>
      <c r="C187" t="s">
        <v>204</v>
      </c>
      <c r="F187" s="3">
        <v>710370</v>
      </c>
      <c r="G187" t="s">
        <v>44</v>
      </c>
      <c r="I187" t="e">
        <f>_xlfn.XLOOKUP(B187,RA_LFBpS_SWO_PAG_PA!B:B,RA_LFBpS_SWO_PAG_PA!C:C)</f>
        <v>#N/A</v>
      </c>
    </row>
    <row r="188" spans="1:9" ht="15.7" x14ac:dyDescent="0.55000000000000004">
      <c r="A188">
        <v>19</v>
      </c>
      <c r="B188" t="s">
        <v>225</v>
      </c>
      <c r="C188" t="s">
        <v>204</v>
      </c>
      <c r="F188" s="3">
        <v>710370</v>
      </c>
      <c r="G188" t="s">
        <v>44</v>
      </c>
      <c r="I188" t="e">
        <f>_xlfn.XLOOKUP(B188,RA_LFBpS_SWO_PAG_PA!B:B,RA_LFBpS_SWO_PAG_PA!C:C)</f>
        <v>#N/A</v>
      </c>
    </row>
    <row r="189" spans="1:9" ht="15.7" x14ac:dyDescent="0.55000000000000004">
      <c r="A189">
        <v>3</v>
      </c>
      <c r="B189" t="s">
        <v>57</v>
      </c>
      <c r="C189" t="s">
        <v>41</v>
      </c>
      <c r="F189" s="3">
        <v>210390</v>
      </c>
      <c r="G189" t="s">
        <v>44</v>
      </c>
      <c r="I189" t="e">
        <f>_xlfn.XLOOKUP(B189,RA_LFBpS_SWO_PAG_PA!B:B,RA_LFBpS_SWO_PAG_PA!C:C)</f>
        <v>#N/A</v>
      </c>
    </row>
    <row r="190" spans="1:9" ht="15.7" x14ac:dyDescent="0.55000000000000004">
      <c r="A190">
        <v>4</v>
      </c>
      <c r="B190" t="s">
        <v>58</v>
      </c>
      <c r="C190" t="s">
        <v>41</v>
      </c>
      <c r="F190" s="3">
        <v>210390</v>
      </c>
      <c r="G190" t="s">
        <v>44</v>
      </c>
      <c r="I190" t="e">
        <f>_xlfn.XLOOKUP(B190,RA_LFBpS_SWO_PAG_PA!B:B,RA_LFBpS_SWO_PAG_PA!C:C)</f>
        <v>#N/A</v>
      </c>
    </row>
    <row r="191" spans="1:9" ht="15.7" x14ac:dyDescent="0.55000000000000004">
      <c r="A191">
        <v>5</v>
      </c>
      <c r="B191" t="s">
        <v>59</v>
      </c>
      <c r="C191" t="s">
        <v>41</v>
      </c>
      <c r="F191" s="3">
        <v>210390</v>
      </c>
      <c r="G191" t="s">
        <v>44</v>
      </c>
      <c r="I191" t="e">
        <f>_xlfn.XLOOKUP(B191,RA_LFBpS_SWO_PAG_PA!B:B,RA_LFBpS_SWO_PAG_PA!C:C)</f>
        <v>#N/A</v>
      </c>
    </row>
    <row r="192" spans="1:9" ht="15.7" x14ac:dyDescent="0.55000000000000004">
      <c r="A192">
        <v>6</v>
      </c>
      <c r="B192" t="s">
        <v>60</v>
      </c>
      <c r="C192" t="s">
        <v>41</v>
      </c>
      <c r="F192" s="3">
        <v>210390</v>
      </c>
      <c r="G192" t="s">
        <v>44</v>
      </c>
      <c r="I192" t="e">
        <f>_xlfn.XLOOKUP(B192,RA_LFBpS_SWO_PAG_PA!B:B,RA_LFBpS_SWO_PAG_PA!C:C)</f>
        <v>#N/A</v>
      </c>
    </row>
    <row r="193" spans="1:9" ht="15.7" x14ac:dyDescent="0.55000000000000004">
      <c r="A193">
        <v>7</v>
      </c>
      <c r="B193" t="s">
        <v>61</v>
      </c>
      <c r="C193" t="s">
        <v>41</v>
      </c>
      <c r="F193" s="3">
        <v>210390</v>
      </c>
      <c r="G193" t="s">
        <v>44</v>
      </c>
      <c r="I193" t="e">
        <f>_xlfn.XLOOKUP(B193,RA_LFBpS_SWO_PAG_PA!B:B,RA_LFBpS_SWO_PAG_PA!C:C)</f>
        <v>#N/A</v>
      </c>
    </row>
    <row r="194" spans="1:9" ht="15.7" x14ac:dyDescent="0.55000000000000004">
      <c r="A194">
        <v>8</v>
      </c>
      <c r="B194" t="s">
        <v>62</v>
      </c>
      <c r="C194" t="s">
        <v>41</v>
      </c>
      <c r="F194" s="3">
        <v>210390</v>
      </c>
      <c r="G194" t="s">
        <v>44</v>
      </c>
      <c r="I194" t="str">
        <f>_xlfn.XLOOKUP(B194,RA_LFBpS_SWO_PAG_PA!B:B,RA_LFBpS_SWO_PAG_PA!C:C)</f>
        <v>Western Hemlock - SWO Coast</v>
      </c>
    </row>
    <row r="195" spans="1:9" ht="15.7" x14ac:dyDescent="0.55000000000000004">
      <c r="A195">
        <v>9</v>
      </c>
      <c r="B195" t="s">
        <v>63</v>
      </c>
      <c r="C195" t="s">
        <v>41</v>
      </c>
      <c r="F195" s="3">
        <v>210390</v>
      </c>
      <c r="G195" t="s">
        <v>44</v>
      </c>
      <c r="I195" t="e">
        <f>_xlfn.XLOOKUP(B195,RA_LFBpS_SWO_PAG_PA!B:B,RA_LFBpS_SWO_PAG_PA!C:C)</f>
        <v>#N/A</v>
      </c>
    </row>
    <row r="196" spans="1:9" ht="15.7" x14ac:dyDescent="0.55000000000000004">
      <c r="A196">
        <v>20</v>
      </c>
      <c r="B196" t="s">
        <v>226</v>
      </c>
      <c r="C196" t="s">
        <v>204</v>
      </c>
      <c r="F196" s="3">
        <v>710370</v>
      </c>
      <c r="G196" t="s">
        <v>44</v>
      </c>
      <c r="I196" t="e">
        <f>_xlfn.XLOOKUP(B196,RA_LFBpS_SWO_PAG_PA!B:B,RA_LFBpS_SWO_PAG_PA!C:C)</f>
        <v>#N/A</v>
      </c>
    </row>
    <row r="197" spans="1:9" ht="15.7" x14ac:dyDescent="0.55000000000000004">
      <c r="A197">
        <v>10</v>
      </c>
      <c r="B197" t="s">
        <v>64</v>
      </c>
      <c r="C197" t="s">
        <v>41</v>
      </c>
      <c r="F197" s="3">
        <v>210390</v>
      </c>
      <c r="G197" t="s">
        <v>44</v>
      </c>
      <c r="I197" t="str">
        <f>_xlfn.XLOOKUP(B197,RA_LFBpS_SWO_PAG_PA!B:B,RA_LFBpS_SWO_PAG_PA!C:C)</f>
        <v>Western hemlock - Coastal</v>
      </c>
    </row>
    <row r="198" spans="1:9" ht="15.7" x14ac:dyDescent="0.55000000000000004">
      <c r="A198">
        <v>11</v>
      </c>
      <c r="B198" t="s">
        <v>65</v>
      </c>
      <c r="C198" t="s">
        <v>41</v>
      </c>
      <c r="F198" s="3">
        <v>210390</v>
      </c>
      <c r="G198" t="s">
        <v>44</v>
      </c>
      <c r="I198" t="e">
        <f>_xlfn.XLOOKUP(B198,RA_LFBpS_SWO_PAG_PA!B:B,RA_LFBpS_SWO_PAG_PA!C:C)</f>
        <v>#N/A</v>
      </c>
    </row>
    <row r="199" spans="1:9" ht="15.7" x14ac:dyDescent="0.55000000000000004">
      <c r="A199">
        <v>21</v>
      </c>
      <c r="B199" t="s">
        <v>227</v>
      </c>
      <c r="C199" t="s">
        <v>204</v>
      </c>
      <c r="F199" s="3">
        <v>710370</v>
      </c>
      <c r="G199" t="s">
        <v>44</v>
      </c>
      <c r="I199" t="str">
        <f>_xlfn.XLOOKUP(B199,RA_LFBpS_SWO_PAG_PA!B:B,RA_LFBpS_SWO_PAG_PA!C:C)</f>
        <v>Western Hemlock - SWO Coast</v>
      </c>
    </row>
    <row r="200" spans="1:9" ht="15.7" x14ac:dyDescent="0.55000000000000004">
      <c r="A200">
        <v>22</v>
      </c>
      <c r="B200" t="s">
        <v>228</v>
      </c>
      <c r="C200" t="s">
        <v>204</v>
      </c>
      <c r="F200" s="3">
        <v>710370</v>
      </c>
      <c r="G200" t="s">
        <v>44</v>
      </c>
      <c r="I200" t="e">
        <f>_xlfn.XLOOKUP(B200,RA_LFBpS_SWO_PAG_PA!B:B,RA_LFBpS_SWO_PAG_PA!C:C)</f>
        <v>#N/A</v>
      </c>
    </row>
    <row r="201" spans="1:9" ht="15.7" x14ac:dyDescent="0.55000000000000004">
      <c r="A201">
        <v>23</v>
      </c>
      <c r="B201" t="s">
        <v>229</v>
      </c>
      <c r="C201" t="s">
        <v>204</v>
      </c>
      <c r="F201" s="3">
        <v>710370</v>
      </c>
      <c r="G201" t="s">
        <v>205</v>
      </c>
      <c r="I201" t="str">
        <f>_xlfn.XLOOKUP(B201,RA_LFBpS_SWO_PAG_PA!B:B,RA_LFBpS_SWO_PAG_PA!C:C)</f>
        <v>Western Hemlock/Pacific Rhododendron - SWO Cascades</v>
      </c>
    </row>
    <row r="202" spans="1:9" ht="15.7" x14ac:dyDescent="0.55000000000000004">
      <c r="A202">
        <v>24</v>
      </c>
      <c r="B202" t="s">
        <v>230</v>
      </c>
      <c r="C202" t="s">
        <v>204</v>
      </c>
      <c r="F202" s="3">
        <v>710370</v>
      </c>
      <c r="G202" t="s">
        <v>205</v>
      </c>
      <c r="I202" t="e">
        <f>_xlfn.XLOOKUP(B202,RA_LFBpS_SWO_PAG_PA!B:B,RA_LFBpS_SWO_PAG_PA!C:C)</f>
        <v>#N/A</v>
      </c>
    </row>
    <row r="203" spans="1:9" ht="15.7" x14ac:dyDescent="0.55000000000000004">
      <c r="A203">
        <v>25</v>
      </c>
      <c r="B203" t="s">
        <v>231</v>
      </c>
      <c r="C203" t="s">
        <v>204</v>
      </c>
      <c r="F203" s="3">
        <v>710370</v>
      </c>
      <c r="G203" t="s">
        <v>205</v>
      </c>
      <c r="I203" t="e">
        <f>_xlfn.XLOOKUP(B203,RA_LFBpS_SWO_PAG_PA!B:B,RA_LFBpS_SWO_PAG_PA!C:C)</f>
        <v>#N/A</v>
      </c>
    </row>
    <row r="204" spans="1:9" ht="15.7" x14ac:dyDescent="0.55000000000000004">
      <c r="A204">
        <v>26</v>
      </c>
      <c r="B204" t="s">
        <v>232</v>
      </c>
      <c r="C204" t="s">
        <v>204</v>
      </c>
      <c r="F204" s="3">
        <v>710370</v>
      </c>
      <c r="G204" t="s">
        <v>205</v>
      </c>
      <c r="I204" t="e">
        <f>_xlfn.XLOOKUP(B204,RA_LFBpS_SWO_PAG_PA!B:B,RA_LFBpS_SWO_PAG_PA!C:C)</f>
        <v>#N/A</v>
      </c>
    </row>
    <row r="205" spans="1:9" ht="15.7" x14ac:dyDescent="0.55000000000000004">
      <c r="A205">
        <v>27</v>
      </c>
      <c r="B205" t="s">
        <v>233</v>
      </c>
      <c r="C205" t="s">
        <v>204</v>
      </c>
      <c r="F205" s="3">
        <v>710370</v>
      </c>
      <c r="G205" t="s">
        <v>205</v>
      </c>
      <c r="I205" t="e">
        <f>_xlfn.XLOOKUP(B205,RA_LFBpS_SWO_PAG_PA!B:B,RA_LFBpS_SWO_PAG_PA!C:C)</f>
        <v>#N/A</v>
      </c>
    </row>
    <row r="206" spans="1:9" ht="15.7" x14ac:dyDescent="0.55000000000000004">
      <c r="A206">
        <v>12</v>
      </c>
      <c r="B206" t="s">
        <v>66</v>
      </c>
      <c r="C206" t="s">
        <v>41</v>
      </c>
      <c r="F206" s="3">
        <v>210390</v>
      </c>
      <c r="G206" t="s">
        <v>44</v>
      </c>
      <c r="I206" t="str">
        <f>_xlfn.XLOOKUP(B206,RA_LFBpS_SWO_PAG_PA!B:B,RA_LFBpS_SWO_PAG_PA!C:C)</f>
        <v>Western Hemlock - SWO Coast</v>
      </c>
    </row>
    <row r="207" spans="1:9" ht="15.7" x14ac:dyDescent="0.55000000000000004">
      <c r="A207">
        <v>13</v>
      </c>
      <c r="B207" t="s">
        <v>67</v>
      </c>
      <c r="C207" t="s">
        <v>41</v>
      </c>
      <c r="F207" s="3">
        <v>210390</v>
      </c>
      <c r="G207" t="s">
        <v>44</v>
      </c>
      <c r="I207" t="e">
        <f>_xlfn.XLOOKUP(B207,RA_LFBpS_SWO_PAG_PA!B:B,RA_LFBpS_SWO_PAG_PA!C:C)</f>
        <v>#N/A</v>
      </c>
    </row>
    <row r="208" spans="1:9" ht="15.7" x14ac:dyDescent="0.55000000000000004">
      <c r="A208">
        <v>14</v>
      </c>
      <c r="B208" t="s">
        <v>68</v>
      </c>
      <c r="C208" t="s">
        <v>41</v>
      </c>
      <c r="F208" s="3">
        <v>210390</v>
      </c>
      <c r="G208" t="s">
        <v>44</v>
      </c>
      <c r="I208" t="e">
        <f>_xlfn.XLOOKUP(B208,RA_LFBpS_SWO_PAG_PA!B:B,RA_LFBpS_SWO_PAG_PA!C:C)</f>
        <v>#N/A</v>
      </c>
    </row>
    <row r="209" spans="1:9" ht="15.7" x14ac:dyDescent="0.55000000000000004">
      <c r="A209">
        <v>15</v>
      </c>
      <c r="B209" t="s">
        <v>69</v>
      </c>
      <c r="C209" t="s">
        <v>41</v>
      </c>
      <c r="F209" s="3">
        <v>210390</v>
      </c>
      <c r="G209" t="s">
        <v>44</v>
      </c>
      <c r="I209" t="e">
        <f>_xlfn.XLOOKUP(B209,RA_LFBpS_SWO_PAG_PA!B:B,RA_LFBpS_SWO_PAG_PA!C:C)</f>
        <v>#N/A</v>
      </c>
    </row>
    <row r="210" spans="1:9" ht="15.7" x14ac:dyDescent="0.55000000000000004">
      <c r="A210">
        <v>16</v>
      </c>
      <c r="B210" t="s">
        <v>70</v>
      </c>
      <c r="C210" t="s">
        <v>41</v>
      </c>
      <c r="F210" s="3">
        <v>210390</v>
      </c>
      <c r="G210" t="s">
        <v>44</v>
      </c>
      <c r="I210" t="e">
        <f>_xlfn.XLOOKUP(B210,RA_LFBpS_SWO_PAG_PA!B:B,RA_LFBpS_SWO_PAG_PA!C:C)</f>
        <v>#N/A</v>
      </c>
    </row>
    <row r="211" spans="1:9" ht="15.7" x14ac:dyDescent="0.55000000000000004">
      <c r="A211">
        <v>17</v>
      </c>
      <c r="B211" t="s">
        <v>71</v>
      </c>
      <c r="C211" t="s">
        <v>41</v>
      </c>
      <c r="F211" s="3">
        <v>210390</v>
      </c>
      <c r="G211" t="s">
        <v>44</v>
      </c>
      <c r="I211" t="str">
        <f>_xlfn.XLOOKUP(B211,RA_LFBpS_SWO_PAG_PA!B:B,RA_LFBpS_SWO_PAG_PA!C:C)</f>
        <v>Western Hemlock - SWO Coast</v>
      </c>
    </row>
    <row r="212" spans="1:9" ht="15.7" x14ac:dyDescent="0.55000000000000004">
      <c r="A212">
        <v>10</v>
      </c>
      <c r="B212" t="s">
        <v>289</v>
      </c>
      <c r="C212" t="s">
        <v>280</v>
      </c>
      <c r="F212" s="3">
        <v>711740</v>
      </c>
      <c r="G212" t="s">
        <v>281</v>
      </c>
      <c r="I212" t="str">
        <f>_xlfn.XLOOKUP(B212,RA_LFBpS_SWO_PAG_PA!B:B,RA_LFBpS_SWO_PAG_PA!C:C)</f>
        <v>Pacific Silver Fir/Vanillaleaf-Coolwort Foamflower - mesic</v>
      </c>
    </row>
    <row r="213" spans="1:9" ht="15.7" x14ac:dyDescent="0.55000000000000004">
      <c r="A213">
        <v>4</v>
      </c>
      <c r="B213" t="s">
        <v>234</v>
      </c>
      <c r="C213" t="s">
        <v>154</v>
      </c>
      <c r="F213" s="3">
        <v>710370</v>
      </c>
      <c r="G213" t="s">
        <v>205</v>
      </c>
      <c r="I213" t="str">
        <f>_xlfn.XLOOKUP(B213,RA_LFBpS_SWO_PAG_PA!B:B,RA_LFBpS_SWO_PAG_PA!C:C)</f>
        <v>Western Hemlock/Salal-Dwarf Oregongrape - SWO Cascades</v>
      </c>
    </row>
    <row r="214" spans="1:9" ht="15.7" x14ac:dyDescent="0.55000000000000004">
      <c r="A214">
        <v>5</v>
      </c>
      <c r="B214" t="s">
        <v>235</v>
      </c>
      <c r="C214" t="s">
        <v>154</v>
      </c>
      <c r="F214" s="3">
        <v>710370</v>
      </c>
      <c r="G214" t="s">
        <v>205</v>
      </c>
      <c r="I214" t="str">
        <f>_xlfn.XLOOKUP(B214,RA_LFBpS_SWO_PAG_PA!B:B,RA_LFBpS_SWO_PAG_PA!C:C)</f>
        <v>Western Hemlock/Salal-Dwarf Oregongrape - SWO Cascades</v>
      </c>
    </row>
    <row r="215" spans="1:9" ht="15.7" x14ac:dyDescent="0.55000000000000004">
      <c r="A215">
        <v>28</v>
      </c>
      <c r="B215" t="s">
        <v>236</v>
      </c>
      <c r="C215" t="s">
        <v>204</v>
      </c>
      <c r="F215" s="3">
        <v>710370</v>
      </c>
      <c r="G215" t="s">
        <v>205</v>
      </c>
      <c r="I215" t="e">
        <f>_xlfn.XLOOKUP(B215,RA_LFBpS_SWO_PAG_PA!B:B,RA_LFBpS_SWO_PAG_PA!C:C)</f>
        <v>#N/A</v>
      </c>
    </row>
    <row r="216" spans="1:9" ht="15.7" x14ac:dyDescent="0.55000000000000004">
      <c r="A216">
        <v>29</v>
      </c>
      <c r="B216" t="s">
        <v>237</v>
      </c>
      <c r="C216" t="s">
        <v>204</v>
      </c>
      <c r="F216" s="3">
        <v>710370</v>
      </c>
      <c r="G216" t="s">
        <v>205</v>
      </c>
      <c r="I216" t="str">
        <f>_xlfn.XLOOKUP(B216,RA_LFBpS_SWO_PAG_PA!B:B,RA_LFBpS_SWO_PAG_PA!C:C)</f>
        <v>Western Hemlock-Incense Cedar/Salal - SWO</v>
      </c>
    </row>
    <row r="217" spans="1:9" ht="15.7" x14ac:dyDescent="0.55000000000000004">
      <c r="A217">
        <v>6</v>
      </c>
      <c r="B217" t="s">
        <v>238</v>
      </c>
      <c r="C217" t="s">
        <v>154</v>
      </c>
      <c r="F217" s="3">
        <v>710370</v>
      </c>
      <c r="G217" t="s">
        <v>205</v>
      </c>
      <c r="I217" t="str">
        <f>_xlfn.XLOOKUP(B217,RA_LFBpS_SWO_PAG_PA!B:B,RA_LFBpS_SWO_PAG_PA!C:C)</f>
        <v>Western Hemlock-Incense Cedar/Salal - SWO</v>
      </c>
    </row>
    <row r="218" spans="1:9" ht="15.7" x14ac:dyDescent="0.55000000000000004">
      <c r="A218">
        <v>11</v>
      </c>
      <c r="B218" t="s">
        <v>72</v>
      </c>
      <c r="C218" t="s">
        <v>73</v>
      </c>
      <c r="F218" s="3">
        <v>210390</v>
      </c>
      <c r="G218" t="s">
        <v>44</v>
      </c>
      <c r="I218" t="e">
        <f>_xlfn.XLOOKUP(B218,RA_LFBpS_SWO_PAG_PA!B:B,RA_LFBpS_SWO_PAG_PA!C:C)</f>
        <v>#N/A</v>
      </c>
    </row>
    <row r="219" spans="1:9" ht="15.7" x14ac:dyDescent="0.55000000000000004">
      <c r="A219">
        <v>13</v>
      </c>
      <c r="B219" t="s">
        <v>74</v>
      </c>
      <c r="C219" t="s">
        <v>25</v>
      </c>
      <c r="F219" s="3">
        <v>210390</v>
      </c>
      <c r="G219" t="s">
        <v>44</v>
      </c>
      <c r="I219" t="e">
        <f>_xlfn.XLOOKUP(B219,RA_LFBpS_SWO_PAG_PA!B:B,RA_LFBpS_SWO_PAG_PA!C:C)</f>
        <v>#N/A</v>
      </c>
    </row>
    <row r="220" spans="1:9" ht="14.35" x14ac:dyDescent="0.5">
      <c r="A220">
        <v>14</v>
      </c>
      <c r="B220" t="s">
        <v>37</v>
      </c>
      <c r="C220" t="s">
        <v>25</v>
      </c>
      <c r="F220">
        <v>10432</v>
      </c>
      <c r="G220" t="s">
        <v>26</v>
      </c>
      <c r="I220" t="str">
        <f>_xlfn.XLOOKUP(B220,RA_LFBpS_SWO_PAG_PA!B:B,RA_LFBpS_SWO_PAG_PA!C:C)</f>
        <v>Western Hemlock - SWO Coast</v>
      </c>
    </row>
    <row r="221" spans="1:9" ht="14.35" x14ac:dyDescent="0.5">
      <c r="A221">
        <v>15</v>
      </c>
      <c r="B221" t="s">
        <v>38</v>
      </c>
      <c r="C221" t="s">
        <v>25</v>
      </c>
      <c r="F221">
        <v>10432</v>
      </c>
      <c r="G221" t="s">
        <v>26</v>
      </c>
      <c r="I221" t="e">
        <f>_xlfn.XLOOKUP(B221,RA_LFBpS_SWO_PAG_PA!B:B,RA_LFBpS_SWO_PAG_PA!C:C)</f>
        <v>#N/A</v>
      </c>
    </row>
    <row r="222" spans="1:9" ht="14.35" x14ac:dyDescent="0.5">
      <c r="A222">
        <v>16</v>
      </c>
      <c r="B222" t="s">
        <v>39</v>
      </c>
      <c r="C222" t="s">
        <v>25</v>
      </c>
      <c r="F222">
        <v>10432</v>
      </c>
      <c r="G222" t="s">
        <v>26</v>
      </c>
      <c r="I222" t="e">
        <f>_xlfn.XLOOKUP(B222,RA_LFBpS_SWO_PAG_PA!B:B,RA_LFBpS_SWO_PAG_PA!C:C)</f>
        <v>#N/A</v>
      </c>
    </row>
    <row r="223" spans="1:9" ht="14.35" x14ac:dyDescent="0.5">
      <c r="A223">
        <v>18</v>
      </c>
      <c r="B223" t="s">
        <v>40</v>
      </c>
      <c r="C223" t="s">
        <v>41</v>
      </c>
      <c r="F223">
        <v>10432</v>
      </c>
      <c r="G223" t="s">
        <v>26</v>
      </c>
      <c r="I223" t="str">
        <f>_xlfn.XLOOKUP(B223,RA_LFBpS_SWO_PAG_PA!B:B,RA_LFBpS_SWO_PAG_PA!C:C)</f>
        <v>Western Hemlock - SWO Coast</v>
      </c>
    </row>
    <row r="224" spans="1:9" ht="14.35" x14ac:dyDescent="0.5">
      <c r="A224">
        <v>19</v>
      </c>
      <c r="B224" t="s">
        <v>42</v>
      </c>
      <c r="C224" t="s">
        <v>41</v>
      </c>
      <c r="F224">
        <v>10432</v>
      </c>
      <c r="G224" t="s">
        <v>26</v>
      </c>
      <c r="I224" t="str">
        <f>_xlfn.XLOOKUP(B224,RA_LFBpS_SWO_PAG_PA!B:B,RA_LFBpS_SWO_PAG_PA!C:C)</f>
        <v>Western Hemlock - SWO Coast</v>
      </c>
    </row>
    <row r="225" spans="1:9" ht="15.7" x14ac:dyDescent="0.55000000000000004">
      <c r="A225">
        <v>30</v>
      </c>
      <c r="B225" t="s">
        <v>239</v>
      </c>
      <c r="C225" t="s">
        <v>204</v>
      </c>
      <c r="F225" s="3">
        <v>710370</v>
      </c>
      <c r="G225" t="s">
        <v>205</v>
      </c>
      <c r="I225" t="str">
        <f>_xlfn.XLOOKUP(B225,RA_LFBpS_SWO_PAG_PA!B:B,RA_LFBpS_SWO_PAG_PA!C:C)</f>
        <v>Western Hemlock/Pacific Rhododendron - SWO Cascades</v>
      </c>
    </row>
    <row r="226" spans="1:9" ht="15.7" x14ac:dyDescent="0.55000000000000004">
      <c r="A226">
        <v>31</v>
      </c>
      <c r="B226" t="s">
        <v>240</v>
      </c>
      <c r="C226" t="s">
        <v>204</v>
      </c>
      <c r="F226" s="3">
        <v>710370</v>
      </c>
      <c r="G226" t="s">
        <v>205</v>
      </c>
      <c r="I226" t="str">
        <f>_xlfn.XLOOKUP(B226,RA_LFBpS_SWO_PAG_PA!B:B,RA_LFBpS_SWO_PAG_PA!C:C)</f>
        <v>Western Hemlock/Pacific Rhododendron - SWO Cascades</v>
      </c>
    </row>
    <row r="227" spans="1:9" ht="15.7" x14ac:dyDescent="0.55000000000000004">
      <c r="A227">
        <v>2</v>
      </c>
      <c r="B227" t="s">
        <v>241</v>
      </c>
      <c r="C227" t="s">
        <v>200</v>
      </c>
      <c r="F227" s="3">
        <v>710412</v>
      </c>
      <c r="G227" t="s">
        <v>242</v>
      </c>
      <c r="I227" t="e">
        <f>_xlfn.XLOOKUP(B227,RA_LFBpS_SWO_PAG_PA!B:B,RA_LFBpS_SWO_PAG_PA!C:C)</f>
        <v>#N/A</v>
      </c>
    </row>
    <row r="228" spans="1:9" ht="15.7" x14ac:dyDescent="0.55000000000000004">
      <c r="A228">
        <v>3</v>
      </c>
      <c r="B228" t="s">
        <v>243</v>
      </c>
      <c r="C228" t="s">
        <v>200</v>
      </c>
      <c r="F228" s="3">
        <v>710412</v>
      </c>
      <c r="G228" t="s">
        <v>242</v>
      </c>
      <c r="I228" t="str">
        <f>_xlfn.XLOOKUP(B228,RA_LFBpS_SWO_PAG_PA!B:B,RA_LFBpS_SWO_PAG_PA!C:C)</f>
        <v>Mountain Hemlock/Sidebells Pyrola - high elevation - SWO</v>
      </c>
    </row>
    <row r="229" spans="1:9" ht="15.7" x14ac:dyDescent="0.55000000000000004">
      <c r="A229">
        <v>4</v>
      </c>
      <c r="B229" t="s">
        <v>244</v>
      </c>
      <c r="C229" t="s">
        <v>200</v>
      </c>
      <c r="F229" s="3">
        <v>710412</v>
      </c>
      <c r="G229" t="s">
        <v>242</v>
      </c>
      <c r="I229" t="e">
        <f>_xlfn.XLOOKUP(B229,RA_LFBpS_SWO_PAG_PA!B:B,RA_LFBpS_SWO_PAG_PA!C:C)</f>
        <v>#N/A</v>
      </c>
    </row>
    <row r="230" spans="1:9" ht="15.7" x14ac:dyDescent="0.55000000000000004">
      <c r="A230">
        <v>5</v>
      </c>
      <c r="B230" t="s">
        <v>245</v>
      </c>
      <c r="C230" t="s">
        <v>200</v>
      </c>
      <c r="F230" s="3">
        <v>710412</v>
      </c>
      <c r="G230" t="s">
        <v>242</v>
      </c>
      <c r="I230" t="e">
        <f>_xlfn.XLOOKUP(B230,RA_LFBpS_SWO_PAG_PA!B:B,RA_LFBpS_SWO_PAG_PA!C:C)</f>
        <v>#N/A</v>
      </c>
    </row>
    <row r="231" spans="1:9" ht="15.7" x14ac:dyDescent="0.55000000000000004">
      <c r="A231">
        <v>6</v>
      </c>
      <c r="B231" t="s">
        <v>246</v>
      </c>
      <c r="C231" t="s">
        <v>200</v>
      </c>
      <c r="F231" s="3">
        <v>710412</v>
      </c>
      <c r="G231" t="s">
        <v>242</v>
      </c>
      <c r="I231" t="e">
        <f>_xlfn.XLOOKUP(B231,RA_LFBpS_SWO_PAG_PA!B:B,RA_LFBpS_SWO_PAG_PA!C:C)</f>
        <v>#N/A</v>
      </c>
    </row>
    <row r="232" spans="1:9" ht="15.7" x14ac:dyDescent="0.55000000000000004">
      <c r="A232">
        <v>7</v>
      </c>
      <c r="B232" t="s">
        <v>247</v>
      </c>
      <c r="C232" t="s">
        <v>200</v>
      </c>
      <c r="F232" s="3">
        <v>710412</v>
      </c>
      <c r="G232" t="s">
        <v>242</v>
      </c>
      <c r="I232" t="str">
        <f>_xlfn.XLOOKUP(B232,RA_LFBpS_SWO_PAG_PA!B:B,RA_LFBpS_SWO_PAG_PA!C:C)</f>
        <v>Mountain Hemlock/Sidebells Pyrola - high elevation - SWO</v>
      </c>
    </row>
    <row r="233" spans="1:9" ht="15.7" x14ac:dyDescent="0.55000000000000004">
      <c r="A233">
        <v>8</v>
      </c>
      <c r="B233" t="s">
        <v>248</v>
      </c>
      <c r="C233" t="s">
        <v>200</v>
      </c>
      <c r="F233" s="3">
        <v>710412</v>
      </c>
      <c r="G233" t="s">
        <v>242</v>
      </c>
      <c r="I233" t="e">
        <f>_xlfn.XLOOKUP(B233,RA_LFBpS_SWO_PAG_PA!B:B,RA_LFBpS_SWO_PAG_PA!C:C)</f>
        <v>#N/A</v>
      </c>
    </row>
    <row r="234" spans="1:9" ht="15.7" x14ac:dyDescent="0.55000000000000004">
      <c r="A234">
        <v>9</v>
      </c>
      <c r="B234" t="s">
        <v>249</v>
      </c>
      <c r="C234" t="s">
        <v>200</v>
      </c>
      <c r="F234" s="3">
        <v>710412</v>
      </c>
      <c r="G234" t="s">
        <v>242</v>
      </c>
      <c r="I234" t="e">
        <f>_xlfn.XLOOKUP(B234,RA_LFBpS_SWO_PAG_PA!B:B,RA_LFBpS_SWO_PAG_PA!C:C)</f>
        <v>#N/A</v>
      </c>
    </row>
    <row r="235" spans="1:9" ht="15.7" x14ac:dyDescent="0.55000000000000004">
      <c r="A235">
        <v>10</v>
      </c>
      <c r="B235" t="s">
        <v>250</v>
      </c>
      <c r="C235" t="s">
        <v>200</v>
      </c>
      <c r="F235" s="3">
        <v>710412</v>
      </c>
      <c r="G235" t="s">
        <v>242</v>
      </c>
      <c r="I235" t="str">
        <f>_xlfn.XLOOKUP(B235,RA_LFBpS_SWO_PAG_PA!B:B,RA_LFBpS_SWO_PAG_PA!C:C)</f>
        <v>Mountain Hemlock/Pacific Rhododendron - warm</v>
      </c>
    </row>
    <row r="236" spans="1:9" ht="15.7" x14ac:dyDescent="0.55000000000000004">
      <c r="A236">
        <v>11</v>
      </c>
      <c r="B236" t="s">
        <v>251</v>
      </c>
      <c r="C236" t="s">
        <v>200</v>
      </c>
      <c r="F236" s="3">
        <v>710412</v>
      </c>
      <c r="G236" t="s">
        <v>242</v>
      </c>
      <c r="I236" t="e">
        <f>_xlfn.XLOOKUP(B236,RA_LFBpS_SWO_PAG_PA!B:B,RA_LFBpS_SWO_PAG_PA!C:C)</f>
        <v>#N/A</v>
      </c>
    </row>
    <row r="237" spans="1:9" ht="15.7" x14ac:dyDescent="0.55000000000000004">
      <c r="A237">
        <v>12</v>
      </c>
      <c r="B237" t="s">
        <v>252</v>
      </c>
      <c r="C237" t="s">
        <v>200</v>
      </c>
      <c r="F237" s="3">
        <v>710412</v>
      </c>
      <c r="G237" t="s">
        <v>242</v>
      </c>
      <c r="I237" t="str">
        <f>_xlfn.XLOOKUP(B237,RA_LFBpS_SWO_PAG_PA!B:B,RA_LFBpS_SWO_PAG_PA!C:C)</f>
        <v>Mountain Hemlock/Sidebells Pyrola - high elevation - SWO</v>
      </c>
    </row>
    <row r="238" spans="1:9" ht="15.7" x14ac:dyDescent="0.55000000000000004">
      <c r="A238">
        <v>13</v>
      </c>
      <c r="B238" t="s">
        <v>253</v>
      </c>
      <c r="C238" t="s">
        <v>200</v>
      </c>
      <c r="F238" s="3">
        <v>710412</v>
      </c>
      <c r="G238" t="s">
        <v>242</v>
      </c>
      <c r="I238" t="e">
        <f>_xlfn.XLOOKUP(B238,RA_LFBpS_SWO_PAG_PA!B:B,RA_LFBpS_SWO_PAG_PA!C:C)</f>
        <v>#N/A</v>
      </c>
    </row>
    <row r="239" spans="1:9" ht="15.7" x14ac:dyDescent="0.55000000000000004">
      <c r="A239">
        <v>14</v>
      </c>
      <c r="B239" t="s">
        <v>254</v>
      </c>
      <c r="C239" t="s">
        <v>200</v>
      </c>
      <c r="F239" s="3">
        <v>710412</v>
      </c>
      <c r="G239" t="s">
        <v>242</v>
      </c>
      <c r="I239" t="e">
        <f>_xlfn.XLOOKUP(B239,RA_LFBpS_SWO_PAG_PA!B:B,RA_LFBpS_SWO_PAG_PA!C:C)</f>
        <v>#N/A</v>
      </c>
    </row>
    <row r="240" spans="1:9" ht="15.7" x14ac:dyDescent="0.55000000000000004">
      <c r="A240">
        <v>15</v>
      </c>
      <c r="B240" t="s">
        <v>255</v>
      </c>
      <c r="C240" t="s">
        <v>200</v>
      </c>
      <c r="F240" s="3">
        <v>710412</v>
      </c>
      <c r="G240" t="s">
        <v>242</v>
      </c>
      <c r="I240" t="e">
        <f>_xlfn.XLOOKUP(B240,RA_LFBpS_SWO_PAG_PA!B:B,RA_LFBpS_SWO_PAG_PA!C:C)</f>
        <v>#N/A</v>
      </c>
    </row>
    <row r="241" spans="1:9" ht="15.7" x14ac:dyDescent="0.55000000000000004">
      <c r="A241">
        <v>16</v>
      </c>
      <c r="B241" t="s">
        <v>256</v>
      </c>
      <c r="C241" t="s">
        <v>200</v>
      </c>
      <c r="F241" s="3">
        <v>710412</v>
      </c>
      <c r="G241" t="s">
        <v>242</v>
      </c>
      <c r="I241" t="str">
        <f>_xlfn.XLOOKUP(B241,RA_LFBpS_SWO_PAG_PA!B:B,RA_LFBpS_SWO_PAG_PA!C:C)</f>
        <v>Mountain Hemlock/Grouse Whortleberry-Big Huckleberry - cool, dry</v>
      </c>
    </row>
    <row r="242" spans="1:9" ht="15.7" x14ac:dyDescent="0.55000000000000004">
      <c r="A242">
        <v>17</v>
      </c>
      <c r="B242" t="s">
        <v>257</v>
      </c>
      <c r="C242" t="s">
        <v>200</v>
      </c>
      <c r="F242" s="3">
        <v>710412</v>
      </c>
      <c r="G242" t="s">
        <v>242</v>
      </c>
      <c r="I242" t="e">
        <f>_xlfn.XLOOKUP(B242,RA_LFBpS_SWO_PAG_PA!B:B,RA_LFBpS_SWO_PAG_PA!C:C)</f>
        <v>#N/A</v>
      </c>
    </row>
    <row r="243" spans="1:9" ht="15.7" x14ac:dyDescent="0.55000000000000004">
      <c r="A243">
        <v>18</v>
      </c>
      <c r="B243" t="s">
        <v>258</v>
      </c>
      <c r="C243" t="s">
        <v>200</v>
      </c>
      <c r="F243" s="3">
        <v>710412</v>
      </c>
      <c r="G243" t="s">
        <v>242</v>
      </c>
      <c r="I243" t="e">
        <f>_xlfn.XLOOKUP(B243,RA_LFBpS_SWO_PAG_PA!B:B,RA_LFBpS_SWO_PAG_PA!C:C)</f>
        <v>#N/A</v>
      </c>
    </row>
    <row r="244" spans="1:9" ht="15.7" x14ac:dyDescent="0.55000000000000004">
      <c r="A244">
        <v>19</v>
      </c>
      <c r="B244" t="s">
        <v>259</v>
      </c>
      <c r="C244" t="s">
        <v>200</v>
      </c>
      <c r="F244" s="3">
        <v>710412</v>
      </c>
      <c r="G244" t="s">
        <v>242</v>
      </c>
      <c r="I244" t="str">
        <f>_xlfn.XLOOKUP(B244,RA_LFBpS_SWO_PAG_PA!B:B,RA_LFBpS_SWO_PAG_PA!C:C)</f>
        <v>Mountain Hemlock/Sidebells Pyrola - high elevation - SWO</v>
      </c>
    </row>
    <row r="245" spans="1:9" ht="15.7" x14ac:dyDescent="0.55000000000000004">
      <c r="A245">
        <v>20</v>
      </c>
      <c r="B245" s="2" t="s">
        <v>260</v>
      </c>
      <c r="C245" s="2" t="s">
        <v>200</v>
      </c>
      <c r="D245" s="2"/>
      <c r="F245" s="3">
        <v>710412</v>
      </c>
      <c r="G245" t="s">
        <v>242</v>
      </c>
      <c r="H245" s="2"/>
      <c r="I245" t="str">
        <f>_xlfn.XLOOKUP(B245,RA_LFBpS_SWO_PAG_PA!B:B,RA_LFBpS_SWO_PAG_PA!C:C)</f>
        <v>Mountain Hemlock/Pacific Rhododendron - warm</v>
      </c>
    </row>
  </sheetData>
  <autoFilter ref="A1:I1" xr:uid="{00000000-0001-0000-0100-000000000000}">
    <sortState xmlns:xlrd2="http://schemas.microsoft.com/office/spreadsheetml/2017/richdata2" ref="A2:I245">
      <sortCondition ref="B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3"/>
  <sheetViews>
    <sheetView tabSelected="1" workbookViewId="0">
      <pane xSplit="2" ySplit="1" topLeftCell="C14" activePane="bottomRight" state="frozen"/>
      <selection pane="topRight"/>
      <selection pane="bottomLeft"/>
      <selection pane="bottomRight" activeCell="C34" sqref="C34"/>
    </sheetView>
  </sheetViews>
  <sheetFormatPr defaultRowHeight="14.35" x14ac:dyDescent="0.5"/>
  <cols>
    <col min="1" max="1" width="31.87890625" style="51" bestFit="1" customWidth="1"/>
    <col min="2" max="2" width="12.1171875" customWidth="1"/>
    <col min="3" max="3" width="30.29296875" bestFit="1" customWidth="1"/>
    <col min="4" max="4" width="9.1171875" style="45"/>
    <col min="5" max="5" width="10.1171875" customWidth="1"/>
    <col min="6" max="6" width="8.1171875" customWidth="1"/>
    <col min="7" max="7" width="79.703125" style="39" customWidth="1"/>
    <col min="8" max="8" width="22.29296875" bestFit="1" customWidth="1"/>
    <col min="20" max="20" width="46.5859375" bestFit="1" customWidth="1"/>
    <col min="21" max="21" width="5" bestFit="1" customWidth="1"/>
    <col min="22" max="22" width="11.1171875" bestFit="1" customWidth="1"/>
    <col min="23" max="23" width="64.87890625" bestFit="1" customWidth="1"/>
    <col min="24" max="24" width="16.29296875" bestFit="1" customWidth="1"/>
    <col min="25" max="25" width="25.41015625" bestFit="1" customWidth="1"/>
    <col min="26" max="26" width="6" bestFit="1" customWidth="1"/>
    <col min="27" max="27" width="65.703125" bestFit="1" customWidth="1"/>
  </cols>
  <sheetData>
    <row r="1" spans="1:8" s="39" customFormat="1" ht="72" x14ac:dyDescent="0.55000000000000004">
      <c r="A1" s="50" t="s">
        <v>291</v>
      </c>
      <c r="B1" s="39" t="s">
        <v>292</v>
      </c>
      <c r="C1" s="39" t="s">
        <v>293</v>
      </c>
      <c r="D1" s="48" t="s">
        <v>294</v>
      </c>
      <c r="E1" s="39" t="s">
        <v>295</v>
      </c>
      <c r="F1" s="39" t="s">
        <v>296</v>
      </c>
      <c r="G1" s="39" t="s">
        <v>297</v>
      </c>
      <c r="H1" s="17"/>
    </row>
    <row r="2" spans="1:8" x14ac:dyDescent="0.5">
      <c r="A2" s="44" t="s">
        <v>85</v>
      </c>
      <c r="B2" s="20" t="str">
        <f t="shared" ref="B2:B25" si="0">LEFT(A2,4)</f>
        <v>PSME</v>
      </c>
      <c r="C2" s="20" t="s">
        <v>86</v>
      </c>
      <c r="D2" s="46">
        <v>561</v>
      </c>
      <c r="E2" s="20" t="s">
        <v>302</v>
      </c>
      <c r="G2" s="39" t="s">
        <v>303</v>
      </c>
    </row>
    <row r="3" spans="1:8" x14ac:dyDescent="0.5">
      <c r="A3" s="44" t="s">
        <v>88</v>
      </c>
      <c r="B3" s="20" t="str">
        <f t="shared" si="0"/>
        <v>PSME</v>
      </c>
      <c r="C3" s="20" t="s">
        <v>86</v>
      </c>
      <c r="D3" s="46">
        <v>561</v>
      </c>
      <c r="E3" s="20" t="s">
        <v>302</v>
      </c>
      <c r="F3">
        <v>14</v>
      </c>
      <c r="G3" s="39" t="s">
        <v>303</v>
      </c>
    </row>
    <row r="4" spans="1:8" x14ac:dyDescent="0.5">
      <c r="A4" s="44" t="s">
        <v>89</v>
      </c>
      <c r="B4" s="20" t="str">
        <f t="shared" si="0"/>
        <v>PSME</v>
      </c>
      <c r="C4" s="20" t="s">
        <v>86</v>
      </c>
      <c r="D4" s="46">
        <v>576</v>
      </c>
      <c r="E4" s="20" t="s">
        <v>309</v>
      </c>
      <c r="F4">
        <v>11</v>
      </c>
      <c r="G4" s="39" t="s">
        <v>307</v>
      </c>
    </row>
    <row r="5" spans="1:8" x14ac:dyDescent="0.5">
      <c r="A5" s="44" t="s">
        <v>92</v>
      </c>
      <c r="B5" s="20" t="str">
        <f t="shared" si="0"/>
        <v>PSME</v>
      </c>
      <c r="C5" s="20" t="s">
        <v>86</v>
      </c>
      <c r="D5" s="46">
        <v>530</v>
      </c>
      <c r="E5" s="20" t="s">
        <v>298</v>
      </c>
      <c r="F5">
        <v>423</v>
      </c>
      <c r="G5" s="39" t="s">
        <v>299</v>
      </c>
    </row>
    <row r="6" spans="1:8" x14ac:dyDescent="0.5">
      <c r="A6" s="44" t="s">
        <v>93</v>
      </c>
      <c r="B6" s="20" t="str">
        <f t="shared" si="0"/>
        <v>PSME</v>
      </c>
      <c r="C6" s="20" t="s">
        <v>86</v>
      </c>
      <c r="D6" s="46">
        <v>530</v>
      </c>
      <c r="E6" s="20" t="s">
        <v>298</v>
      </c>
      <c r="F6">
        <v>122</v>
      </c>
      <c r="G6" s="39" t="s">
        <v>299</v>
      </c>
    </row>
    <row r="7" spans="1:8" x14ac:dyDescent="0.5">
      <c r="A7" s="44" t="s">
        <v>94</v>
      </c>
      <c r="B7" s="20" t="str">
        <f t="shared" si="0"/>
        <v>PSME</v>
      </c>
      <c r="C7" s="20" t="s">
        <v>86</v>
      </c>
      <c r="D7" s="46">
        <v>365</v>
      </c>
      <c r="E7" s="20" t="s">
        <v>305</v>
      </c>
      <c r="G7" s="39" t="s">
        <v>306</v>
      </c>
    </row>
    <row r="8" spans="1:8" x14ac:dyDescent="0.5">
      <c r="A8" s="44" t="s">
        <v>108</v>
      </c>
      <c r="B8" s="20" t="str">
        <f t="shared" si="0"/>
        <v>PSME</v>
      </c>
      <c r="C8" s="20" t="s">
        <v>86</v>
      </c>
      <c r="D8" s="46">
        <v>264</v>
      </c>
      <c r="E8" s="20" t="s">
        <v>312</v>
      </c>
      <c r="G8" s="39" t="s">
        <v>313</v>
      </c>
    </row>
    <row r="9" spans="1:8" x14ac:dyDescent="0.5">
      <c r="A9" s="44" t="s">
        <v>109</v>
      </c>
      <c r="B9" s="20" t="str">
        <f t="shared" si="0"/>
        <v>PSME</v>
      </c>
      <c r="C9" s="20" t="s">
        <v>86</v>
      </c>
      <c r="D9" s="46">
        <v>365</v>
      </c>
      <c r="E9" s="20" t="s">
        <v>305</v>
      </c>
      <c r="G9" s="39" t="s">
        <v>306</v>
      </c>
    </row>
    <row r="10" spans="1:8" x14ac:dyDescent="0.5">
      <c r="A10" s="44" t="s">
        <v>111</v>
      </c>
      <c r="B10" s="20" t="str">
        <f t="shared" si="0"/>
        <v>PSME</v>
      </c>
      <c r="C10" s="20" t="s">
        <v>86</v>
      </c>
      <c r="D10" s="46">
        <v>365</v>
      </c>
      <c r="E10" s="20" t="s">
        <v>305</v>
      </c>
      <c r="F10">
        <v>84</v>
      </c>
      <c r="G10" s="39" t="s">
        <v>306</v>
      </c>
    </row>
    <row r="11" spans="1:8" x14ac:dyDescent="0.5">
      <c r="A11" s="44" t="s">
        <v>112</v>
      </c>
      <c r="B11" s="20" t="str">
        <f t="shared" si="0"/>
        <v>PSME</v>
      </c>
      <c r="C11" s="20" t="s">
        <v>86</v>
      </c>
      <c r="D11" s="46">
        <v>530</v>
      </c>
      <c r="E11" s="20" t="s">
        <v>298</v>
      </c>
      <c r="F11">
        <v>131</v>
      </c>
      <c r="G11" s="39" t="s">
        <v>299</v>
      </c>
    </row>
    <row r="12" spans="1:8" x14ac:dyDescent="0.5">
      <c r="A12" s="44" t="s">
        <v>113</v>
      </c>
      <c r="B12" s="20" t="str">
        <f t="shared" si="0"/>
        <v>PSME</v>
      </c>
      <c r="C12" s="20" t="s">
        <v>86</v>
      </c>
      <c r="D12" s="46">
        <v>530</v>
      </c>
      <c r="E12" s="20" t="s">
        <v>298</v>
      </c>
      <c r="F12">
        <v>171</v>
      </c>
      <c r="G12" s="39" t="s">
        <v>299</v>
      </c>
    </row>
    <row r="13" spans="1:8" x14ac:dyDescent="0.5">
      <c r="A13" s="44" t="s">
        <v>114</v>
      </c>
      <c r="B13" s="20" t="str">
        <f t="shared" si="0"/>
        <v>PSME</v>
      </c>
      <c r="C13" s="20" t="s">
        <v>86</v>
      </c>
      <c r="D13" s="46">
        <v>365</v>
      </c>
      <c r="E13" s="20" t="s">
        <v>305</v>
      </c>
      <c r="F13">
        <v>41</v>
      </c>
      <c r="G13" s="39" t="s">
        <v>306</v>
      </c>
    </row>
    <row r="14" spans="1:8" x14ac:dyDescent="0.5">
      <c r="A14" s="44" t="s">
        <v>115</v>
      </c>
      <c r="B14" s="20" t="str">
        <f t="shared" si="0"/>
        <v>PSME</v>
      </c>
      <c r="C14" s="20" t="s">
        <v>86</v>
      </c>
      <c r="D14" s="46">
        <v>365</v>
      </c>
      <c r="E14" s="20" t="s">
        <v>305</v>
      </c>
      <c r="F14">
        <v>17</v>
      </c>
      <c r="G14" s="39" t="s">
        <v>306</v>
      </c>
    </row>
    <row r="15" spans="1:8" x14ac:dyDescent="0.5">
      <c r="A15" s="44" t="s">
        <v>169</v>
      </c>
      <c r="B15" s="20" t="str">
        <f t="shared" si="0"/>
        <v>PSME</v>
      </c>
      <c r="C15" s="20" t="s">
        <v>73</v>
      </c>
      <c r="D15" s="46">
        <v>530</v>
      </c>
      <c r="E15" s="20" t="s">
        <v>298</v>
      </c>
      <c r="F15">
        <v>3</v>
      </c>
      <c r="G15" s="39" t="s">
        <v>299</v>
      </c>
    </row>
    <row r="16" spans="1:8" x14ac:dyDescent="0.5">
      <c r="A16" s="44" t="s">
        <v>170</v>
      </c>
      <c r="B16" s="20" t="str">
        <f t="shared" si="0"/>
        <v>PSME</v>
      </c>
      <c r="C16" s="20" t="s">
        <v>73</v>
      </c>
      <c r="D16" s="46">
        <v>561</v>
      </c>
      <c r="E16" s="20" t="s">
        <v>302</v>
      </c>
      <c r="G16" s="39" t="s">
        <v>303</v>
      </c>
    </row>
    <row r="17" spans="1:7" x14ac:dyDescent="0.5">
      <c r="A17" s="44" t="s">
        <v>316</v>
      </c>
      <c r="B17" s="20" t="str">
        <f t="shared" si="0"/>
        <v>PSME</v>
      </c>
      <c r="C17" s="61" t="s">
        <v>73</v>
      </c>
      <c r="D17" s="46">
        <v>530</v>
      </c>
      <c r="E17" s="20" t="s">
        <v>298</v>
      </c>
      <c r="G17" s="39" t="s">
        <v>299</v>
      </c>
    </row>
    <row r="18" spans="1:7" x14ac:dyDescent="0.5">
      <c r="A18" s="44" t="s">
        <v>175</v>
      </c>
      <c r="B18" s="20" t="str">
        <f t="shared" si="0"/>
        <v>PSME</v>
      </c>
      <c r="C18" s="20" t="s">
        <v>73</v>
      </c>
      <c r="D18" s="46">
        <v>561</v>
      </c>
      <c r="E18" s="20" t="s">
        <v>302</v>
      </c>
      <c r="G18" s="39" t="s">
        <v>303</v>
      </c>
    </row>
    <row r="19" spans="1:7" x14ac:dyDescent="0.5">
      <c r="A19" s="44" t="s">
        <v>75</v>
      </c>
      <c r="B19" s="20" t="str">
        <f t="shared" si="0"/>
        <v>PIJE</v>
      </c>
      <c r="C19" s="20" t="s">
        <v>76</v>
      </c>
      <c r="D19" s="46">
        <v>264</v>
      </c>
      <c r="E19" s="20" t="s">
        <v>312</v>
      </c>
      <c r="G19" s="39" t="s">
        <v>313</v>
      </c>
    </row>
    <row r="20" spans="1:7" x14ac:dyDescent="0.5">
      <c r="A20" s="44" t="s">
        <v>78</v>
      </c>
      <c r="B20" s="20" t="str">
        <f t="shared" si="0"/>
        <v>PIJE</v>
      </c>
      <c r="C20" s="20" t="s">
        <v>76</v>
      </c>
      <c r="D20" s="46">
        <v>264</v>
      </c>
      <c r="E20" s="20" t="s">
        <v>312</v>
      </c>
      <c r="G20" s="39" t="s">
        <v>313</v>
      </c>
    </row>
    <row r="21" spans="1:7" x14ac:dyDescent="0.5">
      <c r="A21" s="44" t="s">
        <v>79</v>
      </c>
      <c r="B21" s="20" t="str">
        <f t="shared" si="0"/>
        <v>PIJE</v>
      </c>
      <c r="C21" s="20" t="s">
        <v>76</v>
      </c>
      <c r="D21" s="46">
        <v>264</v>
      </c>
      <c r="E21" s="20" t="s">
        <v>312</v>
      </c>
      <c r="G21" s="39" t="s">
        <v>313</v>
      </c>
    </row>
    <row r="22" spans="1:7" x14ac:dyDescent="0.5">
      <c r="A22" s="44" t="s">
        <v>80</v>
      </c>
      <c r="B22" s="20" t="str">
        <f t="shared" si="0"/>
        <v>PIJE</v>
      </c>
      <c r="C22" s="20" t="s">
        <v>76</v>
      </c>
      <c r="D22" s="46">
        <v>264</v>
      </c>
      <c r="E22" s="20" t="s">
        <v>312</v>
      </c>
      <c r="G22" s="39" t="s">
        <v>313</v>
      </c>
    </row>
    <row r="23" spans="1:7" x14ac:dyDescent="0.5">
      <c r="A23" s="44" t="s">
        <v>81</v>
      </c>
      <c r="B23" s="20" t="str">
        <f t="shared" si="0"/>
        <v>PIJE</v>
      </c>
      <c r="C23" s="20" t="s">
        <v>76</v>
      </c>
      <c r="D23" s="46">
        <v>264</v>
      </c>
      <c r="E23" s="20" t="s">
        <v>312</v>
      </c>
      <c r="G23" s="39" t="s">
        <v>313</v>
      </c>
    </row>
    <row r="24" spans="1:7" x14ac:dyDescent="0.5">
      <c r="A24" s="44" t="s">
        <v>82</v>
      </c>
      <c r="B24" s="20" t="str">
        <f t="shared" si="0"/>
        <v>PIJE</v>
      </c>
      <c r="C24" s="20" t="s">
        <v>76</v>
      </c>
      <c r="D24" s="46">
        <v>264</v>
      </c>
      <c r="E24" s="20" t="s">
        <v>312</v>
      </c>
      <c r="G24" s="39" t="s">
        <v>313</v>
      </c>
    </row>
    <row r="25" spans="1:7" x14ac:dyDescent="0.5">
      <c r="A25" s="44" t="s">
        <v>83</v>
      </c>
      <c r="B25" s="20" t="str">
        <f t="shared" si="0"/>
        <v>PIJE</v>
      </c>
      <c r="C25" s="20" t="s">
        <v>76</v>
      </c>
      <c r="D25" s="46">
        <v>264</v>
      </c>
      <c r="E25" s="20" t="s">
        <v>312</v>
      </c>
      <c r="G25" s="39" t="s">
        <v>313</v>
      </c>
    </row>
    <row r="26" spans="1:7" x14ac:dyDescent="0.5">
      <c r="A26" s="44" t="s">
        <v>84</v>
      </c>
      <c r="B26" s="20" t="str">
        <f>LEFT(A26,5)</f>
        <v>PIMO3</v>
      </c>
      <c r="C26" s="20" t="s">
        <v>76</v>
      </c>
      <c r="D26" s="46">
        <v>264</v>
      </c>
      <c r="E26" s="20" t="s">
        <v>312</v>
      </c>
      <c r="G26" s="39" t="s">
        <v>313</v>
      </c>
    </row>
    <row r="27" spans="1:7" x14ac:dyDescent="0.5">
      <c r="A27" s="44" t="s">
        <v>110</v>
      </c>
      <c r="B27" s="20" t="str">
        <f>LEFT(A27,4)</f>
        <v>PSME</v>
      </c>
      <c r="C27" s="20" t="s">
        <v>76</v>
      </c>
      <c r="D27" s="46">
        <v>264</v>
      </c>
      <c r="E27" s="20" t="s">
        <v>312</v>
      </c>
      <c r="G27" s="39" t="s">
        <v>313</v>
      </c>
    </row>
    <row r="28" spans="1:7" x14ac:dyDescent="0.5">
      <c r="A28" s="44" t="s">
        <v>274</v>
      </c>
      <c r="B28" s="20" t="str">
        <f>LEFT(A28,4)</f>
        <v>PICO</v>
      </c>
      <c r="C28" s="20" t="s">
        <v>271</v>
      </c>
      <c r="D28" s="46">
        <v>541</v>
      </c>
      <c r="E28" s="20" t="s">
        <v>315</v>
      </c>
      <c r="G28" s="39" t="s">
        <v>301</v>
      </c>
    </row>
    <row r="29" spans="1:7" x14ac:dyDescent="0.5">
      <c r="A29" s="44" t="s">
        <v>276</v>
      </c>
      <c r="B29" s="20" t="str">
        <f>LEFT(A29,4)</f>
        <v>PICO</v>
      </c>
      <c r="C29" s="20" t="s">
        <v>271</v>
      </c>
      <c r="D29" s="46">
        <v>447</v>
      </c>
      <c r="E29" s="38" t="s">
        <v>300</v>
      </c>
      <c r="G29" s="39" t="s">
        <v>301</v>
      </c>
    </row>
    <row r="30" spans="1:7" x14ac:dyDescent="0.5">
      <c r="A30" s="44" t="s">
        <v>278</v>
      </c>
      <c r="B30" s="20" t="str">
        <f>LEFT(A30,4)</f>
        <v>PICO</v>
      </c>
      <c r="C30" s="20" t="s">
        <v>271</v>
      </c>
      <c r="D30" s="46">
        <v>541</v>
      </c>
      <c r="E30" s="20" t="s">
        <v>315</v>
      </c>
      <c r="G30" s="39" t="s">
        <v>301</v>
      </c>
    </row>
    <row r="31" spans="1:7" x14ac:dyDescent="0.5">
      <c r="A31" s="44" t="s">
        <v>199</v>
      </c>
      <c r="B31" s="20" t="str">
        <f>LEFT(A31,5)</f>
        <v>ABMAS</v>
      </c>
      <c r="C31" s="20" t="s">
        <v>200</v>
      </c>
      <c r="D31" s="46">
        <v>447</v>
      </c>
      <c r="E31" s="38" t="s">
        <v>300</v>
      </c>
      <c r="G31" s="39" t="s">
        <v>301</v>
      </c>
    </row>
    <row r="32" spans="1:7" x14ac:dyDescent="0.5">
      <c r="A32" s="44" t="s">
        <v>243</v>
      </c>
      <c r="B32" s="20" t="str">
        <f t="shared" ref="B32:B45" si="1">LEFT(A32,4)</f>
        <v>TSME</v>
      </c>
      <c r="C32" s="20" t="s">
        <v>200</v>
      </c>
      <c r="D32" s="46">
        <v>447</v>
      </c>
      <c r="E32" s="38" t="s">
        <v>300</v>
      </c>
      <c r="G32" s="39" t="s">
        <v>301</v>
      </c>
    </row>
    <row r="33" spans="1:7" x14ac:dyDescent="0.5">
      <c r="A33" s="44" t="s">
        <v>247</v>
      </c>
      <c r="B33" s="20" t="str">
        <f t="shared" si="1"/>
        <v>TSME</v>
      </c>
      <c r="C33" s="20" t="s">
        <v>200</v>
      </c>
      <c r="D33" s="46">
        <v>450</v>
      </c>
      <c r="E33" s="38" t="s">
        <v>308</v>
      </c>
      <c r="G33" s="39" t="s">
        <v>301</v>
      </c>
    </row>
    <row r="34" spans="1:7" x14ac:dyDescent="0.5">
      <c r="A34" s="44" t="s">
        <v>250</v>
      </c>
      <c r="B34" s="20" t="str">
        <f t="shared" si="1"/>
        <v>TSME</v>
      </c>
      <c r="C34" s="20" t="s">
        <v>200</v>
      </c>
      <c r="D34" s="46">
        <v>447</v>
      </c>
      <c r="E34" s="38" t="s">
        <v>300</v>
      </c>
      <c r="G34" s="39" t="s">
        <v>301</v>
      </c>
    </row>
    <row r="35" spans="1:7" x14ac:dyDescent="0.5">
      <c r="A35" s="44" t="s">
        <v>252</v>
      </c>
      <c r="B35" s="20" t="str">
        <f t="shared" si="1"/>
        <v>TSME</v>
      </c>
      <c r="C35" s="20" t="s">
        <v>200</v>
      </c>
      <c r="D35" s="46">
        <v>447</v>
      </c>
      <c r="E35" s="38" t="s">
        <v>300</v>
      </c>
      <c r="G35" s="39" t="s">
        <v>301</v>
      </c>
    </row>
    <row r="36" spans="1:7" x14ac:dyDescent="0.5">
      <c r="A36" s="44" t="s">
        <v>256</v>
      </c>
      <c r="B36" s="20" t="str">
        <f t="shared" si="1"/>
        <v>TSME</v>
      </c>
      <c r="C36" s="20" t="s">
        <v>200</v>
      </c>
      <c r="D36" s="46">
        <v>450</v>
      </c>
      <c r="E36" s="38" t="s">
        <v>308</v>
      </c>
      <c r="G36" s="39" t="s">
        <v>301</v>
      </c>
    </row>
    <row r="37" spans="1:7" x14ac:dyDescent="0.5">
      <c r="A37" s="44" t="s">
        <v>259</v>
      </c>
      <c r="B37" s="20" t="str">
        <f t="shared" si="1"/>
        <v>TSME</v>
      </c>
      <c r="C37" s="20" t="s">
        <v>200</v>
      </c>
      <c r="D37" s="46">
        <v>450</v>
      </c>
      <c r="E37" s="38" t="s">
        <v>308</v>
      </c>
      <c r="G37" s="39" t="s">
        <v>301</v>
      </c>
    </row>
    <row r="38" spans="1:7" x14ac:dyDescent="0.5">
      <c r="A38" s="44" t="s">
        <v>260</v>
      </c>
      <c r="B38" s="20" t="str">
        <f t="shared" si="1"/>
        <v>TSME</v>
      </c>
      <c r="C38" s="20" t="s">
        <v>200</v>
      </c>
      <c r="D38" s="46">
        <v>447</v>
      </c>
      <c r="E38" s="38" t="s">
        <v>300</v>
      </c>
      <c r="G38" s="39" t="s">
        <v>301</v>
      </c>
    </row>
    <row r="39" spans="1:7" x14ac:dyDescent="0.5">
      <c r="A39" s="44" t="s">
        <v>176</v>
      </c>
      <c r="B39" s="20" t="str">
        <f t="shared" si="1"/>
        <v>QUGA</v>
      </c>
      <c r="C39" s="20" t="s">
        <v>177</v>
      </c>
      <c r="D39" s="46">
        <v>200</v>
      </c>
      <c r="E39" s="20" t="s">
        <v>317</v>
      </c>
      <c r="F39">
        <v>139</v>
      </c>
      <c r="G39" s="39" t="s">
        <v>318</v>
      </c>
    </row>
    <row r="40" spans="1:7" x14ac:dyDescent="0.5">
      <c r="A40" s="44" t="s">
        <v>179</v>
      </c>
      <c r="B40" s="20" t="str">
        <f t="shared" si="1"/>
        <v>QUGA</v>
      </c>
      <c r="C40" s="20" t="s">
        <v>177</v>
      </c>
      <c r="D40" s="46">
        <v>200</v>
      </c>
      <c r="E40" s="20" t="s">
        <v>317</v>
      </c>
      <c r="F40">
        <v>48</v>
      </c>
      <c r="G40" s="39" t="s">
        <v>318</v>
      </c>
    </row>
    <row r="41" spans="1:7" x14ac:dyDescent="0.5">
      <c r="A41" s="44" t="s">
        <v>279</v>
      </c>
      <c r="B41" s="20" t="str">
        <f t="shared" si="1"/>
        <v>ABAM</v>
      </c>
      <c r="C41" s="20" t="s">
        <v>280</v>
      </c>
      <c r="D41" s="46">
        <v>530</v>
      </c>
      <c r="E41" s="38" t="s">
        <v>298</v>
      </c>
      <c r="F41">
        <v>3</v>
      </c>
      <c r="G41" s="39" t="s">
        <v>299</v>
      </c>
    </row>
    <row r="42" spans="1:7" x14ac:dyDescent="0.5">
      <c r="A42" s="44" t="s">
        <v>288</v>
      </c>
      <c r="B42" s="20" t="str">
        <f t="shared" si="1"/>
        <v>ABAM</v>
      </c>
      <c r="C42" s="20" t="s">
        <v>280</v>
      </c>
      <c r="D42" s="46">
        <v>447</v>
      </c>
      <c r="E42" s="38" t="s">
        <v>300</v>
      </c>
      <c r="G42" s="39" t="s">
        <v>301</v>
      </c>
    </row>
    <row r="43" spans="1:7" x14ac:dyDescent="0.5">
      <c r="A43" s="44" t="s">
        <v>289</v>
      </c>
      <c r="B43" s="20" t="str">
        <f t="shared" si="1"/>
        <v>TSHE</v>
      </c>
      <c r="C43" s="20" t="s">
        <v>280</v>
      </c>
      <c r="D43" s="46">
        <v>450</v>
      </c>
      <c r="E43" s="38" t="s">
        <v>308</v>
      </c>
      <c r="G43" s="39" t="s">
        <v>301</v>
      </c>
    </row>
    <row r="44" spans="1:7" x14ac:dyDescent="0.5">
      <c r="A44" s="44" t="s">
        <v>268</v>
      </c>
      <c r="B44" s="20" t="str">
        <f t="shared" si="1"/>
        <v>PIPO</v>
      </c>
      <c r="C44" s="20" t="s">
        <v>148</v>
      </c>
      <c r="D44" s="46">
        <v>365</v>
      </c>
      <c r="E44" s="20" t="s">
        <v>305</v>
      </c>
      <c r="F44">
        <v>67</v>
      </c>
      <c r="G44" s="39" t="s">
        <v>306</v>
      </c>
    </row>
    <row r="45" spans="1:7" x14ac:dyDescent="0.5">
      <c r="A45" s="44" t="s">
        <v>269</v>
      </c>
      <c r="B45" s="20" t="str">
        <f t="shared" si="1"/>
        <v>PIPO</v>
      </c>
      <c r="C45" s="20" t="s">
        <v>148</v>
      </c>
      <c r="D45" s="46">
        <v>365</v>
      </c>
      <c r="E45" s="20" t="s">
        <v>305</v>
      </c>
      <c r="F45">
        <v>49</v>
      </c>
      <c r="G45" s="39" t="s">
        <v>306</v>
      </c>
    </row>
    <row r="46" spans="1:7" x14ac:dyDescent="0.5">
      <c r="A46" s="44" t="s">
        <v>190</v>
      </c>
      <c r="B46" s="20" t="str">
        <f>LEFT(A46,5)</f>
        <v>ABMAS</v>
      </c>
      <c r="C46" s="20" t="s">
        <v>181</v>
      </c>
      <c r="D46" s="46">
        <v>450</v>
      </c>
      <c r="E46" s="38" t="s">
        <v>308</v>
      </c>
      <c r="G46" s="39" t="s">
        <v>301</v>
      </c>
    </row>
    <row r="47" spans="1:7" x14ac:dyDescent="0.5">
      <c r="A47" s="44" t="s">
        <v>191</v>
      </c>
      <c r="B47" s="20" t="str">
        <f>LEFT(A47,5)</f>
        <v>ABMAS</v>
      </c>
      <c r="C47" s="20" t="s">
        <v>181</v>
      </c>
      <c r="D47" s="46">
        <v>447</v>
      </c>
      <c r="E47" s="38" t="s">
        <v>300</v>
      </c>
      <c r="G47" s="39" t="s">
        <v>301</v>
      </c>
    </row>
    <row r="48" spans="1:7" x14ac:dyDescent="0.5">
      <c r="A48" s="44" t="s">
        <v>196</v>
      </c>
      <c r="B48" s="20" t="str">
        <f>LEFT(A48,5)</f>
        <v>ABMAS</v>
      </c>
      <c r="C48" s="20" t="s">
        <v>181</v>
      </c>
      <c r="D48" s="46">
        <v>447</v>
      </c>
      <c r="E48" s="38" t="s">
        <v>300</v>
      </c>
      <c r="G48" s="39" t="s">
        <v>301</v>
      </c>
    </row>
    <row r="49" spans="1:7" x14ac:dyDescent="0.5">
      <c r="A49" s="44" t="s">
        <v>197</v>
      </c>
      <c r="B49" s="20" t="str">
        <f>LEFT(A49,5)</f>
        <v>ABMAS</v>
      </c>
      <c r="C49" s="20" t="s">
        <v>181</v>
      </c>
      <c r="D49" s="46">
        <v>447</v>
      </c>
      <c r="E49" s="38" t="s">
        <v>300</v>
      </c>
      <c r="G49" s="39" t="s">
        <v>301</v>
      </c>
    </row>
    <row r="50" spans="1:7" x14ac:dyDescent="0.5">
      <c r="A50" s="44" t="s">
        <v>9</v>
      </c>
      <c r="B50" s="20" t="str">
        <f t="shared" ref="B50:B70" si="2">LEFT(A50,4)</f>
        <v>LIDE</v>
      </c>
      <c r="C50" s="20" t="s">
        <v>10</v>
      </c>
      <c r="D50" s="46">
        <v>272</v>
      </c>
      <c r="E50" s="20" t="s">
        <v>310</v>
      </c>
      <c r="G50" s="39" t="s">
        <v>311</v>
      </c>
    </row>
    <row r="51" spans="1:7" x14ac:dyDescent="0.5">
      <c r="A51" s="44" t="s">
        <v>15</v>
      </c>
      <c r="B51" s="20" t="str">
        <f t="shared" si="2"/>
        <v>LIDE</v>
      </c>
      <c r="C51" s="20" t="s">
        <v>10</v>
      </c>
      <c r="D51" s="46">
        <v>530</v>
      </c>
      <c r="E51" s="20" t="s">
        <v>298</v>
      </c>
      <c r="F51">
        <v>1</v>
      </c>
      <c r="G51" s="39" t="s">
        <v>299</v>
      </c>
    </row>
    <row r="52" spans="1:7" x14ac:dyDescent="0.5">
      <c r="A52" s="44" t="s">
        <v>16</v>
      </c>
      <c r="B52" s="20" t="str">
        <f t="shared" si="2"/>
        <v>LIDE</v>
      </c>
      <c r="C52" s="20" t="s">
        <v>10</v>
      </c>
      <c r="D52" s="46">
        <v>561</v>
      </c>
      <c r="E52" s="20" t="s">
        <v>302</v>
      </c>
      <c r="G52" s="39" t="s">
        <v>303</v>
      </c>
    </row>
    <row r="53" spans="1:7" x14ac:dyDescent="0.5">
      <c r="A53" s="44" t="s">
        <v>17</v>
      </c>
      <c r="B53" s="20" t="str">
        <f t="shared" si="2"/>
        <v>LIDE</v>
      </c>
      <c r="C53" s="20" t="s">
        <v>10</v>
      </c>
      <c r="D53" s="46">
        <v>264</v>
      </c>
      <c r="E53" s="20" t="s">
        <v>312</v>
      </c>
      <c r="G53" s="39" t="s">
        <v>313</v>
      </c>
    </row>
    <row r="54" spans="1:7" x14ac:dyDescent="0.5">
      <c r="A54" s="44" t="s">
        <v>18</v>
      </c>
      <c r="B54" s="20" t="str">
        <f t="shared" si="2"/>
        <v>LIDE</v>
      </c>
      <c r="C54" s="20" t="s">
        <v>10</v>
      </c>
      <c r="D54" s="46">
        <v>530</v>
      </c>
      <c r="E54" s="20" t="s">
        <v>298</v>
      </c>
      <c r="G54" s="39" t="s">
        <v>299</v>
      </c>
    </row>
    <row r="55" spans="1:7" x14ac:dyDescent="0.5">
      <c r="A55" s="44" t="s">
        <v>19</v>
      </c>
      <c r="B55" s="20" t="str">
        <f t="shared" si="2"/>
        <v>LIDE</v>
      </c>
      <c r="C55" s="20" t="s">
        <v>10</v>
      </c>
      <c r="D55" s="46">
        <v>561</v>
      </c>
      <c r="E55" s="20" t="s">
        <v>302</v>
      </c>
      <c r="G55" s="39" t="s">
        <v>303</v>
      </c>
    </row>
    <row r="56" spans="1:7" x14ac:dyDescent="0.5">
      <c r="A56" s="44" t="s">
        <v>20</v>
      </c>
      <c r="B56" s="20" t="str">
        <f t="shared" si="2"/>
        <v>LIDE</v>
      </c>
      <c r="C56" s="20" t="s">
        <v>10</v>
      </c>
      <c r="D56" s="46">
        <v>561</v>
      </c>
      <c r="E56" s="20" t="s">
        <v>302</v>
      </c>
      <c r="G56" s="39" t="s">
        <v>307</v>
      </c>
    </row>
    <row r="57" spans="1:7" x14ac:dyDescent="0.5">
      <c r="A57" s="44" t="s">
        <v>21</v>
      </c>
      <c r="B57" s="20" t="str">
        <f t="shared" si="2"/>
        <v>LIDE</v>
      </c>
      <c r="C57" s="20" t="s">
        <v>10</v>
      </c>
      <c r="D57" s="46">
        <v>561</v>
      </c>
      <c r="E57" s="20" t="s">
        <v>302</v>
      </c>
      <c r="F57">
        <v>23</v>
      </c>
      <c r="G57" s="39" t="s">
        <v>303</v>
      </c>
    </row>
    <row r="58" spans="1:7" x14ac:dyDescent="0.5">
      <c r="A58" s="44" t="s">
        <v>22</v>
      </c>
      <c r="B58" s="20" t="str">
        <f t="shared" si="2"/>
        <v>LIDE</v>
      </c>
      <c r="C58" s="20" t="s">
        <v>10</v>
      </c>
      <c r="D58" s="46">
        <v>561</v>
      </c>
      <c r="E58" s="20" t="s">
        <v>302</v>
      </c>
      <c r="F58">
        <v>68</v>
      </c>
      <c r="G58" s="39" t="s">
        <v>303</v>
      </c>
    </row>
    <row r="59" spans="1:7" x14ac:dyDescent="0.5">
      <c r="A59" s="44" t="s">
        <v>51</v>
      </c>
      <c r="B59" s="20" t="str">
        <f t="shared" si="2"/>
        <v>CHLA</v>
      </c>
      <c r="C59" s="20" t="s">
        <v>25</v>
      </c>
      <c r="D59" s="46">
        <v>561</v>
      </c>
      <c r="E59" s="20" t="s">
        <v>302</v>
      </c>
      <c r="G59" s="39" t="s">
        <v>303</v>
      </c>
    </row>
    <row r="60" spans="1:7" x14ac:dyDescent="0.5">
      <c r="A60" s="44" t="s">
        <v>24</v>
      </c>
      <c r="B60" s="20" t="str">
        <f t="shared" si="2"/>
        <v>LIDE</v>
      </c>
      <c r="C60" s="20" t="s">
        <v>25</v>
      </c>
      <c r="D60" s="46">
        <v>530</v>
      </c>
      <c r="E60" s="20" t="s">
        <v>298</v>
      </c>
      <c r="F60">
        <v>9</v>
      </c>
      <c r="G60" s="39" t="s">
        <v>299</v>
      </c>
    </row>
    <row r="61" spans="1:7" x14ac:dyDescent="0.5">
      <c r="A61" s="44" t="s">
        <v>27</v>
      </c>
      <c r="B61" s="20" t="str">
        <f t="shared" si="2"/>
        <v>LIDE</v>
      </c>
      <c r="C61" s="20" t="s">
        <v>25</v>
      </c>
      <c r="D61" s="46">
        <v>530</v>
      </c>
      <c r="E61" s="20" t="s">
        <v>298</v>
      </c>
      <c r="F61">
        <v>2</v>
      </c>
      <c r="G61" s="39" t="s">
        <v>299</v>
      </c>
    </row>
    <row r="62" spans="1:7" x14ac:dyDescent="0.5">
      <c r="A62" s="44" t="s">
        <v>32</v>
      </c>
      <c r="B62" s="20" t="str">
        <f t="shared" si="2"/>
        <v>LIDE</v>
      </c>
      <c r="C62" s="20" t="s">
        <v>25</v>
      </c>
      <c r="D62" s="46">
        <v>530</v>
      </c>
      <c r="E62" s="20" t="s">
        <v>298</v>
      </c>
      <c r="G62" s="39" t="s">
        <v>299</v>
      </c>
    </row>
    <row r="63" spans="1:7" x14ac:dyDescent="0.5">
      <c r="A63" s="44" t="s">
        <v>33</v>
      </c>
      <c r="B63" s="20" t="str">
        <f t="shared" si="2"/>
        <v>LIDE</v>
      </c>
      <c r="C63" s="20" t="s">
        <v>25</v>
      </c>
      <c r="D63" s="46">
        <v>530</v>
      </c>
      <c r="E63" s="20" t="s">
        <v>298</v>
      </c>
      <c r="F63">
        <v>6</v>
      </c>
      <c r="G63" s="39" t="s">
        <v>299</v>
      </c>
    </row>
    <row r="64" spans="1:7" x14ac:dyDescent="0.5">
      <c r="A64" s="44" t="s">
        <v>34</v>
      </c>
      <c r="B64" s="20" t="str">
        <f t="shared" si="2"/>
        <v>LIDE</v>
      </c>
      <c r="C64" s="20" t="s">
        <v>25</v>
      </c>
      <c r="D64" s="46">
        <v>530</v>
      </c>
      <c r="E64" s="20" t="s">
        <v>298</v>
      </c>
      <c r="F64">
        <v>1</v>
      </c>
      <c r="G64" s="39" t="s">
        <v>299</v>
      </c>
    </row>
    <row r="65" spans="1:7" x14ac:dyDescent="0.5">
      <c r="A65" s="44" t="s">
        <v>35</v>
      </c>
      <c r="B65" s="20" t="str">
        <f t="shared" si="2"/>
        <v>LIDE</v>
      </c>
      <c r="C65" s="20" t="s">
        <v>25</v>
      </c>
      <c r="D65" s="46">
        <v>530</v>
      </c>
      <c r="E65" s="20" t="s">
        <v>298</v>
      </c>
      <c r="F65">
        <v>5</v>
      </c>
      <c r="G65" s="39" t="s">
        <v>299</v>
      </c>
    </row>
    <row r="66" spans="1:7" x14ac:dyDescent="0.5">
      <c r="A66" s="44" t="s">
        <v>36</v>
      </c>
      <c r="B66" s="20" t="str">
        <f t="shared" si="2"/>
        <v>LIDE</v>
      </c>
      <c r="C66" s="20" t="s">
        <v>25</v>
      </c>
      <c r="D66" s="46">
        <v>530</v>
      </c>
      <c r="E66" s="20" t="s">
        <v>298</v>
      </c>
      <c r="F66">
        <v>5</v>
      </c>
      <c r="G66" s="39" t="s">
        <v>314</v>
      </c>
    </row>
    <row r="67" spans="1:7" x14ac:dyDescent="0.5">
      <c r="A67" s="44" t="s">
        <v>37</v>
      </c>
      <c r="B67" s="20" t="str">
        <f t="shared" si="2"/>
        <v>TSHE</v>
      </c>
      <c r="C67" s="20" t="s">
        <v>25</v>
      </c>
      <c r="D67" s="46">
        <v>530</v>
      </c>
      <c r="E67" s="20" t="s">
        <v>298</v>
      </c>
      <c r="G67" s="39" t="s">
        <v>299</v>
      </c>
    </row>
    <row r="68" spans="1:7" x14ac:dyDescent="0.5">
      <c r="A68" s="44" t="s">
        <v>43</v>
      </c>
      <c r="B68" s="20" t="str">
        <f t="shared" si="2"/>
        <v>CHLA</v>
      </c>
      <c r="C68" s="20" t="s">
        <v>31</v>
      </c>
      <c r="D68" s="46">
        <v>561</v>
      </c>
      <c r="E68" s="20" t="s">
        <v>302</v>
      </c>
      <c r="G68" s="39" t="s">
        <v>303</v>
      </c>
    </row>
    <row r="69" spans="1:7" x14ac:dyDescent="0.5">
      <c r="A69" s="44" t="s">
        <v>45</v>
      </c>
      <c r="B69" s="20" t="str">
        <f t="shared" si="2"/>
        <v>CHLA</v>
      </c>
      <c r="C69" s="20" t="s">
        <v>31</v>
      </c>
      <c r="D69" s="46">
        <v>272</v>
      </c>
      <c r="E69" s="20" t="s">
        <v>310</v>
      </c>
      <c r="G69" s="39" t="s">
        <v>311</v>
      </c>
    </row>
    <row r="70" spans="1:7" x14ac:dyDescent="0.5">
      <c r="A70" s="44" t="s">
        <v>30</v>
      </c>
      <c r="B70" s="20" t="str">
        <f t="shared" si="2"/>
        <v>LIDE</v>
      </c>
      <c r="C70" s="20" t="s">
        <v>31</v>
      </c>
      <c r="D70" s="46">
        <v>272</v>
      </c>
      <c r="E70" s="20" t="s">
        <v>310</v>
      </c>
      <c r="F70">
        <v>2</v>
      </c>
      <c r="G70" s="39" t="s">
        <v>311</v>
      </c>
    </row>
    <row r="71" spans="1:7" x14ac:dyDescent="0.5">
      <c r="A71" s="44" t="s">
        <v>202</v>
      </c>
      <c r="B71" s="20" t="str">
        <f>LEFT(A71,5)</f>
        <v>PIMO3</v>
      </c>
      <c r="C71" s="20" t="s">
        <v>31</v>
      </c>
      <c r="D71" s="46">
        <v>272</v>
      </c>
      <c r="E71" s="20" t="s">
        <v>310</v>
      </c>
      <c r="G71" s="39" t="s">
        <v>311</v>
      </c>
    </row>
    <row r="72" spans="1:7" x14ac:dyDescent="0.5">
      <c r="A72" s="44" t="s">
        <v>261</v>
      </c>
      <c r="B72" s="20" t="str">
        <f>LEFT(A72,5)</f>
        <v>PIMO3</v>
      </c>
      <c r="C72" s="20" t="s">
        <v>31</v>
      </c>
      <c r="D72" s="46">
        <v>272</v>
      </c>
      <c r="E72" s="20" t="s">
        <v>310</v>
      </c>
      <c r="G72" s="39" t="s">
        <v>311</v>
      </c>
    </row>
    <row r="73" spans="1:7" x14ac:dyDescent="0.5">
      <c r="A73" s="44" t="s">
        <v>100</v>
      </c>
      <c r="B73" s="20" t="str">
        <f t="shared" ref="B73:B109" si="3">LEFT(A73,4)</f>
        <v>PSME</v>
      </c>
      <c r="C73" s="20" t="s">
        <v>31</v>
      </c>
      <c r="D73" s="46">
        <v>530</v>
      </c>
      <c r="E73" s="20" t="s">
        <v>298</v>
      </c>
      <c r="G73" s="39" t="s">
        <v>299</v>
      </c>
    </row>
    <row r="74" spans="1:7" x14ac:dyDescent="0.5">
      <c r="A74" s="44" t="s">
        <v>172</v>
      </c>
      <c r="B74" s="20" t="str">
        <f t="shared" si="3"/>
        <v>PSME</v>
      </c>
      <c r="C74" s="20" t="s">
        <v>31</v>
      </c>
      <c r="D74" s="46">
        <v>264</v>
      </c>
      <c r="E74" s="20" t="s">
        <v>312</v>
      </c>
      <c r="G74" s="39" t="s">
        <v>313</v>
      </c>
    </row>
    <row r="75" spans="1:7" x14ac:dyDescent="0.5">
      <c r="A75" s="44" t="s">
        <v>153</v>
      </c>
      <c r="B75" s="20" t="str">
        <f t="shared" si="3"/>
        <v>ABCO</v>
      </c>
      <c r="C75" s="20" t="s">
        <v>154</v>
      </c>
      <c r="D75" s="46">
        <v>530</v>
      </c>
      <c r="E75" s="20" t="s">
        <v>298</v>
      </c>
      <c r="G75" s="39" t="s">
        <v>299</v>
      </c>
    </row>
    <row r="76" spans="1:7" x14ac:dyDescent="0.5">
      <c r="A76" s="44" t="s">
        <v>234</v>
      </c>
      <c r="B76" s="20" t="str">
        <f t="shared" si="3"/>
        <v>TSHE</v>
      </c>
      <c r="C76" s="20" t="s">
        <v>154</v>
      </c>
      <c r="D76" s="46">
        <v>561</v>
      </c>
      <c r="E76" s="20" t="s">
        <v>302</v>
      </c>
      <c r="G76" s="39" t="s">
        <v>303</v>
      </c>
    </row>
    <row r="77" spans="1:7" x14ac:dyDescent="0.5">
      <c r="A77" s="44" t="s">
        <v>235</v>
      </c>
      <c r="B77" s="20" t="str">
        <f t="shared" si="3"/>
        <v>TSHE</v>
      </c>
      <c r="C77" s="20" t="s">
        <v>154</v>
      </c>
      <c r="D77" s="46">
        <v>561</v>
      </c>
      <c r="E77" s="20" t="s">
        <v>302</v>
      </c>
      <c r="G77" s="39" t="s">
        <v>303</v>
      </c>
    </row>
    <row r="78" spans="1:7" x14ac:dyDescent="0.5">
      <c r="A78" s="44" t="s">
        <v>238</v>
      </c>
      <c r="B78" s="20" t="str">
        <f t="shared" si="3"/>
        <v>TSHE</v>
      </c>
      <c r="C78" s="20" t="s">
        <v>154</v>
      </c>
      <c r="D78" s="46">
        <v>530</v>
      </c>
      <c r="E78" s="20" t="s">
        <v>298</v>
      </c>
      <c r="G78" s="39" t="s">
        <v>299</v>
      </c>
    </row>
    <row r="79" spans="1:7" x14ac:dyDescent="0.5">
      <c r="A79" s="44" t="s">
        <v>203</v>
      </c>
      <c r="B79" s="20" t="str">
        <f t="shared" si="3"/>
        <v>THPL</v>
      </c>
      <c r="C79" s="20" t="s">
        <v>204</v>
      </c>
      <c r="D79" s="46">
        <v>530</v>
      </c>
      <c r="E79" s="20" t="s">
        <v>298</v>
      </c>
      <c r="G79" s="39" t="s">
        <v>299</v>
      </c>
    </row>
    <row r="80" spans="1:7" x14ac:dyDescent="0.5">
      <c r="A80" s="44" t="s">
        <v>209</v>
      </c>
      <c r="B80" s="20" t="str">
        <f t="shared" si="3"/>
        <v>TSHE</v>
      </c>
      <c r="C80" s="20" t="s">
        <v>204</v>
      </c>
      <c r="D80" s="46">
        <v>530</v>
      </c>
      <c r="E80" s="20" t="s">
        <v>298</v>
      </c>
      <c r="G80" s="39" t="s">
        <v>299</v>
      </c>
    </row>
    <row r="81" spans="1:9" x14ac:dyDescent="0.5">
      <c r="A81" s="44" t="s">
        <v>210</v>
      </c>
      <c r="B81" s="20" t="str">
        <f t="shared" si="3"/>
        <v>TSHE</v>
      </c>
      <c r="C81" s="20" t="s">
        <v>204</v>
      </c>
      <c r="D81" s="46">
        <v>530</v>
      </c>
      <c r="E81" s="20" t="s">
        <v>298</v>
      </c>
      <c r="G81" s="39" t="s">
        <v>299</v>
      </c>
    </row>
    <row r="82" spans="1:9" x14ac:dyDescent="0.5">
      <c r="A82" s="44" t="s">
        <v>215</v>
      </c>
      <c r="B82" s="20" t="str">
        <f t="shared" si="3"/>
        <v>TSHE</v>
      </c>
      <c r="C82" s="20" t="s">
        <v>204</v>
      </c>
      <c r="D82" s="46">
        <v>530</v>
      </c>
      <c r="E82" s="20" t="s">
        <v>298</v>
      </c>
      <c r="G82" s="39" t="s">
        <v>299</v>
      </c>
    </row>
    <row r="83" spans="1:9" x14ac:dyDescent="0.5">
      <c r="A83" s="44" t="s">
        <v>216</v>
      </c>
      <c r="B83" s="20" t="str">
        <f t="shared" si="3"/>
        <v>TSHE</v>
      </c>
      <c r="C83" s="20" t="s">
        <v>204</v>
      </c>
      <c r="D83" s="46">
        <v>530</v>
      </c>
      <c r="E83" s="20" t="s">
        <v>298</v>
      </c>
      <c r="G83" s="39" t="s">
        <v>299</v>
      </c>
    </row>
    <row r="84" spans="1:9" x14ac:dyDescent="0.5">
      <c r="A84" s="44" t="s">
        <v>221</v>
      </c>
      <c r="B84" s="20" t="str">
        <f t="shared" si="3"/>
        <v>TSHE</v>
      </c>
      <c r="C84" s="20" t="s">
        <v>204</v>
      </c>
      <c r="D84" s="46">
        <v>447</v>
      </c>
      <c r="E84" s="38" t="s">
        <v>300</v>
      </c>
      <c r="G84" s="39" t="s">
        <v>301</v>
      </c>
    </row>
    <row r="85" spans="1:9" x14ac:dyDescent="0.5">
      <c r="A85" s="44" t="s">
        <v>227</v>
      </c>
      <c r="B85" s="20" t="str">
        <f t="shared" si="3"/>
        <v>TSHE</v>
      </c>
      <c r="C85" s="20" t="s">
        <v>204</v>
      </c>
      <c r="D85" s="46">
        <v>530</v>
      </c>
      <c r="E85" s="20" t="s">
        <v>298</v>
      </c>
      <c r="G85" s="39" t="s">
        <v>299</v>
      </c>
    </row>
    <row r="86" spans="1:9" x14ac:dyDescent="0.5">
      <c r="A86" s="44" t="s">
        <v>229</v>
      </c>
      <c r="B86" s="20" t="str">
        <f t="shared" si="3"/>
        <v>TSHE</v>
      </c>
      <c r="C86" s="20" t="s">
        <v>204</v>
      </c>
      <c r="D86" s="46">
        <v>447</v>
      </c>
      <c r="E86" s="38" t="s">
        <v>300</v>
      </c>
      <c r="G86" s="39" t="s">
        <v>301</v>
      </c>
    </row>
    <row r="87" spans="1:9" x14ac:dyDescent="0.5">
      <c r="A87" s="44" t="s">
        <v>237</v>
      </c>
      <c r="B87" s="20" t="str">
        <f t="shared" si="3"/>
        <v>TSHE</v>
      </c>
      <c r="C87" s="20" t="s">
        <v>204</v>
      </c>
      <c r="D87" s="46">
        <v>561</v>
      </c>
      <c r="E87" s="20" t="s">
        <v>302</v>
      </c>
      <c r="G87" s="39" t="s">
        <v>303</v>
      </c>
    </row>
    <row r="88" spans="1:9" x14ac:dyDescent="0.5">
      <c r="A88" s="44" t="s">
        <v>239</v>
      </c>
      <c r="B88" s="20" t="str">
        <f t="shared" si="3"/>
        <v>TSHE</v>
      </c>
      <c r="C88" s="20" t="s">
        <v>204</v>
      </c>
      <c r="D88" s="46">
        <v>530</v>
      </c>
      <c r="E88" s="20" t="s">
        <v>298</v>
      </c>
      <c r="G88" s="39" t="s">
        <v>299</v>
      </c>
    </row>
    <row r="89" spans="1:9" x14ac:dyDescent="0.5">
      <c r="A89" s="44" t="s">
        <v>240</v>
      </c>
      <c r="B89" s="20" t="str">
        <f t="shared" si="3"/>
        <v>TSHE</v>
      </c>
      <c r="C89" s="20" t="s">
        <v>204</v>
      </c>
      <c r="D89" s="46">
        <v>530</v>
      </c>
      <c r="E89" s="20" t="s">
        <v>298</v>
      </c>
      <c r="G89" s="39" t="s">
        <v>299</v>
      </c>
    </row>
    <row r="90" spans="1:9" x14ac:dyDescent="0.5">
      <c r="A90" s="44" t="s">
        <v>46</v>
      </c>
      <c r="B90" s="20" t="str">
        <f t="shared" si="3"/>
        <v>CHLA</v>
      </c>
      <c r="C90" s="20" t="s">
        <v>41</v>
      </c>
      <c r="D90" s="46">
        <v>530</v>
      </c>
      <c r="E90" s="20" t="s">
        <v>298</v>
      </c>
      <c r="F90">
        <v>2</v>
      </c>
      <c r="G90" s="39" t="s">
        <v>299</v>
      </c>
    </row>
    <row r="91" spans="1:9" x14ac:dyDescent="0.5">
      <c r="A91" s="44" t="s">
        <v>49</v>
      </c>
      <c r="B91" s="20" t="str">
        <f t="shared" si="3"/>
        <v>CHLA</v>
      </c>
      <c r="C91" s="20" t="s">
        <v>41</v>
      </c>
      <c r="D91" s="46">
        <v>530</v>
      </c>
      <c r="E91" s="20" t="s">
        <v>298</v>
      </c>
      <c r="G91" s="39" t="s">
        <v>299</v>
      </c>
    </row>
    <row r="92" spans="1:9" x14ac:dyDescent="0.5">
      <c r="A92" s="44" t="s">
        <v>50</v>
      </c>
      <c r="B92" s="20" t="str">
        <f t="shared" si="3"/>
        <v>CHLA</v>
      </c>
      <c r="C92" s="20" t="s">
        <v>41</v>
      </c>
      <c r="D92" s="46">
        <v>530</v>
      </c>
      <c r="E92" s="20" t="s">
        <v>298</v>
      </c>
      <c r="G92" s="39" t="s">
        <v>299</v>
      </c>
    </row>
    <row r="93" spans="1:9" x14ac:dyDescent="0.5">
      <c r="A93" s="44" t="s">
        <v>53</v>
      </c>
      <c r="B93" s="20" t="str">
        <f t="shared" si="3"/>
        <v>CHLA</v>
      </c>
      <c r="C93" s="20" t="s">
        <v>41</v>
      </c>
      <c r="D93" s="46">
        <v>530</v>
      </c>
      <c r="E93" s="20" t="s">
        <v>298</v>
      </c>
      <c r="G93" s="39" t="s">
        <v>299</v>
      </c>
    </row>
    <row r="94" spans="1:9" s="43" customFormat="1" x14ac:dyDescent="0.5">
      <c r="A94" s="44" t="s">
        <v>54</v>
      </c>
      <c r="B94" s="20" t="str">
        <f t="shared" si="3"/>
        <v>CHLA</v>
      </c>
      <c r="C94" s="20" t="s">
        <v>41</v>
      </c>
      <c r="D94" s="46">
        <v>530</v>
      </c>
      <c r="E94" s="20" t="s">
        <v>298</v>
      </c>
      <c r="F94"/>
      <c r="G94" s="39" t="s">
        <v>299</v>
      </c>
      <c r="H94"/>
      <c r="I94"/>
    </row>
    <row r="95" spans="1:9" x14ac:dyDescent="0.5">
      <c r="A95" s="44" t="s">
        <v>62</v>
      </c>
      <c r="B95" s="20" t="str">
        <f t="shared" si="3"/>
        <v>TSHE</v>
      </c>
      <c r="C95" s="20" t="s">
        <v>41</v>
      </c>
      <c r="D95" s="46">
        <v>530</v>
      </c>
      <c r="E95" s="20" t="s">
        <v>298</v>
      </c>
      <c r="G95" s="39" t="s">
        <v>299</v>
      </c>
    </row>
    <row r="96" spans="1:9" x14ac:dyDescent="0.5">
      <c r="A96" s="44" t="s">
        <v>66</v>
      </c>
      <c r="B96" s="20" t="str">
        <f t="shared" si="3"/>
        <v>TSHE</v>
      </c>
      <c r="C96" s="20" t="s">
        <v>41</v>
      </c>
      <c r="D96" s="46">
        <v>530</v>
      </c>
      <c r="E96" s="20" t="s">
        <v>298</v>
      </c>
      <c r="G96" s="39" t="s">
        <v>299</v>
      </c>
    </row>
    <row r="97" spans="1:7" x14ac:dyDescent="0.5">
      <c r="A97" s="44" t="s">
        <v>71</v>
      </c>
      <c r="B97" s="20" t="str">
        <f t="shared" si="3"/>
        <v>TSHE</v>
      </c>
      <c r="C97" s="20" t="s">
        <v>41</v>
      </c>
      <c r="D97" s="46">
        <v>530</v>
      </c>
      <c r="E97" s="20" t="s">
        <v>298</v>
      </c>
      <c r="G97" s="39" t="s">
        <v>299</v>
      </c>
    </row>
    <row r="98" spans="1:7" x14ac:dyDescent="0.5">
      <c r="A98" s="44" t="s">
        <v>40</v>
      </c>
      <c r="B98" s="20" t="str">
        <f t="shared" si="3"/>
        <v>TSHE</v>
      </c>
      <c r="C98" s="20" t="s">
        <v>41</v>
      </c>
      <c r="D98" s="46">
        <v>530</v>
      </c>
      <c r="E98" s="20" t="s">
        <v>298</v>
      </c>
      <c r="G98" s="39" t="s">
        <v>299</v>
      </c>
    </row>
    <row r="99" spans="1:7" x14ac:dyDescent="0.5">
      <c r="A99" s="44" t="s">
        <v>42</v>
      </c>
      <c r="B99" s="20" t="str">
        <f t="shared" si="3"/>
        <v>TSHE</v>
      </c>
      <c r="C99" s="20" t="s">
        <v>41</v>
      </c>
      <c r="D99" s="46">
        <v>530</v>
      </c>
      <c r="E99" s="20" t="s">
        <v>298</v>
      </c>
      <c r="G99" s="39" t="s">
        <v>299</v>
      </c>
    </row>
    <row r="100" spans="1:7" x14ac:dyDescent="0.5">
      <c r="A100" s="44" t="s">
        <v>120</v>
      </c>
      <c r="B100" s="20" t="str">
        <f t="shared" si="3"/>
        <v>ABCO</v>
      </c>
      <c r="C100" s="20" t="s">
        <v>117</v>
      </c>
      <c r="D100" s="46">
        <v>530</v>
      </c>
      <c r="E100" s="38" t="s">
        <v>298</v>
      </c>
      <c r="G100" s="39" t="s">
        <v>299</v>
      </c>
    </row>
    <row r="101" spans="1:7" x14ac:dyDescent="0.5">
      <c r="A101" s="44" t="s">
        <v>130</v>
      </c>
      <c r="B101" s="20" t="str">
        <f t="shared" si="3"/>
        <v>ABCO</v>
      </c>
      <c r="C101" s="20" t="s">
        <v>117</v>
      </c>
      <c r="D101" s="46">
        <v>561</v>
      </c>
      <c r="E101" s="38" t="s">
        <v>302</v>
      </c>
      <c r="G101" s="39" t="s">
        <v>303</v>
      </c>
    </row>
    <row r="102" spans="1:7" x14ac:dyDescent="0.5">
      <c r="A102" s="44" t="s">
        <v>131</v>
      </c>
      <c r="B102" s="20" t="str">
        <f t="shared" si="3"/>
        <v>ABCO</v>
      </c>
      <c r="C102" s="20" t="s">
        <v>117</v>
      </c>
      <c r="D102" s="46">
        <v>561</v>
      </c>
      <c r="E102" s="38" t="s">
        <v>302</v>
      </c>
      <c r="G102" s="39" t="s">
        <v>303</v>
      </c>
    </row>
    <row r="103" spans="1:7" x14ac:dyDescent="0.5">
      <c r="A103" s="44" t="s">
        <v>132</v>
      </c>
      <c r="B103" s="20" t="str">
        <f t="shared" si="3"/>
        <v>ABCO</v>
      </c>
      <c r="C103" s="20" t="s">
        <v>117</v>
      </c>
      <c r="D103" s="46">
        <v>561</v>
      </c>
      <c r="E103" s="38" t="s">
        <v>302</v>
      </c>
      <c r="G103" s="39" t="s">
        <v>303</v>
      </c>
    </row>
    <row r="104" spans="1:7" x14ac:dyDescent="0.5">
      <c r="A104" s="44" t="s">
        <v>134</v>
      </c>
      <c r="B104" s="20" t="str">
        <f t="shared" si="3"/>
        <v>ABCO</v>
      </c>
      <c r="C104" s="20" t="s">
        <v>117</v>
      </c>
      <c r="D104" s="46">
        <v>530</v>
      </c>
      <c r="E104" s="38" t="s">
        <v>298</v>
      </c>
      <c r="G104" s="39" t="s">
        <v>299</v>
      </c>
    </row>
    <row r="105" spans="1:7" x14ac:dyDescent="0.5">
      <c r="A105" s="44" t="s">
        <v>138</v>
      </c>
      <c r="B105" s="20" t="str">
        <f t="shared" si="3"/>
        <v>ABCO</v>
      </c>
      <c r="C105" s="20" t="s">
        <v>117</v>
      </c>
      <c r="D105" s="46">
        <v>530</v>
      </c>
      <c r="E105" s="38" t="s">
        <v>298</v>
      </c>
      <c r="G105" s="39" t="s">
        <v>299</v>
      </c>
    </row>
    <row r="106" spans="1:7" x14ac:dyDescent="0.5">
      <c r="A106" s="44" t="s">
        <v>139</v>
      </c>
      <c r="B106" s="20" t="str">
        <f t="shared" si="3"/>
        <v>ABCO</v>
      </c>
      <c r="C106" s="20" t="s">
        <v>117</v>
      </c>
      <c r="D106" s="46">
        <v>530</v>
      </c>
      <c r="E106" s="38" t="s">
        <v>298</v>
      </c>
      <c r="F106">
        <v>1</v>
      </c>
      <c r="G106" s="39" t="s">
        <v>299</v>
      </c>
    </row>
    <row r="107" spans="1:7" x14ac:dyDescent="0.5">
      <c r="A107" s="44" t="s">
        <v>140</v>
      </c>
      <c r="B107" s="20" t="str">
        <f t="shared" si="3"/>
        <v>ABCO</v>
      </c>
      <c r="C107" s="20" t="s">
        <v>117</v>
      </c>
      <c r="D107" s="46">
        <v>530</v>
      </c>
      <c r="E107" s="38" t="s">
        <v>298</v>
      </c>
      <c r="G107" s="39" t="s">
        <v>299</v>
      </c>
    </row>
    <row r="108" spans="1:7" x14ac:dyDescent="0.5">
      <c r="A108" s="44" t="s">
        <v>145</v>
      </c>
      <c r="B108" s="20" t="str">
        <f t="shared" si="3"/>
        <v>ABCO</v>
      </c>
      <c r="C108" s="20" t="s">
        <v>117</v>
      </c>
      <c r="D108" s="46">
        <v>561</v>
      </c>
      <c r="E108" s="38" t="s">
        <v>302</v>
      </c>
      <c r="G108" s="39" t="s">
        <v>303</v>
      </c>
    </row>
    <row r="109" spans="1:7" x14ac:dyDescent="0.5">
      <c r="A109" s="44" t="s">
        <v>146</v>
      </c>
      <c r="B109" s="20" t="str">
        <f t="shared" si="3"/>
        <v>ABCO</v>
      </c>
      <c r="C109" s="20" t="s">
        <v>117</v>
      </c>
      <c r="D109" s="46">
        <v>561</v>
      </c>
      <c r="E109" s="38" t="s">
        <v>302</v>
      </c>
      <c r="G109" s="39" t="s">
        <v>303</v>
      </c>
    </row>
    <row r="110" spans="1:7" x14ac:dyDescent="0.5">
      <c r="A110" s="44" t="s">
        <v>189</v>
      </c>
      <c r="B110" s="20" t="str">
        <f>LEFT(A110,5)</f>
        <v>ABMAS</v>
      </c>
      <c r="C110" s="20" t="s">
        <v>117</v>
      </c>
      <c r="D110" s="46">
        <v>450</v>
      </c>
      <c r="E110" s="38" t="s">
        <v>308</v>
      </c>
      <c r="G110" s="39" t="s">
        <v>301</v>
      </c>
    </row>
    <row r="111" spans="1:7" x14ac:dyDescent="0.5">
      <c r="A111" s="44" t="s">
        <v>193</v>
      </c>
      <c r="B111" s="20" t="str">
        <f>LEFT(A111,5)</f>
        <v>ABMAS</v>
      </c>
      <c r="C111" s="20" t="s">
        <v>117</v>
      </c>
      <c r="D111" s="46">
        <v>530</v>
      </c>
      <c r="E111" s="38" t="s">
        <v>298</v>
      </c>
      <c r="G111" s="39" t="s">
        <v>299</v>
      </c>
    </row>
    <row r="112" spans="1:7" x14ac:dyDescent="0.5">
      <c r="A112" s="44" t="s">
        <v>194</v>
      </c>
      <c r="B112" s="20" t="str">
        <f>LEFT(A112,5)</f>
        <v>ABMAS</v>
      </c>
      <c r="C112" s="20" t="s">
        <v>117</v>
      </c>
      <c r="D112" s="46">
        <v>576</v>
      </c>
      <c r="E112" s="38" t="s">
        <v>309</v>
      </c>
      <c r="G112" s="39" t="s">
        <v>307</v>
      </c>
    </row>
    <row r="113" spans="1:9" x14ac:dyDescent="0.5">
      <c r="A113" s="44" t="s">
        <v>195</v>
      </c>
      <c r="B113" s="20" t="str">
        <f>LEFT(A113,5)</f>
        <v>ABMAS</v>
      </c>
      <c r="C113" s="20" t="s">
        <v>117</v>
      </c>
      <c r="D113" s="46">
        <v>530</v>
      </c>
      <c r="E113" s="38" t="s">
        <v>298</v>
      </c>
      <c r="G113" s="39" t="s">
        <v>299</v>
      </c>
    </row>
    <row r="114" spans="1:9" x14ac:dyDescent="0.5">
      <c r="A114" s="44" t="s">
        <v>121</v>
      </c>
      <c r="B114" s="20" t="str">
        <f t="shared" ref="B114:B123" si="4">LEFT(A114,4)</f>
        <v>ABCO</v>
      </c>
      <c r="C114" s="20" t="s">
        <v>106</v>
      </c>
      <c r="D114" s="46">
        <v>561</v>
      </c>
      <c r="E114" s="20" t="s">
        <v>302</v>
      </c>
      <c r="G114" s="39" t="s">
        <v>303</v>
      </c>
    </row>
    <row r="115" spans="1:9" x14ac:dyDescent="0.5">
      <c r="A115" s="44" t="s">
        <v>122</v>
      </c>
      <c r="B115" s="20" t="str">
        <f t="shared" si="4"/>
        <v>ABCO</v>
      </c>
      <c r="C115" s="20" t="s">
        <v>106</v>
      </c>
      <c r="D115" s="46">
        <v>530</v>
      </c>
      <c r="E115" s="20" t="s">
        <v>298</v>
      </c>
      <c r="F115">
        <v>2</v>
      </c>
      <c r="G115" s="39" t="s">
        <v>299</v>
      </c>
    </row>
    <row r="116" spans="1:9" x14ac:dyDescent="0.5">
      <c r="A116" s="44" t="s">
        <v>123</v>
      </c>
      <c r="B116" s="20" t="str">
        <f t="shared" si="4"/>
        <v>ABCO</v>
      </c>
      <c r="C116" s="20" t="s">
        <v>106</v>
      </c>
      <c r="D116" s="46">
        <v>447</v>
      </c>
      <c r="E116" s="20" t="s">
        <v>304</v>
      </c>
      <c r="G116" s="39" t="s">
        <v>301</v>
      </c>
    </row>
    <row r="117" spans="1:9" x14ac:dyDescent="0.5">
      <c r="A117" s="44" t="s">
        <v>124</v>
      </c>
      <c r="B117" s="20" t="str">
        <f t="shared" si="4"/>
        <v>ABCO</v>
      </c>
      <c r="C117" s="20" t="s">
        <v>106</v>
      </c>
      <c r="D117" s="46">
        <v>530</v>
      </c>
      <c r="E117" s="20" t="s">
        <v>298</v>
      </c>
      <c r="G117" s="39" t="s">
        <v>299</v>
      </c>
    </row>
    <row r="118" spans="1:9" x14ac:dyDescent="0.5">
      <c r="A118" s="44" t="s">
        <v>133</v>
      </c>
      <c r="B118" s="20" t="str">
        <f t="shared" si="4"/>
        <v>ABCO</v>
      </c>
      <c r="C118" s="20" t="s">
        <v>106</v>
      </c>
      <c r="D118" s="46">
        <v>365</v>
      </c>
      <c r="E118" s="20" t="s">
        <v>305</v>
      </c>
      <c r="G118" s="39" t="s">
        <v>306</v>
      </c>
    </row>
    <row r="119" spans="1:9" x14ac:dyDescent="0.5">
      <c r="A119" s="44" t="s">
        <v>143</v>
      </c>
      <c r="B119" s="20" t="str">
        <f t="shared" si="4"/>
        <v>ABCO</v>
      </c>
      <c r="C119" s="20" t="s">
        <v>106</v>
      </c>
      <c r="D119" s="46">
        <v>561</v>
      </c>
      <c r="E119" s="20" t="s">
        <v>302</v>
      </c>
      <c r="G119" s="39" t="s">
        <v>307</v>
      </c>
    </row>
    <row r="120" spans="1:9" x14ac:dyDescent="0.5">
      <c r="A120" s="44" t="s">
        <v>151</v>
      </c>
      <c r="B120" s="20" t="str">
        <f t="shared" si="4"/>
        <v>ABCO</v>
      </c>
      <c r="C120" s="20" t="s">
        <v>106</v>
      </c>
      <c r="D120" s="46">
        <v>365</v>
      </c>
      <c r="E120" s="20" t="s">
        <v>305</v>
      </c>
      <c r="F120">
        <v>3</v>
      </c>
      <c r="G120" s="39" t="s">
        <v>306</v>
      </c>
    </row>
    <row r="121" spans="1:9" x14ac:dyDescent="0.5">
      <c r="A121" s="44" t="s">
        <v>105</v>
      </c>
      <c r="B121" s="20" t="str">
        <f t="shared" si="4"/>
        <v>PSME</v>
      </c>
      <c r="C121" s="20" t="s">
        <v>106</v>
      </c>
      <c r="D121" s="46">
        <v>530</v>
      </c>
      <c r="E121" s="20" t="s">
        <v>298</v>
      </c>
      <c r="F121">
        <v>72</v>
      </c>
      <c r="G121" s="39" t="s">
        <v>299</v>
      </c>
    </row>
    <row r="122" spans="1:9" x14ac:dyDescent="0.5">
      <c r="A122" s="44" t="s">
        <v>107</v>
      </c>
      <c r="B122" s="20" t="str">
        <f t="shared" si="4"/>
        <v>PSME</v>
      </c>
      <c r="C122" s="20" t="s">
        <v>106</v>
      </c>
      <c r="D122" s="46">
        <v>365</v>
      </c>
      <c r="E122" s="20" t="s">
        <v>305</v>
      </c>
      <c r="G122" s="39" t="s">
        <v>306</v>
      </c>
    </row>
    <row r="123" spans="1:9" s="42" customFormat="1" x14ac:dyDescent="0.5">
      <c r="A123" s="44" t="s">
        <v>128</v>
      </c>
      <c r="B123" s="20" t="str">
        <f t="shared" si="4"/>
        <v>ABCO</v>
      </c>
      <c r="C123" s="20" t="s">
        <v>129</v>
      </c>
      <c r="D123" s="46">
        <v>561</v>
      </c>
      <c r="E123" s="20" t="s">
        <v>302</v>
      </c>
      <c r="F123"/>
      <c r="G123" s="39" t="s">
        <v>303</v>
      </c>
      <c r="H123"/>
      <c r="I123"/>
    </row>
  </sheetData>
  <autoFilter ref="A1:G143" xr:uid="{00000000-0001-0000-0700-000000000000}">
    <sortState xmlns:xlrd2="http://schemas.microsoft.com/office/spreadsheetml/2017/richdata2" ref="A2:G124">
      <sortCondition ref="C1:C143"/>
    </sortState>
  </autoFilter>
  <sortState xmlns:xlrd2="http://schemas.microsoft.com/office/spreadsheetml/2017/richdata2" ref="A2:H124">
    <sortCondition ref="H2:H12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52E6-F13D-4BF5-8482-B56D21D24A2E}">
  <dimension ref="A1:L20"/>
  <sheetViews>
    <sheetView workbookViewId="0">
      <selection activeCell="A28" sqref="A28"/>
    </sheetView>
  </sheetViews>
  <sheetFormatPr defaultRowHeight="14.35" x14ac:dyDescent="0.5"/>
  <cols>
    <col min="1" max="1" width="25.41015625" bestFit="1" customWidth="1"/>
    <col min="2" max="2" width="34.1171875" bestFit="1" customWidth="1"/>
    <col min="3" max="3" width="8.1171875" bestFit="1" customWidth="1"/>
    <col min="4" max="4" width="5.41015625" bestFit="1" customWidth="1"/>
    <col min="5" max="5" width="4.5859375" bestFit="1" customWidth="1"/>
    <col min="6" max="6" width="5" bestFit="1" customWidth="1"/>
    <col min="7" max="7" width="7.29296875" bestFit="1" customWidth="1"/>
    <col min="8" max="8" width="5.41015625" bestFit="1" customWidth="1"/>
    <col min="9" max="9" width="6.29296875" bestFit="1" customWidth="1"/>
    <col min="10" max="10" width="6.703125" bestFit="1" customWidth="1"/>
    <col min="11" max="11" width="7.41015625" bestFit="1" customWidth="1"/>
    <col min="12" max="13" width="11.703125" bestFit="1" customWidth="1"/>
    <col min="14" max="14" width="7.41015625" bestFit="1" customWidth="1"/>
    <col min="15" max="15" width="7.87890625" bestFit="1" customWidth="1"/>
    <col min="16" max="16" width="7.29296875" bestFit="1" customWidth="1"/>
    <col min="17" max="17" width="11.703125" bestFit="1" customWidth="1"/>
    <col min="18" max="18" width="18.87890625" bestFit="1" customWidth="1"/>
    <col min="19" max="19" width="12.5859375" bestFit="1" customWidth="1"/>
    <col min="20" max="20" width="20.703125" bestFit="1" customWidth="1"/>
    <col min="21" max="21" width="21.1171875" bestFit="1" customWidth="1"/>
    <col min="22" max="22" width="12.5859375" bestFit="1" customWidth="1"/>
    <col min="23" max="23" width="11.41015625" bestFit="1" customWidth="1"/>
    <col min="24" max="24" width="19" bestFit="1" customWidth="1"/>
    <col min="25" max="25" width="18.87890625" bestFit="1" customWidth="1"/>
    <col min="26" max="26" width="18.41015625" bestFit="1" customWidth="1"/>
    <col min="27" max="27" width="19.41015625" bestFit="1" customWidth="1"/>
    <col min="28" max="28" width="27.703125" bestFit="1" customWidth="1"/>
    <col min="29" max="29" width="21" bestFit="1" customWidth="1"/>
    <col min="30" max="30" width="26.5859375" bestFit="1" customWidth="1"/>
    <col min="31" max="31" width="26.41015625" bestFit="1" customWidth="1"/>
    <col min="32" max="32" width="20.703125" bestFit="1" customWidth="1"/>
    <col min="33" max="33" width="18.703125" bestFit="1" customWidth="1"/>
    <col min="34" max="34" width="18.87890625" bestFit="1" customWidth="1"/>
    <col min="35" max="35" width="23.87890625" bestFit="1" customWidth="1"/>
    <col min="36" max="36" width="18.41015625" bestFit="1" customWidth="1"/>
    <col min="37" max="37" width="17" bestFit="1" customWidth="1"/>
    <col min="38" max="38" width="23.87890625" bestFit="1" customWidth="1"/>
    <col min="39" max="39" width="18.29296875" bestFit="1" customWidth="1"/>
    <col min="40" max="40" width="24.1171875" bestFit="1" customWidth="1"/>
    <col min="41" max="41" width="24.41015625" bestFit="1" customWidth="1"/>
    <col min="42" max="42" width="17" bestFit="1" customWidth="1"/>
    <col min="43" max="43" width="18.29296875" bestFit="1" customWidth="1"/>
    <col min="44" max="44" width="18.87890625" bestFit="1" customWidth="1"/>
    <col min="45" max="45" width="12" bestFit="1" customWidth="1"/>
    <col min="46" max="46" width="12.87890625" bestFit="1" customWidth="1"/>
    <col min="47" max="47" width="19.5859375" bestFit="1" customWidth="1"/>
    <col min="48" max="48" width="11.87890625" bestFit="1" customWidth="1"/>
    <col min="49" max="49" width="18.87890625" bestFit="1" customWidth="1"/>
    <col min="50" max="50" width="19.87890625" bestFit="1" customWidth="1"/>
    <col min="51" max="51" width="11.5859375" bestFit="1" customWidth="1"/>
    <col min="52" max="52" width="12.703125" bestFit="1" customWidth="1"/>
    <col min="53" max="53" width="12" bestFit="1" customWidth="1"/>
    <col min="54" max="54" width="7.87890625" bestFit="1" customWidth="1"/>
    <col min="55" max="56" width="13.87890625" bestFit="1" customWidth="1"/>
    <col min="57" max="57" width="26.1171875" bestFit="1" customWidth="1"/>
    <col min="58" max="58" width="14.41015625" bestFit="1" customWidth="1"/>
    <col min="59" max="59" width="13.5859375" bestFit="1" customWidth="1"/>
    <col min="60" max="60" width="14.703125" bestFit="1" customWidth="1"/>
    <col min="61" max="61" width="13.87890625" bestFit="1" customWidth="1"/>
    <col min="62" max="62" width="19.703125" bestFit="1" customWidth="1"/>
    <col min="63" max="63" width="20.5859375" bestFit="1" customWidth="1"/>
    <col min="64" max="64" width="21.1171875" bestFit="1" customWidth="1"/>
    <col min="65" max="65" width="27.703125" bestFit="1" customWidth="1"/>
    <col min="66" max="66" width="28" bestFit="1" customWidth="1"/>
    <col min="67" max="67" width="26.5859375" bestFit="1" customWidth="1"/>
    <col min="68" max="68" width="25.29296875" bestFit="1" customWidth="1"/>
    <col min="69" max="69" width="27.1171875" bestFit="1" customWidth="1"/>
    <col min="70" max="70" width="25.87890625" bestFit="1" customWidth="1"/>
    <col min="71" max="71" width="25.29296875" bestFit="1" customWidth="1"/>
    <col min="72" max="72" width="26.5859375" bestFit="1" customWidth="1"/>
    <col min="73" max="73" width="27.41015625" bestFit="1" customWidth="1"/>
    <col min="74" max="74" width="18.87890625" bestFit="1" customWidth="1"/>
    <col min="75" max="75" width="17.703125" bestFit="1" customWidth="1"/>
    <col min="76" max="76" width="19.5859375" bestFit="1" customWidth="1"/>
    <col min="77" max="77" width="11.87890625" bestFit="1" customWidth="1"/>
    <col min="78" max="78" width="13.29296875" bestFit="1" customWidth="1"/>
    <col min="79" max="79" width="22.1171875" bestFit="1" customWidth="1"/>
    <col min="80" max="80" width="18.5859375" bestFit="1" customWidth="1"/>
    <col min="81" max="81" width="17.703125" bestFit="1" customWidth="1"/>
    <col min="82" max="82" width="19.29296875" bestFit="1" customWidth="1"/>
    <col min="83" max="83" width="16.5859375" bestFit="1" customWidth="1"/>
    <col min="84" max="84" width="18" bestFit="1" customWidth="1"/>
    <col min="85" max="85" width="19.87890625" bestFit="1" customWidth="1"/>
    <col min="86" max="86" width="11.703125" bestFit="1" customWidth="1"/>
    <col min="87" max="87" width="12" bestFit="1" customWidth="1"/>
    <col min="88" max="88" width="16.5859375" bestFit="1" customWidth="1"/>
    <col min="89" max="89" width="27.1171875" bestFit="1" customWidth="1"/>
    <col min="90" max="90" width="18.87890625" bestFit="1" customWidth="1"/>
    <col min="91" max="91" width="27.87890625" bestFit="1" customWidth="1"/>
    <col min="92" max="92" width="26.1171875" bestFit="1" customWidth="1"/>
    <col min="93" max="93" width="17.5859375" bestFit="1" customWidth="1"/>
    <col min="94" max="94" width="24.29296875" bestFit="1" customWidth="1"/>
    <col min="95" max="95" width="17.703125" bestFit="1" customWidth="1"/>
    <col min="96" max="96" width="19" bestFit="1" customWidth="1"/>
    <col min="97" max="97" width="24.87890625" bestFit="1" customWidth="1"/>
    <col min="98" max="98" width="24.703125" bestFit="1" customWidth="1"/>
    <col min="99" max="99" width="25.87890625" bestFit="1" customWidth="1"/>
    <col min="100" max="100" width="25.29296875" bestFit="1" customWidth="1"/>
    <col min="101" max="101" width="26" bestFit="1" customWidth="1"/>
    <col min="102" max="102" width="26.1171875" bestFit="1" customWidth="1"/>
    <col min="103" max="103" width="26" bestFit="1" customWidth="1"/>
    <col min="104" max="104" width="18" bestFit="1" customWidth="1"/>
    <col min="105" max="105" width="25.87890625" bestFit="1" customWidth="1"/>
    <col min="106" max="106" width="29.41015625" bestFit="1" customWidth="1"/>
    <col min="107" max="107" width="25.1171875" bestFit="1" customWidth="1"/>
    <col min="108" max="108" width="33.29296875" bestFit="1" customWidth="1"/>
    <col min="109" max="109" width="11.29296875" bestFit="1" customWidth="1"/>
    <col min="110" max="110" width="22.87890625" bestFit="1" customWidth="1"/>
    <col min="111" max="111" width="17.41015625" bestFit="1" customWidth="1"/>
    <col min="112" max="112" width="16.29296875" bestFit="1" customWidth="1"/>
    <col min="113" max="113" width="17" bestFit="1" customWidth="1"/>
    <col min="114" max="114" width="20.703125" bestFit="1" customWidth="1"/>
    <col min="115" max="115" width="15.703125" bestFit="1" customWidth="1"/>
    <col min="116" max="116" width="15.29296875" bestFit="1" customWidth="1"/>
    <col min="117" max="117" width="9.41015625" bestFit="1" customWidth="1"/>
    <col min="118" max="118" width="16.703125" bestFit="1" customWidth="1"/>
    <col min="119" max="119" width="24" bestFit="1" customWidth="1"/>
    <col min="120" max="121" width="18.87890625" bestFit="1" customWidth="1"/>
    <col min="122" max="122" width="18.29296875" bestFit="1" customWidth="1"/>
    <col min="123" max="123" width="12.5859375" bestFit="1" customWidth="1"/>
    <col min="124" max="124" width="24.87890625" bestFit="1" customWidth="1"/>
    <col min="125" max="125" width="26.1171875" bestFit="1" customWidth="1"/>
    <col min="126" max="126" width="23.41015625" bestFit="1" customWidth="1"/>
    <col min="127" max="127" width="25.29296875" bestFit="1" customWidth="1"/>
    <col min="128" max="128" width="22.1171875" bestFit="1" customWidth="1"/>
    <col min="129" max="129" width="24.29296875" bestFit="1" customWidth="1"/>
    <col min="130" max="130" width="21.87890625" bestFit="1" customWidth="1"/>
    <col min="131" max="131" width="27.5859375" bestFit="1" customWidth="1"/>
    <col min="132" max="133" width="11.1171875" bestFit="1" customWidth="1"/>
    <col min="134" max="134" width="18" bestFit="1" customWidth="1"/>
    <col min="135" max="135" width="17.41015625" bestFit="1" customWidth="1"/>
    <col min="136" max="136" width="20" bestFit="1" customWidth="1"/>
    <col min="137" max="137" width="11.5859375" bestFit="1" customWidth="1"/>
    <col min="138" max="138" width="26.87890625" bestFit="1" customWidth="1"/>
    <col min="139" max="139" width="17.703125" bestFit="1" customWidth="1"/>
    <col min="140" max="140" width="18.87890625" bestFit="1" customWidth="1"/>
    <col min="141" max="141" width="19.87890625" bestFit="1" customWidth="1"/>
    <col min="142" max="142" width="24.87890625" bestFit="1" customWidth="1"/>
    <col min="143" max="143" width="19.5859375" bestFit="1" customWidth="1"/>
    <col min="144" max="144" width="19.29296875" bestFit="1" customWidth="1"/>
    <col min="145" max="145" width="14" bestFit="1" customWidth="1"/>
    <col min="146" max="146" width="19.87890625" bestFit="1" customWidth="1"/>
    <col min="147" max="147" width="12.5859375" bestFit="1" customWidth="1"/>
    <col min="148" max="148" width="23.87890625" bestFit="1" customWidth="1"/>
    <col min="149" max="149" width="20.29296875" bestFit="1" customWidth="1"/>
    <col min="150" max="150" width="21.29296875" bestFit="1" customWidth="1"/>
    <col min="151" max="151" width="19" bestFit="1" customWidth="1"/>
    <col min="152" max="152" width="11.5859375" bestFit="1" customWidth="1"/>
    <col min="153" max="153" width="12" bestFit="1" customWidth="1"/>
    <col min="154" max="154" width="17.87890625" bestFit="1" customWidth="1"/>
    <col min="155" max="155" width="18.5859375" bestFit="1" customWidth="1"/>
    <col min="156" max="156" width="19.87890625" bestFit="1" customWidth="1"/>
    <col min="157" max="157" width="14" bestFit="1" customWidth="1"/>
    <col min="158" max="158" width="20.1171875" bestFit="1" customWidth="1"/>
    <col min="159" max="159" width="18.29296875" bestFit="1" customWidth="1"/>
    <col min="160" max="160" width="18" bestFit="1" customWidth="1"/>
    <col min="161" max="161" width="20.29296875" bestFit="1" customWidth="1"/>
    <col min="162" max="162" width="20.1171875" bestFit="1" customWidth="1"/>
    <col min="163" max="163" width="19.1171875" bestFit="1" customWidth="1"/>
    <col min="164" max="164" width="18.703125" bestFit="1" customWidth="1"/>
    <col min="165" max="165" width="19.41015625" bestFit="1" customWidth="1"/>
    <col min="166" max="166" width="13.29296875" bestFit="1" customWidth="1"/>
    <col min="167" max="167" width="20.29296875" bestFit="1" customWidth="1"/>
    <col min="168" max="168" width="19.41015625" bestFit="1" customWidth="1"/>
    <col min="169" max="169" width="28.87890625" bestFit="1" customWidth="1"/>
    <col min="170" max="170" width="29" bestFit="1" customWidth="1"/>
    <col min="171" max="171" width="34.87890625" bestFit="1" customWidth="1"/>
    <col min="172" max="172" width="21.87890625" bestFit="1" customWidth="1"/>
    <col min="173" max="173" width="18.41015625" bestFit="1" customWidth="1"/>
    <col min="174" max="174" width="27" bestFit="1" customWidth="1"/>
    <col min="175" max="175" width="17.87890625" bestFit="1" customWidth="1"/>
    <col min="176" max="176" width="18.1171875" bestFit="1" customWidth="1"/>
    <col min="177" max="177" width="17" bestFit="1" customWidth="1"/>
    <col min="178" max="178" width="23.87890625" bestFit="1" customWidth="1"/>
    <col min="179" max="179" width="23.41015625" bestFit="1" customWidth="1"/>
    <col min="180" max="180" width="18.41015625" bestFit="1" customWidth="1"/>
    <col min="181" max="181" width="26.1171875" bestFit="1" customWidth="1"/>
    <col min="182" max="182" width="22.87890625" bestFit="1" customWidth="1"/>
    <col min="183" max="183" width="15.87890625" bestFit="1" customWidth="1"/>
    <col min="184" max="184" width="24.5859375" bestFit="1" customWidth="1"/>
    <col min="185" max="185" width="31" bestFit="1" customWidth="1"/>
    <col min="186" max="186" width="31.5859375" bestFit="1" customWidth="1"/>
    <col min="187" max="187" width="29" bestFit="1" customWidth="1"/>
    <col min="188" max="188" width="35" bestFit="1" customWidth="1"/>
    <col min="189" max="189" width="30.5859375" bestFit="1" customWidth="1"/>
    <col min="190" max="190" width="24.5859375" bestFit="1" customWidth="1"/>
    <col min="191" max="191" width="28.5859375" bestFit="1" customWidth="1"/>
    <col min="192" max="192" width="18.703125" bestFit="1" customWidth="1"/>
    <col min="193" max="193" width="23.1171875" bestFit="1" customWidth="1"/>
    <col min="194" max="194" width="19.29296875" bestFit="1" customWidth="1"/>
    <col min="195" max="195" width="23.703125" bestFit="1" customWidth="1"/>
    <col min="196" max="197" width="17.703125" bestFit="1" customWidth="1"/>
    <col min="198" max="198" width="24.87890625" bestFit="1" customWidth="1"/>
    <col min="199" max="199" width="20.41015625" bestFit="1" customWidth="1"/>
    <col min="200" max="200" width="31.703125" bestFit="1" customWidth="1"/>
    <col min="201" max="201" width="25.29296875" bestFit="1" customWidth="1"/>
    <col min="202" max="202" width="30.5859375" bestFit="1" customWidth="1"/>
    <col min="203" max="203" width="24.5859375" bestFit="1" customWidth="1"/>
    <col min="204" max="204" width="32.29296875" bestFit="1" customWidth="1"/>
    <col min="205" max="205" width="32" bestFit="1" customWidth="1"/>
    <col min="206" max="206" width="23" bestFit="1" customWidth="1"/>
    <col min="207" max="207" width="16.5859375" bestFit="1" customWidth="1"/>
    <col min="208" max="208" width="11.29296875" bestFit="1" customWidth="1"/>
    <col min="209" max="209" width="16.29296875" bestFit="1" customWidth="1"/>
    <col min="210" max="210" width="18.1171875" bestFit="1" customWidth="1"/>
    <col min="211" max="211" width="17.1171875" bestFit="1" customWidth="1"/>
    <col min="212" max="212" width="12.87890625" bestFit="1" customWidth="1"/>
    <col min="213" max="213" width="20" bestFit="1" customWidth="1"/>
    <col min="214" max="214" width="12" bestFit="1" customWidth="1"/>
    <col min="215" max="215" width="23.29296875" bestFit="1" customWidth="1"/>
    <col min="216" max="216" width="18.29296875" bestFit="1" customWidth="1"/>
    <col min="217" max="217" width="19" bestFit="1" customWidth="1"/>
    <col min="218" max="218" width="26.29296875" bestFit="1" customWidth="1"/>
    <col min="219" max="219" width="19.5859375" bestFit="1" customWidth="1"/>
    <col min="220" max="220" width="11" bestFit="1" customWidth="1"/>
    <col min="221" max="221" width="25.703125" bestFit="1" customWidth="1"/>
    <col min="222" max="222" width="19.29296875" bestFit="1" customWidth="1"/>
    <col min="223" max="223" width="26.29296875" bestFit="1" customWidth="1"/>
    <col min="224" max="225" width="26.5859375" bestFit="1" customWidth="1"/>
    <col min="226" max="226" width="17.87890625" bestFit="1" customWidth="1"/>
    <col min="227" max="227" width="22.703125" bestFit="1" customWidth="1"/>
    <col min="228" max="228" width="18.703125" bestFit="1" customWidth="1"/>
    <col min="229" max="229" width="12" bestFit="1" customWidth="1"/>
    <col min="230" max="230" width="19" bestFit="1" customWidth="1"/>
    <col min="231" max="231" width="12" bestFit="1" customWidth="1"/>
    <col min="232" max="232" width="12.5859375" bestFit="1" customWidth="1"/>
    <col min="233" max="233" width="12.87890625" bestFit="1" customWidth="1"/>
    <col min="234" max="234" width="11.87890625" bestFit="1" customWidth="1"/>
    <col min="235" max="235" width="11.29296875" bestFit="1" customWidth="1"/>
    <col min="236" max="236" width="12.703125" bestFit="1" customWidth="1"/>
    <col min="237" max="237" width="19.41015625" bestFit="1" customWidth="1"/>
    <col min="238" max="238" width="12.5859375" bestFit="1" customWidth="1"/>
    <col min="239" max="239" width="18" bestFit="1" customWidth="1"/>
    <col min="240" max="240" width="18.1171875" bestFit="1" customWidth="1"/>
    <col min="241" max="241" width="15.87890625" bestFit="1" customWidth="1"/>
    <col min="242" max="242" width="11.703125" bestFit="1" customWidth="1"/>
    <col min="243" max="243" width="18.703125" bestFit="1" customWidth="1"/>
    <col min="244" max="244" width="16" bestFit="1" customWidth="1"/>
    <col min="245" max="245" width="16.87890625" bestFit="1" customWidth="1"/>
    <col min="246" max="246" width="26.1171875" bestFit="1" customWidth="1"/>
    <col min="247" max="247" width="27.1171875" bestFit="1" customWidth="1"/>
    <col min="248" max="248" width="7.41015625" bestFit="1" customWidth="1"/>
    <col min="249" max="249" width="11.703125" bestFit="1" customWidth="1"/>
  </cols>
  <sheetData>
    <row r="1" spans="1:12" x14ac:dyDescent="0.5">
      <c r="A1" s="49" t="s">
        <v>297</v>
      </c>
      <c r="B1" t="s">
        <v>319</v>
      </c>
    </row>
    <row r="3" spans="1:12" x14ac:dyDescent="0.5">
      <c r="A3" s="49" t="s">
        <v>320</v>
      </c>
      <c r="B3" s="49" t="s">
        <v>321</v>
      </c>
    </row>
    <row r="4" spans="1:12" x14ac:dyDescent="0.5">
      <c r="A4" s="49" t="s">
        <v>292</v>
      </c>
      <c r="B4" t="s">
        <v>180</v>
      </c>
      <c r="C4" t="s">
        <v>309</v>
      </c>
      <c r="D4" t="s">
        <v>322</v>
      </c>
      <c r="E4" t="s">
        <v>312</v>
      </c>
      <c r="F4" t="s">
        <v>302</v>
      </c>
      <c r="G4" t="s">
        <v>310</v>
      </c>
      <c r="H4" t="s">
        <v>305</v>
      </c>
      <c r="I4" t="s">
        <v>298</v>
      </c>
      <c r="J4" t="s">
        <v>317</v>
      </c>
      <c r="K4" t="s">
        <v>323</v>
      </c>
      <c r="L4" t="s">
        <v>324</v>
      </c>
    </row>
    <row r="5" spans="1:12" x14ac:dyDescent="0.5">
      <c r="A5" t="s">
        <v>325</v>
      </c>
      <c r="G5">
        <v>1</v>
      </c>
      <c r="I5">
        <v>1</v>
      </c>
      <c r="L5">
        <v>2</v>
      </c>
    </row>
    <row r="6" spans="1:12" x14ac:dyDescent="0.5">
      <c r="A6" t="s">
        <v>326</v>
      </c>
      <c r="C6">
        <v>1</v>
      </c>
      <c r="F6">
        <v>7</v>
      </c>
      <c r="H6">
        <v>2</v>
      </c>
      <c r="I6">
        <v>10</v>
      </c>
      <c r="L6">
        <v>20</v>
      </c>
    </row>
    <row r="7" spans="1:12" x14ac:dyDescent="0.5">
      <c r="A7" t="s">
        <v>327</v>
      </c>
      <c r="F7">
        <v>2</v>
      </c>
      <c r="G7">
        <v>1</v>
      </c>
      <c r="I7">
        <v>5</v>
      </c>
      <c r="L7">
        <v>8</v>
      </c>
    </row>
    <row r="8" spans="1:12" x14ac:dyDescent="0.5">
      <c r="A8" t="s">
        <v>328</v>
      </c>
      <c r="E8">
        <v>1</v>
      </c>
      <c r="F8">
        <v>4</v>
      </c>
      <c r="G8">
        <v>2</v>
      </c>
      <c r="I8">
        <v>9</v>
      </c>
      <c r="L8">
        <v>16</v>
      </c>
    </row>
    <row r="9" spans="1:12" x14ac:dyDescent="0.5">
      <c r="A9" t="s">
        <v>322</v>
      </c>
      <c r="D9">
        <v>2</v>
      </c>
      <c r="G9">
        <v>1</v>
      </c>
      <c r="L9">
        <v>3</v>
      </c>
    </row>
    <row r="10" spans="1:12" x14ac:dyDescent="0.5">
      <c r="A10" t="s">
        <v>312</v>
      </c>
      <c r="E10">
        <v>7</v>
      </c>
      <c r="L10">
        <v>7</v>
      </c>
    </row>
    <row r="11" spans="1:12" x14ac:dyDescent="0.5">
      <c r="A11" t="s">
        <v>305</v>
      </c>
      <c r="H11">
        <v>2</v>
      </c>
      <c r="L11">
        <v>2</v>
      </c>
    </row>
    <row r="12" spans="1:12" x14ac:dyDescent="0.5">
      <c r="A12" t="s">
        <v>298</v>
      </c>
      <c r="C12">
        <v>1</v>
      </c>
      <c r="E12">
        <v>3</v>
      </c>
      <c r="F12">
        <v>4</v>
      </c>
      <c r="H12">
        <v>6</v>
      </c>
      <c r="I12">
        <v>8</v>
      </c>
      <c r="L12">
        <v>22</v>
      </c>
    </row>
    <row r="13" spans="1:12" x14ac:dyDescent="0.5">
      <c r="A13" t="s">
        <v>317</v>
      </c>
      <c r="J13">
        <v>2</v>
      </c>
      <c r="L13">
        <v>2</v>
      </c>
    </row>
    <row r="14" spans="1:12" x14ac:dyDescent="0.5">
      <c r="A14" t="s">
        <v>329</v>
      </c>
      <c r="I14">
        <v>1</v>
      </c>
      <c r="L14">
        <v>1</v>
      </c>
    </row>
    <row r="15" spans="1:12" x14ac:dyDescent="0.5">
      <c r="A15" t="s">
        <v>330</v>
      </c>
      <c r="B15">
        <v>1</v>
      </c>
      <c r="F15">
        <v>3</v>
      </c>
      <c r="G15">
        <v>1</v>
      </c>
      <c r="I15">
        <v>15</v>
      </c>
      <c r="L15">
        <v>20</v>
      </c>
    </row>
    <row r="16" spans="1:12" x14ac:dyDescent="0.5">
      <c r="A16" t="s">
        <v>331</v>
      </c>
      <c r="B16">
        <v>3</v>
      </c>
      <c r="G16">
        <v>4</v>
      </c>
      <c r="L16">
        <v>7</v>
      </c>
    </row>
    <row r="17" spans="1:12" x14ac:dyDescent="0.5">
      <c r="A17" t="s">
        <v>323</v>
      </c>
    </row>
    <row r="18" spans="1:12" x14ac:dyDescent="0.5">
      <c r="A18" t="s">
        <v>180</v>
      </c>
      <c r="B18">
        <v>2</v>
      </c>
      <c r="C18">
        <v>1</v>
      </c>
      <c r="G18">
        <v>4</v>
      </c>
      <c r="I18">
        <v>2</v>
      </c>
      <c r="L18">
        <v>9</v>
      </c>
    </row>
    <row r="19" spans="1:12" x14ac:dyDescent="0.5">
      <c r="A19" t="s">
        <v>310</v>
      </c>
      <c r="E19">
        <v>1</v>
      </c>
      <c r="G19">
        <v>2</v>
      </c>
      <c r="L19">
        <v>3</v>
      </c>
    </row>
    <row r="20" spans="1:12" x14ac:dyDescent="0.5">
      <c r="A20" t="s">
        <v>324</v>
      </c>
      <c r="B20">
        <v>6</v>
      </c>
      <c r="C20">
        <v>3</v>
      </c>
      <c r="D20">
        <v>2</v>
      </c>
      <c r="E20">
        <v>12</v>
      </c>
      <c r="F20">
        <v>20</v>
      </c>
      <c r="G20">
        <v>16</v>
      </c>
      <c r="H20">
        <v>10</v>
      </c>
      <c r="I20">
        <v>51</v>
      </c>
      <c r="J20">
        <v>2</v>
      </c>
      <c r="L20">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15FC-325A-4994-9E3E-263AAD5633CA}">
  <dimension ref="A1:K17"/>
  <sheetViews>
    <sheetView workbookViewId="0">
      <selection activeCell="C33" sqref="C33"/>
    </sheetView>
  </sheetViews>
  <sheetFormatPr defaultRowHeight="14.35" x14ac:dyDescent="0.5"/>
  <sheetData>
    <row r="1" spans="1:11" x14ac:dyDescent="0.5">
      <c r="A1" s="53" t="s">
        <v>320</v>
      </c>
      <c r="B1" s="64" t="s">
        <v>321</v>
      </c>
      <c r="C1" s="64"/>
      <c r="D1" s="64"/>
      <c r="E1" s="64"/>
      <c r="F1" s="64"/>
      <c r="G1" s="64"/>
      <c r="H1" s="64"/>
      <c r="I1" s="64"/>
      <c r="J1" s="64"/>
      <c r="K1" s="64"/>
    </row>
    <row r="2" spans="1:11" x14ac:dyDescent="0.5">
      <c r="A2" s="54" t="s">
        <v>292</v>
      </c>
      <c r="B2" s="54" t="s">
        <v>180</v>
      </c>
      <c r="C2" s="54" t="s">
        <v>309</v>
      </c>
      <c r="D2" s="54" t="s">
        <v>322</v>
      </c>
      <c r="E2" s="54" t="s">
        <v>312</v>
      </c>
      <c r="F2" s="54" t="s">
        <v>302</v>
      </c>
      <c r="G2" s="54" t="s">
        <v>310</v>
      </c>
      <c r="H2" s="54" t="s">
        <v>305</v>
      </c>
      <c r="I2" s="54" t="s">
        <v>298</v>
      </c>
      <c r="J2" s="54" t="s">
        <v>317</v>
      </c>
      <c r="K2" s="54" t="s">
        <v>324</v>
      </c>
    </row>
    <row r="3" spans="1:11" x14ac:dyDescent="0.5">
      <c r="A3" t="s">
        <v>325</v>
      </c>
      <c r="G3">
        <v>1</v>
      </c>
      <c r="I3">
        <v>1</v>
      </c>
      <c r="K3">
        <v>2</v>
      </c>
    </row>
    <row r="4" spans="1:11" x14ac:dyDescent="0.5">
      <c r="A4" t="s">
        <v>326</v>
      </c>
      <c r="C4">
        <v>1</v>
      </c>
      <c r="F4">
        <v>7</v>
      </c>
      <c r="H4">
        <v>2</v>
      </c>
      <c r="I4">
        <v>10</v>
      </c>
      <c r="K4">
        <v>20</v>
      </c>
    </row>
    <row r="5" spans="1:11" x14ac:dyDescent="0.5">
      <c r="A5" t="s">
        <v>180</v>
      </c>
      <c r="B5">
        <v>2</v>
      </c>
      <c r="C5">
        <v>1</v>
      </c>
      <c r="G5">
        <v>4</v>
      </c>
      <c r="I5">
        <v>2</v>
      </c>
      <c r="K5">
        <v>9</v>
      </c>
    </row>
    <row r="6" spans="1:11" x14ac:dyDescent="0.5">
      <c r="A6" t="s">
        <v>327</v>
      </c>
      <c r="F6">
        <v>2</v>
      </c>
      <c r="G6">
        <v>1</v>
      </c>
      <c r="I6">
        <v>5</v>
      </c>
      <c r="K6">
        <v>8</v>
      </c>
    </row>
    <row r="7" spans="1:11" x14ac:dyDescent="0.5">
      <c r="A7" t="s">
        <v>328</v>
      </c>
      <c r="E7">
        <v>1</v>
      </c>
      <c r="F7">
        <v>4</v>
      </c>
      <c r="G7">
        <v>2</v>
      </c>
      <c r="I7">
        <v>9</v>
      </c>
      <c r="K7">
        <v>16</v>
      </c>
    </row>
    <row r="8" spans="1:11" x14ac:dyDescent="0.5">
      <c r="A8" t="s">
        <v>322</v>
      </c>
      <c r="D8">
        <v>2</v>
      </c>
      <c r="G8">
        <v>1</v>
      </c>
      <c r="K8">
        <v>3</v>
      </c>
    </row>
    <row r="9" spans="1:11" x14ac:dyDescent="0.5">
      <c r="A9" t="s">
        <v>312</v>
      </c>
      <c r="E9">
        <v>7</v>
      </c>
      <c r="K9">
        <v>7</v>
      </c>
    </row>
    <row r="10" spans="1:11" x14ac:dyDescent="0.5">
      <c r="A10" t="s">
        <v>310</v>
      </c>
      <c r="E10">
        <v>1</v>
      </c>
      <c r="G10">
        <v>2</v>
      </c>
      <c r="K10">
        <v>3</v>
      </c>
    </row>
    <row r="11" spans="1:11" x14ac:dyDescent="0.5">
      <c r="A11" t="s">
        <v>305</v>
      </c>
      <c r="H11">
        <v>2</v>
      </c>
      <c r="K11">
        <v>2</v>
      </c>
    </row>
    <row r="12" spans="1:11" x14ac:dyDescent="0.5">
      <c r="A12" t="s">
        <v>298</v>
      </c>
      <c r="C12">
        <v>1</v>
      </c>
      <c r="E12">
        <v>3</v>
      </c>
      <c r="F12">
        <v>4</v>
      </c>
      <c r="H12">
        <v>6</v>
      </c>
      <c r="I12">
        <v>8</v>
      </c>
      <c r="K12">
        <v>22</v>
      </c>
    </row>
    <row r="13" spans="1:11" x14ac:dyDescent="0.5">
      <c r="A13" t="s">
        <v>317</v>
      </c>
      <c r="J13">
        <v>2</v>
      </c>
      <c r="K13">
        <v>2</v>
      </c>
    </row>
    <row r="14" spans="1:11" x14ac:dyDescent="0.5">
      <c r="A14" t="s">
        <v>329</v>
      </c>
      <c r="I14">
        <v>1</v>
      </c>
      <c r="K14">
        <v>1</v>
      </c>
    </row>
    <row r="15" spans="1:11" x14ac:dyDescent="0.5">
      <c r="A15" t="s">
        <v>330</v>
      </c>
      <c r="B15">
        <v>1</v>
      </c>
      <c r="F15">
        <v>3</v>
      </c>
      <c r="G15">
        <v>1</v>
      </c>
      <c r="I15">
        <v>15</v>
      </c>
      <c r="K15">
        <v>20</v>
      </c>
    </row>
    <row r="16" spans="1:11" x14ac:dyDescent="0.5">
      <c r="A16" t="s">
        <v>331</v>
      </c>
      <c r="B16">
        <v>3</v>
      </c>
      <c r="G16">
        <v>4</v>
      </c>
      <c r="K16">
        <v>7</v>
      </c>
    </row>
    <row r="17" spans="1:11" x14ac:dyDescent="0.5">
      <c r="A17" s="55" t="s">
        <v>324</v>
      </c>
      <c r="B17" s="55">
        <v>6</v>
      </c>
      <c r="C17" s="55">
        <v>3</v>
      </c>
      <c r="D17" s="55">
        <v>2</v>
      </c>
      <c r="E17" s="55">
        <v>12</v>
      </c>
      <c r="F17" s="55">
        <v>20</v>
      </c>
      <c r="G17" s="55">
        <v>16</v>
      </c>
      <c r="H17" s="55">
        <v>10</v>
      </c>
      <c r="I17" s="55">
        <v>51</v>
      </c>
      <c r="J17" s="55">
        <v>2</v>
      </c>
      <c r="K17" s="55">
        <v>122</v>
      </c>
    </row>
  </sheetData>
  <mergeCells count="1">
    <mergeCell ref="B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workbookViewId="0">
      <selection activeCell="A12" sqref="A12"/>
    </sheetView>
  </sheetViews>
  <sheetFormatPr defaultRowHeight="14.35" x14ac:dyDescent="0.5"/>
  <cols>
    <col min="1" max="1" width="12.5859375" bestFit="1" customWidth="1"/>
    <col min="2" max="2" width="26.703125" bestFit="1" customWidth="1"/>
    <col min="3" max="3" width="30.5859375" customWidth="1"/>
    <col min="4" max="4" width="62.5859375" bestFit="1" customWidth="1"/>
    <col min="9" max="9" width="23" bestFit="1" customWidth="1"/>
  </cols>
  <sheetData>
    <row r="1" spans="1:5" x14ac:dyDescent="0.5">
      <c r="A1" t="s">
        <v>332</v>
      </c>
      <c r="B1" t="s">
        <v>333</v>
      </c>
      <c r="C1" t="s">
        <v>334</v>
      </c>
      <c r="D1" t="s">
        <v>335</v>
      </c>
      <c r="E1" t="s">
        <v>2</v>
      </c>
    </row>
    <row r="2" spans="1:5" x14ac:dyDescent="0.5">
      <c r="A2">
        <v>8</v>
      </c>
      <c r="B2" t="s">
        <v>326</v>
      </c>
      <c r="C2" t="s">
        <v>122</v>
      </c>
      <c r="E2" t="s">
        <v>106</v>
      </c>
    </row>
    <row r="3" spans="1:5" s="1" customFormat="1" x14ac:dyDescent="0.5">
      <c r="A3" s="1">
        <v>1</v>
      </c>
      <c r="B3" s="1" t="s">
        <v>326</v>
      </c>
      <c r="C3" s="1" t="s">
        <v>123</v>
      </c>
      <c r="E3" s="1" t="s">
        <v>106</v>
      </c>
    </row>
    <row r="4" spans="1:5" s="1" customFormat="1" x14ac:dyDescent="0.5">
      <c r="A4" s="1">
        <v>3</v>
      </c>
      <c r="B4" s="1" t="s">
        <v>326</v>
      </c>
      <c r="C4" s="1" t="s">
        <v>124</v>
      </c>
      <c r="E4" s="1" t="s">
        <v>106</v>
      </c>
    </row>
    <row r="5" spans="1:5" s="1" customFormat="1" x14ac:dyDescent="0.5">
      <c r="A5" s="1">
        <v>35</v>
      </c>
      <c r="B5" s="1" t="s">
        <v>326</v>
      </c>
      <c r="C5" s="1" t="s">
        <v>336</v>
      </c>
      <c r="D5" s="1" t="s">
        <v>337</v>
      </c>
      <c r="E5" s="1" t="s">
        <v>106</v>
      </c>
    </row>
    <row r="6" spans="1:5" s="1" customFormat="1" x14ac:dyDescent="0.5">
      <c r="A6" s="1">
        <v>1</v>
      </c>
      <c r="B6" s="1" t="s">
        <v>326</v>
      </c>
      <c r="C6" s="1" t="s">
        <v>338</v>
      </c>
      <c r="D6" s="1" t="s">
        <v>339</v>
      </c>
      <c r="E6" s="1" t="s">
        <v>106</v>
      </c>
    </row>
    <row r="7" spans="1:5" x14ac:dyDescent="0.5">
      <c r="A7">
        <v>10</v>
      </c>
      <c r="B7" t="s">
        <v>326</v>
      </c>
      <c r="C7" t="s">
        <v>133</v>
      </c>
      <c r="D7" t="s">
        <v>340</v>
      </c>
      <c r="E7" t="s">
        <v>106</v>
      </c>
    </row>
    <row r="8" spans="1:5" x14ac:dyDescent="0.5">
      <c r="A8">
        <v>5</v>
      </c>
      <c r="B8" t="s">
        <v>326</v>
      </c>
      <c r="C8" t="s">
        <v>139</v>
      </c>
      <c r="E8" t="s">
        <v>117</v>
      </c>
    </row>
    <row r="9" spans="1:5" x14ac:dyDescent="0.5">
      <c r="A9">
        <v>1</v>
      </c>
      <c r="B9" t="s">
        <v>326</v>
      </c>
      <c r="C9" t="s">
        <v>341</v>
      </c>
      <c r="D9" t="s">
        <v>342</v>
      </c>
      <c r="E9" t="s">
        <v>106</v>
      </c>
    </row>
    <row r="10" spans="1:5" x14ac:dyDescent="0.5">
      <c r="A10">
        <v>1</v>
      </c>
      <c r="B10" t="s">
        <v>326</v>
      </c>
      <c r="C10" t="s">
        <v>145</v>
      </c>
      <c r="E10" t="s">
        <v>117</v>
      </c>
    </row>
    <row r="11" spans="1:5" x14ac:dyDescent="0.5">
      <c r="A11">
        <v>36</v>
      </c>
      <c r="B11" t="s">
        <v>326</v>
      </c>
      <c r="C11" t="s">
        <v>151</v>
      </c>
      <c r="D11" t="s">
        <v>343</v>
      </c>
      <c r="E11" t="s">
        <v>106</v>
      </c>
    </row>
    <row r="12" spans="1:5" x14ac:dyDescent="0.5">
      <c r="A12">
        <v>3</v>
      </c>
      <c r="B12" t="s">
        <v>328</v>
      </c>
      <c r="C12" t="s">
        <v>22</v>
      </c>
      <c r="E12" t="s">
        <v>344</v>
      </c>
    </row>
    <row r="13" spans="1:5" x14ac:dyDescent="0.5">
      <c r="A13">
        <v>3</v>
      </c>
      <c r="B13" t="s">
        <v>328</v>
      </c>
      <c r="C13" t="s">
        <v>345</v>
      </c>
      <c r="E13" t="s">
        <v>10</v>
      </c>
    </row>
    <row r="14" spans="1:5" x14ac:dyDescent="0.5">
      <c r="A14">
        <v>17</v>
      </c>
      <c r="B14" t="s">
        <v>305</v>
      </c>
      <c r="C14" t="s">
        <v>268</v>
      </c>
      <c r="D14" t="s">
        <v>346</v>
      </c>
      <c r="E14" t="s">
        <v>148</v>
      </c>
    </row>
    <row r="15" spans="1:5" x14ac:dyDescent="0.5">
      <c r="A15">
        <v>26</v>
      </c>
      <c r="B15" t="s">
        <v>298</v>
      </c>
      <c r="C15" t="s">
        <v>347</v>
      </c>
      <c r="D15" t="s">
        <v>348</v>
      </c>
      <c r="E15" t="s">
        <v>86</v>
      </c>
    </row>
    <row r="16" spans="1:5" x14ac:dyDescent="0.5">
      <c r="A16">
        <v>2</v>
      </c>
      <c r="B16" t="s">
        <v>298</v>
      </c>
      <c r="C16" t="s">
        <v>349</v>
      </c>
      <c r="D16" t="s">
        <v>350</v>
      </c>
      <c r="E16" t="s">
        <v>86</v>
      </c>
    </row>
    <row r="17" spans="1:5" x14ac:dyDescent="0.5">
      <c r="A17">
        <v>2</v>
      </c>
      <c r="B17" t="s">
        <v>298</v>
      </c>
      <c r="C17" t="s">
        <v>88</v>
      </c>
      <c r="E17" t="s">
        <v>86</v>
      </c>
    </row>
    <row r="18" spans="1:5" s="1" customFormat="1" x14ac:dyDescent="0.5">
      <c r="A18" s="1">
        <v>1</v>
      </c>
      <c r="B18" s="1" t="s">
        <v>298</v>
      </c>
      <c r="C18" s="1" t="s">
        <v>89</v>
      </c>
      <c r="E18" s="1" t="s">
        <v>73</v>
      </c>
    </row>
    <row r="19" spans="1:5" s="1" customFormat="1" x14ac:dyDescent="0.5">
      <c r="A19" s="1">
        <v>4</v>
      </c>
      <c r="B19" s="1" t="s">
        <v>298</v>
      </c>
      <c r="C19" s="1" t="s">
        <v>351</v>
      </c>
      <c r="D19" s="1" t="s">
        <v>352</v>
      </c>
    </row>
    <row r="20" spans="1:5" x14ac:dyDescent="0.5">
      <c r="A20">
        <v>10</v>
      </c>
      <c r="B20" t="s">
        <v>298</v>
      </c>
      <c r="C20" t="s">
        <v>92</v>
      </c>
      <c r="E20" t="s">
        <v>86</v>
      </c>
    </row>
    <row r="21" spans="1:5" x14ac:dyDescent="0.5">
      <c r="A21">
        <v>4</v>
      </c>
      <c r="B21" t="s">
        <v>298</v>
      </c>
      <c r="C21" t="s">
        <v>353</v>
      </c>
      <c r="D21" t="s">
        <v>354</v>
      </c>
    </row>
    <row r="22" spans="1:5" x14ac:dyDescent="0.5">
      <c r="A22">
        <v>8</v>
      </c>
      <c r="B22" t="s">
        <v>298</v>
      </c>
      <c r="C22" t="s">
        <v>93</v>
      </c>
      <c r="E22" t="s">
        <v>86</v>
      </c>
    </row>
    <row r="23" spans="1:5" x14ac:dyDescent="0.5">
      <c r="A23">
        <v>3</v>
      </c>
      <c r="B23" t="s">
        <v>298</v>
      </c>
      <c r="C23" t="s">
        <v>172</v>
      </c>
      <c r="D23" t="s">
        <v>355</v>
      </c>
    </row>
    <row r="24" spans="1:5" x14ac:dyDescent="0.5">
      <c r="A24">
        <v>46</v>
      </c>
      <c r="B24" t="s">
        <v>298</v>
      </c>
      <c r="C24" t="s">
        <v>105</v>
      </c>
      <c r="D24" t="s">
        <v>356</v>
      </c>
      <c r="E24" t="s">
        <v>106</v>
      </c>
    </row>
    <row r="25" spans="1:5" x14ac:dyDescent="0.5">
      <c r="A25">
        <v>40</v>
      </c>
      <c r="B25" t="s">
        <v>298</v>
      </c>
      <c r="C25" t="s">
        <v>107</v>
      </c>
      <c r="D25" t="s">
        <v>357</v>
      </c>
      <c r="E25" t="s">
        <v>106</v>
      </c>
    </row>
    <row r="26" spans="1:5" s="1" customFormat="1" x14ac:dyDescent="0.5">
      <c r="A26" s="1">
        <v>8</v>
      </c>
      <c r="B26" s="1" t="s">
        <v>298</v>
      </c>
      <c r="C26" s="1" t="s">
        <v>109</v>
      </c>
      <c r="E26" s="1" t="s">
        <v>86</v>
      </c>
    </row>
    <row r="27" spans="1:5" s="1" customFormat="1" x14ac:dyDescent="0.5">
      <c r="A27" s="1">
        <v>448</v>
      </c>
      <c r="B27" s="1" t="s">
        <v>298</v>
      </c>
      <c r="C27" s="1" t="s">
        <v>358</v>
      </c>
      <c r="D27" s="1" t="s">
        <v>359</v>
      </c>
    </row>
    <row r="28" spans="1:5" x14ac:dyDescent="0.5">
      <c r="A28">
        <v>2</v>
      </c>
      <c r="B28" t="s">
        <v>298</v>
      </c>
      <c r="C28" t="s">
        <v>110</v>
      </c>
      <c r="E28" t="s">
        <v>76</v>
      </c>
    </row>
    <row r="29" spans="1:5" s="1" customFormat="1" x14ac:dyDescent="0.5">
      <c r="A29" s="1">
        <v>30</v>
      </c>
      <c r="B29" s="1" t="s">
        <v>298</v>
      </c>
      <c r="C29" s="1" t="s">
        <v>111</v>
      </c>
      <c r="E29" s="1" t="s">
        <v>86</v>
      </c>
    </row>
    <row r="30" spans="1:5" s="1" customFormat="1" x14ac:dyDescent="0.5">
      <c r="A30" s="1">
        <v>44</v>
      </c>
      <c r="B30" s="1" t="s">
        <v>298</v>
      </c>
      <c r="C30" s="1" t="s">
        <v>360</v>
      </c>
      <c r="D30" s="1" t="s">
        <v>361</v>
      </c>
      <c r="E30" s="1" t="s">
        <v>86</v>
      </c>
    </row>
    <row r="31" spans="1:5" x14ac:dyDescent="0.5">
      <c r="A31">
        <v>7</v>
      </c>
      <c r="B31" t="s">
        <v>298</v>
      </c>
      <c r="C31" t="s">
        <v>113</v>
      </c>
      <c r="E31" t="s">
        <v>86</v>
      </c>
    </row>
  </sheetData>
  <sortState xmlns:xlrd2="http://schemas.microsoft.com/office/spreadsheetml/2017/richdata2" ref="A2:F34">
    <sortCondition ref="C2:C34"/>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E37A-6698-41EC-A81B-AB9276EE0875}">
  <dimension ref="A1:I32"/>
  <sheetViews>
    <sheetView workbookViewId="0">
      <selection activeCell="L18" sqref="L18"/>
    </sheetView>
  </sheetViews>
  <sheetFormatPr defaultRowHeight="14.35" x14ac:dyDescent="0.5"/>
  <cols>
    <col min="1" max="1" width="47.703125" bestFit="1" customWidth="1"/>
    <col min="2" max="2" width="11" bestFit="1" customWidth="1"/>
    <col min="3" max="3" width="11.5859375" bestFit="1" customWidth="1"/>
    <col min="4" max="4" width="19" customWidth="1"/>
    <col min="5" max="5" width="35.5859375" bestFit="1" customWidth="1"/>
    <col min="6" max="6" width="27.29296875" customWidth="1"/>
    <col min="7" max="7" width="20" bestFit="1" customWidth="1"/>
    <col min="8" max="8" width="26.1171875" bestFit="1" customWidth="1"/>
    <col min="9" max="9" width="11.41015625" bestFit="1" customWidth="1"/>
  </cols>
  <sheetData>
    <row r="1" spans="1:9" s="39" customFormat="1" ht="31.35" x14ac:dyDescent="0.55000000000000004">
      <c r="A1" s="22" t="s">
        <v>2</v>
      </c>
      <c r="B1" s="22" t="s">
        <v>362</v>
      </c>
      <c r="C1" s="22" t="s">
        <v>363</v>
      </c>
      <c r="D1" s="22" t="s">
        <v>364</v>
      </c>
      <c r="E1" s="22" t="s">
        <v>365</v>
      </c>
      <c r="F1" s="22" t="s">
        <v>366</v>
      </c>
      <c r="G1" s="22" t="s">
        <v>367</v>
      </c>
      <c r="H1" s="22" t="s">
        <v>368</v>
      </c>
      <c r="I1" s="56" t="s">
        <v>369</v>
      </c>
    </row>
    <row r="2" spans="1:9" x14ac:dyDescent="0.5">
      <c r="A2" s="20" t="s">
        <v>86</v>
      </c>
      <c r="B2" s="23" t="s">
        <v>370</v>
      </c>
      <c r="C2" s="24" t="s">
        <v>371</v>
      </c>
      <c r="D2" s="25">
        <v>499</v>
      </c>
      <c r="E2" s="26" t="s">
        <v>372</v>
      </c>
      <c r="F2" s="25">
        <v>720</v>
      </c>
      <c r="G2" s="25">
        <v>634</v>
      </c>
      <c r="H2" s="25">
        <v>640</v>
      </c>
      <c r="I2" s="27" t="s">
        <v>373</v>
      </c>
    </row>
    <row r="3" spans="1:9" x14ac:dyDescent="0.5">
      <c r="A3" s="20" t="s">
        <v>73</v>
      </c>
      <c r="B3" s="28" t="s">
        <v>374</v>
      </c>
      <c r="C3" s="29" t="s">
        <v>371</v>
      </c>
      <c r="D3" s="29">
        <v>499</v>
      </c>
      <c r="E3" s="30" t="s">
        <v>372</v>
      </c>
      <c r="F3" s="29">
        <v>765</v>
      </c>
      <c r="G3" s="29">
        <v>708</v>
      </c>
      <c r="H3" s="29">
        <v>760</v>
      </c>
      <c r="I3" s="31" t="s">
        <v>373</v>
      </c>
    </row>
    <row r="4" spans="1:9" x14ac:dyDescent="0.5">
      <c r="A4" s="20" t="s">
        <v>76</v>
      </c>
      <c r="B4" s="28" t="s">
        <v>370</v>
      </c>
      <c r="C4" s="29" t="s">
        <v>375</v>
      </c>
      <c r="D4" s="29">
        <v>264</v>
      </c>
      <c r="E4" s="30" t="s">
        <v>376</v>
      </c>
      <c r="F4" s="29">
        <v>360</v>
      </c>
      <c r="G4" s="29">
        <v>212</v>
      </c>
      <c r="H4" s="29">
        <v>285</v>
      </c>
      <c r="I4" s="31" t="s">
        <v>373</v>
      </c>
    </row>
    <row r="5" spans="1:9" x14ac:dyDescent="0.5">
      <c r="A5" s="20" t="s">
        <v>377</v>
      </c>
      <c r="B5" s="28" t="s">
        <v>370</v>
      </c>
      <c r="C5" s="29" t="s">
        <v>378</v>
      </c>
      <c r="D5" s="29">
        <v>400</v>
      </c>
      <c r="E5" s="30" t="s">
        <v>379</v>
      </c>
      <c r="F5" s="29" t="s">
        <v>373</v>
      </c>
      <c r="G5" s="29">
        <v>300</v>
      </c>
      <c r="H5" s="29">
        <v>340</v>
      </c>
      <c r="I5" s="32" t="s">
        <v>373</v>
      </c>
    </row>
    <row r="6" spans="1:9" x14ac:dyDescent="0.5">
      <c r="A6" s="20" t="s">
        <v>380</v>
      </c>
      <c r="B6" s="28" t="s">
        <v>374</v>
      </c>
      <c r="C6" s="29" t="s">
        <v>378</v>
      </c>
      <c r="D6" s="29">
        <v>400</v>
      </c>
      <c r="E6" s="30" t="s">
        <v>379</v>
      </c>
      <c r="F6" s="29" t="s">
        <v>373</v>
      </c>
      <c r="G6" s="29">
        <v>300</v>
      </c>
      <c r="H6" s="29">
        <v>340</v>
      </c>
      <c r="I6" s="32" t="s">
        <v>373</v>
      </c>
    </row>
    <row r="7" spans="1:9" x14ac:dyDescent="0.5">
      <c r="A7" s="20" t="s">
        <v>381</v>
      </c>
      <c r="B7" s="28" t="s">
        <v>370</v>
      </c>
      <c r="C7" s="29" t="s">
        <v>382</v>
      </c>
      <c r="D7" s="29">
        <v>530</v>
      </c>
      <c r="E7" s="30" t="s">
        <v>372</v>
      </c>
      <c r="F7" s="29" t="s">
        <v>373</v>
      </c>
      <c r="G7" s="29" t="s">
        <v>373</v>
      </c>
      <c r="H7" s="29" t="s">
        <v>373</v>
      </c>
      <c r="I7" s="33" t="s">
        <v>373</v>
      </c>
    </row>
    <row r="8" spans="1:9" x14ac:dyDescent="0.5">
      <c r="A8" s="20" t="s">
        <v>383</v>
      </c>
      <c r="B8" s="28" t="s">
        <v>370</v>
      </c>
      <c r="C8" s="29" t="s">
        <v>371</v>
      </c>
      <c r="D8" s="29">
        <v>499</v>
      </c>
      <c r="E8" s="30" t="s">
        <v>372</v>
      </c>
      <c r="F8" s="29" t="s">
        <v>373</v>
      </c>
      <c r="G8" s="29" t="s">
        <v>373</v>
      </c>
      <c r="H8" s="29" t="s">
        <v>373</v>
      </c>
      <c r="I8" s="33" t="s">
        <v>373</v>
      </c>
    </row>
    <row r="9" spans="1:9" x14ac:dyDescent="0.5">
      <c r="A9" s="20" t="s">
        <v>384</v>
      </c>
      <c r="B9" s="28" t="s">
        <v>374</v>
      </c>
      <c r="C9" s="29" t="s">
        <v>382</v>
      </c>
      <c r="D9" s="29">
        <v>547</v>
      </c>
      <c r="E9" s="30" t="s">
        <v>379</v>
      </c>
      <c r="F9" s="29" t="s">
        <v>373</v>
      </c>
      <c r="G9" s="29" t="s">
        <v>373</v>
      </c>
      <c r="H9" s="29" t="s">
        <v>373</v>
      </c>
      <c r="I9" s="32" t="s">
        <v>373</v>
      </c>
    </row>
    <row r="10" spans="1:9" x14ac:dyDescent="0.5">
      <c r="A10" s="20" t="s">
        <v>385</v>
      </c>
      <c r="B10" s="28" t="s">
        <v>374</v>
      </c>
      <c r="C10" s="29" t="s">
        <v>386</v>
      </c>
      <c r="D10" s="29">
        <v>755</v>
      </c>
      <c r="E10" s="30" t="s">
        <v>387</v>
      </c>
      <c r="F10" s="29">
        <v>740</v>
      </c>
      <c r="G10" s="29">
        <v>725</v>
      </c>
      <c r="H10" s="29">
        <v>745</v>
      </c>
      <c r="I10" s="33" t="s">
        <v>373</v>
      </c>
    </row>
    <row r="11" spans="1:9" x14ac:dyDescent="0.5">
      <c r="A11" s="20" t="s">
        <v>388</v>
      </c>
      <c r="B11" s="28" t="s">
        <v>374</v>
      </c>
      <c r="C11" s="29" t="s">
        <v>386</v>
      </c>
      <c r="D11" s="29">
        <v>755</v>
      </c>
      <c r="E11" s="30" t="s">
        <v>387</v>
      </c>
      <c r="F11" s="29">
        <v>740</v>
      </c>
      <c r="G11" s="29">
        <v>725</v>
      </c>
      <c r="H11" s="29">
        <v>745</v>
      </c>
      <c r="I11" s="32" t="s">
        <v>373</v>
      </c>
    </row>
    <row r="12" spans="1:9" x14ac:dyDescent="0.5">
      <c r="A12" s="20" t="s">
        <v>389</v>
      </c>
      <c r="B12" s="28" t="s">
        <v>374</v>
      </c>
      <c r="C12" s="29" t="s">
        <v>386</v>
      </c>
      <c r="D12" s="29">
        <v>755</v>
      </c>
      <c r="E12" s="30" t="s">
        <v>387</v>
      </c>
      <c r="F12" s="29">
        <v>740</v>
      </c>
      <c r="G12" s="29">
        <v>725</v>
      </c>
      <c r="H12" s="29">
        <v>745</v>
      </c>
      <c r="I12" s="32" t="s">
        <v>373</v>
      </c>
    </row>
    <row r="13" spans="1:9" x14ac:dyDescent="0.5">
      <c r="A13" s="20" t="s">
        <v>177</v>
      </c>
      <c r="B13" s="28" t="s">
        <v>370</v>
      </c>
      <c r="C13" s="29" t="s">
        <v>390</v>
      </c>
      <c r="D13" s="29">
        <v>200</v>
      </c>
      <c r="E13" s="30" t="s">
        <v>379</v>
      </c>
      <c r="F13" s="29" t="s">
        <v>373</v>
      </c>
      <c r="G13" s="29" t="s">
        <v>373</v>
      </c>
      <c r="H13" s="29" t="s">
        <v>373</v>
      </c>
      <c r="I13" s="32" t="s">
        <v>373</v>
      </c>
    </row>
    <row r="14" spans="1:9" x14ac:dyDescent="0.5">
      <c r="A14" s="20" t="s">
        <v>391</v>
      </c>
      <c r="B14" s="28" t="s">
        <v>370</v>
      </c>
      <c r="C14" s="29" t="s">
        <v>390</v>
      </c>
      <c r="D14" s="29">
        <v>200</v>
      </c>
      <c r="E14" s="30" t="s">
        <v>379</v>
      </c>
      <c r="F14" s="29" t="s">
        <v>373</v>
      </c>
      <c r="G14" s="29" t="s">
        <v>373</v>
      </c>
      <c r="H14" s="29" t="s">
        <v>373</v>
      </c>
      <c r="I14" s="33" t="s">
        <v>373</v>
      </c>
    </row>
    <row r="15" spans="1:9" x14ac:dyDescent="0.5">
      <c r="A15" s="20" t="s">
        <v>280</v>
      </c>
      <c r="B15" s="28" t="s">
        <v>374</v>
      </c>
      <c r="C15" s="29" t="s">
        <v>386</v>
      </c>
      <c r="D15" s="29">
        <v>755</v>
      </c>
      <c r="E15" s="30" t="s">
        <v>387</v>
      </c>
      <c r="F15" s="29">
        <v>760</v>
      </c>
      <c r="G15" s="29">
        <v>760</v>
      </c>
      <c r="H15" s="29">
        <v>760</v>
      </c>
      <c r="I15" s="31" t="s">
        <v>373</v>
      </c>
    </row>
    <row r="16" spans="1:9" x14ac:dyDescent="0.5">
      <c r="A16" s="20" t="s">
        <v>392</v>
      </c>
      <c r="B16" s="28" t="s">
        <v>374</v>
      </c>
      <c r="C16" s="29" t="s">
        <v>382</v>
      </c>
      <c r="D16" s="29">
        <v>755</v>
      </c>
      <c r="E16" s="30" t="s">
        <v>387</v>
      </c>
      <c r="F16" s="29">
        <v>955</v>
      </c>
      <c r="G16" s="29">
        <v>1010</v>
      </c>
      <c r="H16" s="29">
        <v>900</v>
      </c>
      <c r="I16" s="33" t="s">
        <v>373</v>
      </c>
    </row>
    <row r="17" spans="1:9" x14ac:dyDescent="0.5">
      <c r="A17" s="20" t="s">
        <v>148</v>
      </c>
      <c r="B17" s="28" t="s">
        <v>370</v>
      </c>
      <c r="C17" s="29" t="s">
        <v>371</v>
      </c>
      <c r="D17" s="29">
        <v>499</v>
      </c>
      <c r="E17" s="30" t="s">
        <v>372</v>
      </c>
      <c r="F17" s="29" t="s">
        <v>373</v>
      </c>
      <c r="G17" s="29" t="s">
        <v>373</v>
      </c>
      <c r="H17" s="29" t="s">
        <v>373</v>
      </c>
      <c r="I17" s="33" t="s">
        <v>373</v>
      </c>
    </row>
    <row r="18" spans="1:9" x14ac:dyDescent="0.5">
      <c r="A18" s="20" t="s">
        <v>393</v>
      </c>
      <c r="B18" s="28" t="s">
        <v>370</v>
      </c>
      <c r="C18" s="29" t="s">
        <v>371</v>
      </c>
      <c r="D18" s="29">
        <v>499</v>
      </c>
      <c r="E18" s="30" t="s">
        <v>372</v>
      </c>
      <c r="F18" s="29" t="s">
        <v>373</v>
      </c>
      <c r="G18" s="29" t="s">
        <v>373</v>
      </c>
      <c r="H18" s="29" t="s">
        <v>373</v>
      </c>
      <c r="I18" s="33" t="s">
        <v>373</v>
      </c>
    </row>
    <row r="19" spans="1:9" x14ac:dyDescent="0.5">
      <c r="A19" s="20" t="s">
        <v>394</v>
      </c>
      <c r="B19" s="28" t="s">
        <v>370</v>
      </c>
      <c r="C19" s="29" t="s">
        <v>371</v>
      </c>
      <c r="D19" s="29">
        <v>499</v>
      </c>
      <c r="E19" s="30" t="s">
        <v>372</v>
      </c>
      <c r="F19" s="20"/>
      <c r="G19" s="28" t="s">
        <v>373</v>
      </c>
      <c r="H19" s="29" t="s">
        <v>373</v>
      </c>
      <c r="I19" s="33" t="s">
        <v>373</v>
      </c>
    </row>
    <row r="20" spans="1:9" x14ac:dyDescent="0.5">
      <c r="A20" s="20" t="s">
        <v>395</v>
      </c>
      <c r="B20" s="28" t="s">
        <v>374</v>
      </c>
      <c r="C20" s="29" t="s">
        <v>386</v>
      </c>
      <c r="D20" s="29">
        <v>755</v>
      </c>
      <c r="E20" s="30" t="s">
        <v>387</v>
      </c>
      <c r="F20" s="25">
        <v>675</v>
      </c>
      <c r="G20" s="29" t="s">
        <v>373</v>
      </c>
      <c r="H20" s="29">
        <v>700</v>
      </c>
      <c r="I20" s="31" t="s">
        <v>373</v>
      </c>
    </row>
    <row r="21" spans="1:9" x14ac:dyDescent="0.5">
      <c r="A21" s="20" t="s">
        <v>181</v>
      </c>
      <c r="B21" s="28" t="s">
        <v>374</v>
      </c>
      <c r="C21" s="29" t="s">
        <v>386</v>
      </c>
      <c r="D21" s="29">
        <v>755</v>
      </c>
      <c r="E21" s="30" t="s">
        <v>387</v>
      </c>
      <c r="F21" s="29">
        <v>715</v>
      </c>
      <c r="G21" s="29">
        <v>685</v>
      </c>
      <c r="H21" s="29">
        <v>700</v>
      </c>
      <c r="I21" s="31" t="s">
        <v>373</v>
      </c>
    </row>
    <row r="22" spans="1:9" x14ac:dyDescent="0.5">
      <c r="A22" s="20" t="s">
        <v>396</v>
      </c>
      <c r="B22" s="28" t="s">
        <v>374</v>
      </c>
      <c r="C22" s="29" t="s">
        <v>396</v>
      </c>
      <c r="D22" s="29">
        <v>700</v>
      </c>
      <c r="E22" s="30" t="s">
        <v>397</v>
      </c>
      <c r="F22" s="29" t="s">
        <v>373</v>
      </c>
      <c r="G22" s="29" t="s">
        <v>373</v>
      </c>
      <c r="H22" s="29" t="s">
        <v>373</v>
      </c>
      <c r="I22" s="33" t="s">
        <v>373</v>
      </c>
    </row>
    <row r="23" spans="1:9" x14ac:dyDescent="0.5">
      <c r="A23" s="20" t="s">
        <v>10</v>
      </c>
      <c r="B23" s="28" t="s">
        <v>370</v>
      </c>
      <c r="C23" s="29" t="s">
        <v>382</v>
      </c>
      <c r="D23" s="29">
        <v>600</v>
      </c>
      <c r="E23" s="30" t="s">
        <v>398</v>
      </c>
      <c r="F23" s="29">
        <v>915</v>
      </c>
      <c r="G23" s="29">
        <v>850</v>
      </c>
      <c r="H23" s="29">
        <v>820</v>
      </c>
      <c r="I23" s="31" t="s">
        <v>373</v>
      </c>
    </row>
    <row r="24" spans="1:9" x14ac:dyDescent="0.5">
      <c r="A24" s="20" t="s">
        <v>25</v>
      </c>
      <c r="B24" s="28" t="s">
        <v>374</v>
      </c>
      <c r="C24" s="29" t="s">
        <v>382</v>
      </c>
      <c r="D24" s="29">
        <v>600</v>
      </c>
      <c r="E24" s="30" t="s">
        <v>398</v>
      </c>
      <c r="F24" s="29">
        <v>650</v>
      </c>
      <c r="G24" s="29">
        <v>1050</v>
      </c>
      <c r="H24" s="29">
        <v>860</v>
      </c>
      <c r="I24" s="31" t="s">
        <v>373</v>
      </c>
    </row>
    <row r="25" spans="1:9" x14ac:dyDescent="0.5">
      <c r="A25" s="20" t="s">
        <v>399</v>
      </c>
      <c r="B25" s="28" t="s">
        <v>370</v>
      </c>
      <c r="C25" s="29" t="s">
        <v>375</v>
      </c>
      <c r="D25" s="29">
        <v>294</v>
      </c>
      <c r="E25" s="30" t="s">
        <v>376</v>
      </c>
      <c r="F25" s="29" t="s">
        <v>373</v>
      </c>
      <c r="G25" s="29">
        <v>218</v>
      </c>
      <c r="H25" s="29">
        <v>285</v>
      </c>
      <c r="I25" s="32" t="s">
        <v>373</v>
      </c>
    </row>
    <row r="26" spans="1:9" x14ac:dyDescent="0.5">
      <c r="A26" s="20" t="s">
        <v>400</v>
      </c>
      <c r="B26" s="28" t="s">
        <v>374</v>
      </c>
      <c r="C26" s="29" t="s">
        <v>382</v>
      </c>
      <c r="D26" s="29">
        <v>600</v>
      </c>
      <c r="E26" s="30" t="s">
        <v>398</v>
      </c>
      <c r="F26" s="29" t="s">
        <v>373</v>
      </c>
      <c r="G26" s="29">
        <v>765</v>
      </c>
      <c r="H26" s="29">
        <v>800</v>
      </c>
      <c r="I26" s="31" t="s">
        <v>373</v>
      </c>
    </row>
    <row r="27" spans="1:9" x14ac:dyDescent="0.5">
      <c r="A27" s="20" t="s">
        <v>204</v>
      </c>
      <c r="B27" s="28" t="s">
        <v>374</v>
      </c>
      <c r="C27" s="29" t="s">
        <v>382</v>
      </c>
      <c r="D27" s="29">
        <v>600</v>
      </c>
      <c r="E27" s="30" t="s">
        <v>398</v>
      </c>
      <c r="F27" s="29" t="s">
        <v>373</v>
      </c>
      <c r="G27" s="29">
        <v>720</v>
      </c>
      <c r="H27" s="29">
        <v>800</v>
      </c>
      <c r="I27" s="31" t="s">
        <v>373</v>
      </c>
    </row>
    <row r="28" spans="1:9" x14ac:dyDescent="0.5">
      <c r="A28" s="20" t="s">
        <v>41</v>
      </c>
      <c r="B28" s="28" t="s">
        <v>374</v>
      </c>
      <c r="C28" s="29" t="s">
        <v>382</v>
      </c>
      <c r="D28" s="29">
        <v>600</v>
      </c>
      <c r="E28" s="30" t="s">
        <v>398</v>
      </c>
      <c r="F28" s="29" t="s">
        <v>373</v>
      </c>
      <c r="G28" s="29">
        <v>640</v>
      </c>
      <c r="H28" s="29">
        <v>690</v>
      </c>
      <c r="I28" s="31" t="s">
        <v>373</v>
      </c>
    </row>
    <row r="29" spans="1:9" x14ac:dyDescent="0.5">
      <c r="A29" s="20" t="s">
        <v>117</v>
      </c>
      <c r="B29" s="28" t="s">
        <v>374</v>
      </c>
      <c r="C29" s="29" t="s">
        <v>386</v>
      </c>
      <c r="D29" s="29">
        <v>750</v>
      </c>
      <c r="E29" s="30" t="s">
        <v>379</v>
      </c>
      <c r="F29" s="29" t="s">
        <v>373</v>
      </c>
      <c r="G29" s="29" t="s">
        <v>373</v>
      </c>
      <c r="H29" s="29" t="s">
        <v>373</v>
      </c>
      <c r="I29" s="31" t="s">
        <v>373</v>
      </c>
    </row>
    <row r="30" spans="1:9" x14ac:dyDescent="0.5">
      <c r="A30" s="20" t="s">
        <v>106</v>
      </c>
      <c r="B30" s="28" t="s">
        <v>370</v>
      </c>
      <c r="C30" s="29" t="s">
        <v>382</v>
      </c>
      <c r="D30" s="29">
        <v>530</v>
      </c>
      <c r="E30" s="30" t="s">
        <v>372</v>
      </c>
      <c r="F30" s="29">
        <v>1340</v>
      </c>
      <c r="G30" s="29">
        <v>825</v>
      </c>
      <c r="H30" s="34" t="s">
        <v>401</v>
      </c>
      <c r="I30" s="31" t="s">
        <v>373</v>
      </c>
    </row>
    <row r="31" spans="1:9" x14ac:dyDescent="0.5">
      <c r="A31" s="20" t="s">
        <v>402</v>
      </c>
      <c r="B31" s="35" t="s">
        <v>374</v>
      </c>
      <c r="C31" s="36" t="s">
        <v>386</v>
      </c>
      <c r="D31" s="36">
        <v>750</v>
      </c>
      <c r="E31" s="30" t="s">
        <v>379</v>
      </c>
      <c r="F31" s="36">
        <v>900</v>
      </c>
      <c r="G31" s="36">
        <v>920</v>
      </c>
      <c r="H31" s="36">
        <v>700</v>
      </c>
      <c r="I31" s="37" t="s">
        <v>373</v>
      </c>
    </row>
    <row r="32" spans="1:9" x14ac:dyDescent="0.5">
      <c r="A32" s="20"/>
      <c r="B32" s="20"/>
      <c r="C32" s="20"/>
      <c r="D32" s="20"/>
      <c r="E32" s="20"/>
      <c r="F32" s="20"/>
      <c r="G32" s="20"/>
      <c r="H32" s="20"/>
      <c r="I32" s="20"/>
    </row>
  </sheetData>
  <autoFilter ref="A1:I31" xr:uid="{64F6E37A-6698-41EC-A81B-AB9276EE0875}"/>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83DB2-461C-4E21-9033-F802C7A49118}">
  <dimension ref="A1:T35"/>
  <sheetViews>
    <sheetView workbookViewId="0">
      <pane xSplit="1" ySplit="1" topLeftCell="B2" activePane="bottomRight" state="frozen"/>
      <selection pane="topRight"/>
      <selection pane="bottomLeft"/>
      <selection pane="bottomRight" activeCell="F29" sqref="F29"/>
    </sheetView>
  </sheetViews>
  <sheetFormatPr defaultRowHeight="15" customHeight="1" x14ac:dyDescent="0.5"/>
  <cols>
    <col min="1" max="2" width="11.29296875" customWidth="1"/>
    <col min="3" max="3" width="17.5859375" bestFit="1" customWidth="1"/>
    <col min="4" max="5" width="8.87890625" customWidth="1"/>
    <col min="6" max="7" width="10.29296875" customWidth="1"/>
    <col min="8" max="8" width="17.41015625" customWidth="1"/>
    <col min="9" max="9" width="11.703125" customWidth="1"/>
    <col min="10" max="10" width="14.29296875" customWidth="1"/>
    <col min="11" max="11" width="10.1171875" customWidth="1"/>
    <col min="12" max="12" width="13.1171875" customWidth="1"/>
  </cols>
  <sheetData>
    <row r="1" spans="1:20" s="39" customFormat="1" ht="38.700000000000003" x14ac:dyDescent="0.5">
      <c r="A1" s="57" t="s">
        <v>403</v>
      </c>
      <c r="B1" s="57" t="s">
        <v>404</v>
      </c>
      <c r="C1" s="57" t="s">
        <v>405</v>
      </c>
      <c r="D1" s="57" t="s">
        <v>406</v>
      </c>
      <c r="E1" s="57" t="s">
        <v>407</v>
      </c>
      <c r="F1" s="57" t="s">
        <v>408</v>
      </c>
      <c r="G1" s="57" t="s">
        <v>409</v>
      </c>
      <c r="H1" s="57" t="s">
        <v>410</v>
      </c>
      <c r="I1" s="57" t="s">
        <v>411</v>
      </c>
      <c r="J1" s="57" t="s">
        <v>412</v>
      </c>
      <c r="K1" s="57" t="s">
        <v>413</v>
      </c>
      <c r="L1" s="57" t="s">
        <v>414</v>
      </c>
      <c r="M1" s="57"/>
      <c r="N1" s="57"/>
      <c r="O1" s="57"/>
      <c r="P1" s="57"/>
      <c r="Q1" s="57"/>
      <c r="R1" s="57"/>
      <c r="S1" s="57"/>
      <c r="T1" s="57"/>
    </row>
    <row r="2" spans="1:20" ht="14.35" x14ac:dyDescent="0.5">
      <c r="A2" s="21" t="s">
        <v>326</v>
      </c>
      <c r="B2" s="21" t="s">
        <v>326</v>
      </c>
      <c r="C2" s="21" t="s">
        <v>415</v>
      </c>
      <c r="D2" s="21">
        <v>0</v>
      </c>
      <c r="E2" s="21">
        <f t="shared" ref="E2:E7" si="0">MIN(F2:L2)</f>
        <v>659</v>
      </c>
      <c r="F2" s="21">
        <v>752</v>
      </c>
      <c r="G2" s="21">
        <v>800</v>
      </c>
      <c r="H2" s="21"/>
      <c r="I2" s="21"/>
      <c r="J2" s="21">
        <v>659</v>
      </c>
      <c r="K2" s="21"/>
      <c r="L2" s="21">
        <v>800</v>
      </c>
      <c r="M2" s="21"/>
      <c r="N2" s="21"/>
      <c r="O2" s="21"/>
      <c r="P2" s="21"/>
      <c r="Q2" s="21"/>
      <c r="R2" s="21"/>
      <c r="S2" s="21"/>
      <c r="T2" s="21"/>
    </row>
    <row r="3" spans="1:20" ht="14.35" x14ac:dyDescent="0.5">
      <c r="A3" s="21" t="s">
        <v>180</v>
      </c>
      <c r="B3" s="21" t="s">
        <v>180</v>
      </c>
      <c r="C3" s="21" t="s">
        <v>416</v>
      </c>
      <c r="D3" s="21">
        <v>1</v>
      </c>
      <c r="E3" s="21">
        <f t="shared" si="0"/>
        <v>450</v>
      </c>
      <c r="F3" s="21"/>
      <c r="G3" s="21">
        <v>1000</v>
      </c>
      <c r="H3" s="21"/>
      <c r="I3" s="21"/>
      <c r="J3" s="21">
        <v>450</v>
      </c>
      <c r="K3" s="21"/>
      <c r="L3" s="21">
        <v>1000</v>
      </c>
      <c r="M3" s="21"/>
      <c r="N3" s="21"/>
      <c r="O3" s="21"/>
      <c r="P3" s="21"/>
      <c r="Q3" s="21"/>
      <c r="R3" s="21"/>
      <c r="S3" s="21"/>
      <c r="T3" s="21"/>
    </row>
    <row r="4" spans="1:20" ht="14.35" x14ac:dyDescent="0.5">
      <c r="A4" s="21" t="s">
        <v>417</v>
      </c>
      <c r="B4" s="21" t="s">
        <v>417</v>
      </c>
      <c r="C4" s="21" t="s">
        <v>418</v>
      </c>
      <c r="D4" s="21">
        <v>1</v>
      </c>
      <c r="E4" s="21">
        <f t="shared" si="0"/>
        <v>659</v>
      </c>
      <c r="F4" s="21"/>
      <c r="G4" s="21"/>
      <c r="H4" s="21"/>
      <c r="I4" s="21"/>
      <c r="J4" s="21">
        <v>659</v>
      </c>
      <c r="K4" s="21"/>
      <c r="L4" s="21"/>
      <c r="M4" s="21"/>
      <c r="N4" s="21"/>
      <c r="O4" s="21"/>
      <c r="P4" s="21"/>
      <c r="Q4" s="21"/>
      <c r="R4" s="21"/>
      <c r="S4" s="21"/>
      <c r="T4" s="21"/>
    </row>
    <row r="5" spans="1:20" ht="14.35" x14ac:dyDescent="0.5">
      <c r="A5" s="21" t="s">
        <v>419</v>
      </c>
      <c r="B5" s="21" t="s">
        <v>419</v>
      </c>
      <c r="C5" s="21" t="s">
        <v>420</v>
      </c>
      <c r="D5" s="21">
        <v>0</v>
      </c>
      <c r="E5" s="21">
        <f t="shared" si="0"/>
        <v>300</v>
      </c>
      <c r="F5" s="21"/>
      <c r="G5" s="21">
        <v>629</v>
      </c>
      <c r="H5" s="21"/>
      <c r="I5" s="21"/>
      <c r="J5" s="21">
        <v>300</v>
      </c>
      <c r="K5" s="21"/>
      <c r="L5" s="21"/>
      <c r="M5" s="21"/>
      <c r="N5" s="21"/>
      <c r="O5" s="21"/>
      <c r="P5" s="21"/>
      <c r="Q5" s="21"/>
      <c r="R5" s="21"/>
      <c r="S5" s="21"/>
      <c r="T5" s="21"/>
    </row>
    <row r="6" spans="1:20" ht="14.35" x14ac:dyDescent="0.5">
      <c r="A6" s="21" t="s">
        <v>421</v>
      </c>
      <c r="B6" s="21" t="s">
        <v>421</v>
      </c>
      <c r="C6" s="21" t="s">
        <v>422</v>
      </c>
      <c r="D6" s="21">
        <v>0</v>
      </c>
      <c r="E6" s="21">
        <f t="shared" si="0"/>
        <v>515</v>
      </c>
      <c r="F6" s="21"/>
      <c r="G6" s="21">
        <v>515</v>
      </c>
      <c r="H6" s="21"/>
      <c r="I6" s="21"/>
      <c r="J6" s="21"/>
      <c r="K6" s="21"/>
      <c r="L6" s="21">
        <v>515</v>
      </c>
      <c r="M6" s="21"/>
      <c r="N6" s="21"/>
      <c r="O6" s="21"/>
      <c r="P6" s="21"/>
      <c r="Q6" s="21"/>
      <c r="R6" s="21"/>
      <c r="S6" s="21"/>
      <c r="T6" s="21"/>
    </row>
    <row r="7" spans="1:20" ht="14.35" x14ac:dyDescent="0.5">
      <c r="A7" s="21" t="s">
        <v>423</v>
      </c>
      <c r="B7" s="21" t="s">
        <v>309</v>
      </c>
      <c r="C7" s="21" t="s">
        <v>424</v>
      </c>
      <c r="D7" s="21">
        <v>1</v>
      </c>
      <c r="E7" s="21">
        <f t="shared" si="0"/>
        <v>447</v>
      </c>
      <c r="F7" s="21"/>
      <c r="G7" s="21">
        <v>576</v>
      </c>
      <c r="H7" s="21"/>
      <c r="I7" s="21"/>
      <c r="J7" s="21">
        <v>447</v>
      </c>
      <c r="K7" s="21"/>
      <c r="L7" s="21">
        <v>576</v>
      </c>
      <c r="M7" s="21"/>
      <c r="N7" s="21"/>
      <c r="O7" s="21"/>
      <c r="P7" s="21"/>
      <c r="Q7" s="21"/>
      <c r="R7" s="21"/>
      <c r="S7" s="21"/>
      <c r="T7" s="21"/>
    </row>
    <row r="8" spans="1:20" ht="14.35" x14ac:dyDescent="0.5">
      <c r="A8" s="21" t="s">
        <v>425</v>
      </c>
      <c r="B8" s="21" t="s">
        <v>425</v>
      </c>
      <c r="C8" s="21" t="s">
        <v>426</v>
      </c>
      <c r="D8" s="21">
        <v>0</v>
      </c>
      <c r="E8" s="21">
        <f t="shared" ref="E8:E28" si="1">MIN(F8:L8)</f>
        <v>250</v>
      </c>
      <c r="F8" s="21"/>
      <c r="G8" s="21">
        <v>785</v>
      </c>
      <c r="H8" s="21"/>
      <c r="I8" s="21"/>
      <c r="J8" s="21">
        <v>250</v>
      </c>
      <c r="K8" s="21"/>
      <c r="L8" s="21"/>
      <c r="M8" s="21"/>
      <c r="N8" s="21"/>
      <c r="O8" s="21"/>
      <c r="P8" s="21"/>
      <c r="Q8" s="21"/>
      <c r="R8" s="21"/>
      <c r="S8" s="21"/>
      <c r="T8" s="21"/>
    </row>
    <row r="9" spans="1:20" ht="14.35" x14ac:dyDescent="0.5">
      <c r="A9" s="21" t="s">
        <v>327</v>
      </c>
      <c r="B9" s="21" t="s">
        <v>327</v>
      </c>
      <c r="C9" s="21" t="s">
        <v>427</v>
      </c>
      <c r="D9" s="21">
        <v>0</v>
      </c>
      <c r="E9" s="21">
        <f t="shared" si="1"/>
        <v>592</v>
      </c>
      <c r="F9" s="21"/>
      <c r="G9" s="21">
        <v>592</v>
      </c>
      <c r="H9" s="21"/>
      <c r="I9" s="21"/>
      <c r="J9" s="21"/>
      <c r="K9" s="21"/>
      <c r="L9" s="21"/>
      <c r="M9" s="21"/>
      <c r="N9" s="21"/>
      <c r="O9" s="21"/>
      <c r="P9" s="21"/>
      <c r="Q9" s="21"/>
      <c r="R9" s="21"/>
      <c r="S9" s="21"/>
      <c r="T9" s="21"/>
    </row>
    <row r="10" spans="1:20" ht="14.35" x14ac:dyDescent="0.5">
      <c r="A10" s="21" t="s">
        <v>428</v>
      </c>
      <c r="B10" s="21" t="s">
        <v>428</v>
      </c>
      <c r="C10" s="21" t="s">
        <v>429</v>
      </c>
      <c r="D10" s="21">
        <v>0</v>
      </c>
      <c r="E10" s="21">
        <f t="shared" si="1"/>
        <v>406</v>
      </c>
      <c r="F10" s="21"/>
      <c r="G10" s="21">
        <v>406</v>
      </c>
      <c r="H10" s="21"/>
      <c r="I10" s="21"/>
      <c r="J10" s="21"/>
      <c r="K10" s="21"/>
      <c r="L10" s="21"/>
      <c r="M10" s="21"/>
      <c r="N10" s="21"/>
      <c r="O10" s="21"/>
      <c r="P10" s="21"/>
      <c r="Q10" s="21"/>
      <c r="R10" s="21"/>
      <c r="S10" s="21"/>
      <c r="T10" s="21"/>
    </row>
    <row r="11" spans="1:20" ht="14.35" x14ac:dyDescent="0.5">
      <c r="A11" s="21" t="s">
        <v>430</v>
      </c>
      <c r="B11" s="21" t="s">
        <v>430</v>
      </c>
      <c r="C11" s="21" t="s">
        <v>431</v>
      </c>
      <c r="D11" s="21">
        <v>0</v>
      </c>
      <c r="E11" s="21">
        <f t="shared" si="1"/>
        <v>550</v>
      </c>
      <c r="F11" s="21"/>
      <c r="G11" s="21">
        <v>550</v>
      </c>
      <c r="H11" s="21"/>
      <c r="I11" s="21"/>
      <c r="J11" s="21"/>
      <c r="K11" s="21"/>
      <c r="L11" s="21"/>
      <c r="M11" s="21"/>
      <c r="N11" s="21"/>
      <c r="O11" s="21"/>
      <c r="P11" s="21"/>
      <c r="Q11" s="21"/>
      <c r="R11" s="21"/>
      <c r="S11" s="21"/>
      <c r="T11" s="21"/>
    </row>
    <row r="12" spans="1:20" ht="14.35" x14ac:dyDescent="0.5">
      <c r="A12" s="21" t="s">
        <v>432</v>
      </c>
      <c r="B12" s="21" t="s">
        <v>433</v>
      </c>
      <c r="C12" s="21" t="s">
        <v>434</v>
      </c>
      <c r="D12" s="21">
        <v>0</v>
      </c>
      <c r="E12" s="21">
        <f t="shared" si="1"/>
        <v>785</v>
      </c>
      <c r="F12" s="21"/>
      <c r="G12" s="21">
        <v>785</v>
      </c>
      <c r="H12" s="21"/>
      <c r="I12" s="21"/>
      <c r="J12" s="21"/>
      <c r="K12" s="21"/>
      <c r="L12" s="21">
        <v>785</v>
      </c>
      <c r="M12" s="21"/>
      <c r="N12" s="21"/>
      <c r="O12" s="21"/>
      <c r="P12" s="21"/>
      <c r="Q12" s="21"/>
      <c r="R12" s="21"/>
      <c r="S12" s="21"/>
      <c r="T12" s="21"/>
    </row>
    <row r="13" spans="1:20" ht="14.35" x14ac:dyDescent="0.5">
      <c r="A13" s="21" t="s">
        <v>435</v>
      </c>
      <c r="B13" s="21" t="s">
        <v>435</v>
      </c>
      <c r="C13" s="21" t="s">
        <v>436</v>
      </c>
      <c r="D13" s="21">
        <v>0</v>
      </c>
      <c r="E13" s="21">
        <f t="shared" si="1"/>
        <v>679</v>
      </c>
      <c r="F13" s="21"/>
      <c r="G13" s="21">
        <v>679</v>
      </c>
      <c r="H13" s="21"/>
      <c r="I13" s="21"/>
      <c r="J13" s="21"/>
      <c r="K13" s="21"/>
      <c r="L13" s="21"/>
      <c r="M13" s="21"/>
      <c r="N13" s="21"/>
      <c r="O13" s="21"/>
      <c r="P13" s="21"/>
      <c r="Q13" s="21"/>
      <c r="R13" s="21"/>
      <c r="S13" s="21"/>
      <c r="T13" s="21"/>
    </row>
    <row r="14" spans="1:20" ht="14.35" x14ac:dyDescent="0.5">
      <c r="A14" s="21" t="s">
        <v>322</v>
      </c>
      <c r="B14" s="21" t="s">
        <v>322</v>
      </c>
      <c r="C14" s="21" t="s">
        <v>437</v>
      </c>
      <c r="D14" s="21">
        <v>0</v>
      </c>
      <c r="E14" s="21">
        <f t="shared" si="1"/>
        <v>400</v>
      </c>
      <c r="F14" s="21"/>
      <c r="G14" s="60">
        <v>679</v>
      </c>
      <c r="H14" s="21">
        <v>400</v>
      </c>
      <c r="I14" s="21"/>
      <c r="J14" s="21">
        <v>541</v>
      </c>
      <c r="K14" s="21"/>
      <c r="L14" s="21"/>
      <c r="M14" s="21"/>
      <c r="N14" s="21"/>
      <c r="O14" s="21"/>
      <c r="P14" s="21"/>
      <c r="Q14" s="21"/>
      <c r="R14" s="21"/>
      <c r="S14" s="21"/>
      <c r="T14" s="21"/>
    </row>
    <row r="15" spans="1:20" ht="14.35" x14ac:dyDescent="0.5">
      <c r="A15" s="21" t="s">
        <v>302</v>
      </c>
      <c r="B15" s="21" t="s">
        <v>302</v>
      </c>
      <c r="C15" s="21" t="s">
        <v>438</v>
      </c>
      <c r="D15" s="21">
        <v>1</v>
      </c>
      <c r="E15" s="21">
        <f t="shared" si="1"/>
        <v>447</v>
      </c>
      <c r="F15" s="21"/>
      <c r="G15" s="60">
        <v>561</v>
      </c>
      <c r="H15" s="21"/>
      <c r="I15" s="21"/>
      <c r="J15" s="60">
        <v>447</v>
      </c>
      <c r="K15" s="21"/>
      <c r="L15" s="21">
        <v>561</v>
      </c>
      <c r="M15" s="21"/>
      <c r="N15" s="21"/>
      <c r="O15" s="21"/>
      <c r="P15" s="21"/>
      <c r="Q15" s="21"/>
      <c r="R15" s="21"/>
      <c r="S15" s="21"/>
      <c r="T15" s="21"/>
    </row>
    <row r="16" spans="1:20" ht="14.35" x14ac:dyDescent="0.5">
      <c r="A16" s="21" t="s">
        <v>312</v>
      </c>
      <c r="B16" s="21" t="s">
        <v>312</v>
      </c>
      <c r="C16" s="21" t="s">
        <v>439</v>
      </c>
      <c r="D16" s="21">
        <v>1</v>
      </c>
      <c r="E16" s="21">
        <f t="shared" si="1"/>
        <v>365</v>
      </c>
      <c r="F16" s="21"/>
      <c r="G16" s="21">
        <v>365</v>
      </c>
      <c r="H16" s="21"/>
      <c r="I16" s="21"/>
      <c r="J16" s="21"/>
      <c r="K16" s="21"/>
      <c r="L16" s="21"/>
      <c r="M16" s="21"/>
      <c r="N16" s="21"/>
      <c r="O16" s="21"/>
      <c r="P16" s="21"/>
      <c r="Q16" s="21"/>
      <c r="R16" s="21"/>
      <c r="S16" s="21"/>
      <c r="T16" s="21"/>
    </row>
    <row r="17" spans="1:20" ht="14.35" x14ac:dyDescent="0.5">
      <c r="A17" s="21" t="s">
        <v>440</v>
      </c>
      <c r="B17" s="21" t="s">
        <v>310</v>
      </c>
      <c r="C17" s="21" t="s">
        <v>441</v>
      </c>
      <c r="D17" s="21">
        <v>1</v>
      </c>
      <c r="E17" s="21">
        <f t="shared" si="1"/>
        <v>272</v>
      </c>
      <c r="F17" s="21"/>
      <c r="G17" s="58">
        <v>272</v>
      </c>
      <c r="H17" s="21"/>
      <c r="I17" s="21"/>
      <c r="J17" s="21">
        <v>447</v>
      </c>
      <c r="K17" s="21"/>
      <c r="L17" s="21"/>
      <c r="M17" s="21"/>
      <c r="N17" s="21"/>
      <c r="O17" s="21"/>
      <c r="P17" s="21"/>
      <c r="Q17" s="21"/>
      <c r="R17" s="21"/>
      <c r="S17" s="21"/>
      <c r="T17" s="21"/>
    </row>
    <row r="18" spans="1:20" ht="14.35" x14ac:dyDescent="0.5">
      <c r="A18" s="21" t="s">
        <v>305</v>
      </c>
      <c r="B18" s="21" t="s">
        <v>305</v>
      </c>
      <c r="C18" s="21" t="s">
        <v>442</v>
      </c>
      <c r="D18" s="21">
        <v>1</v>
      </c>
      <c r="E18" s="21">
        <f t="shared" si="1"/>
        <v>365</v>
      </c>
      <c r="F18" s="21">
        <v>499</v>
      </c>
      <c r="G18" s="59">
        <v>365</v>
      </c>
      <c r="H18" s="21"/>
      <c r="I18" s="21"/>
      <c r="J18" s="21">
        <v>429</v>
      </c>
      <c r="K18" s="21">
        <v>430</v>
      </c>
      <c r="L18" s="21">
        <v>365</v>
      </c>
      <c r="M18" s="21"/>
      <c r="N18" s="21"/>
      <c r="O18" s="21"/>
      <c r="P18" s="21"/>
      <c r="Q18" s="21"/>
      <c r="R18" s="21"/>
      <c r="S18" s="21"/>
      <c r="T18" s="21"/>
    </row>
    <row r="19" spans="1:20" ht="14.35" x14ac:dyDescent="0.5">
      <c r="A19" s="21" t="s">
        <v>443</v>
      </c>
      <c r="B19" s="21" t="s">
        <v>443</v>
      </c>
      <c r="C19" s="21" t="s">
        <v>396</v>
      </c>
      <c r="D19" s="21">
        <v>0</v>
      </c>
      <c r="E19" s="21">
        <f t="shared" si="1"/>
        <v>619</v>
      </c>
      <c r="F19" s="21"/>
      <c r="G19" s="21"/>
      <c r="H19" s="21"/>
      <c r="I19" s="21"/>
      <c r="J19" s="21">
        <v>619</v>
      </c>
      <c r="K19" s="21"/>
      <c r="L19" s="21"/>
      <c r="M19" s="21"/>
      <c r="N19" s="21"/>
      <c r="O19" s="21"/>
      <c r="P19" s="21"/>
      <c r="Q19" s="21"/>
      <c r="R19" s="21"/>
      <c r="S19" s="21"/>
      <c r="T19" s="21"/>
    </row>
    <row r="20" spans="1:20" ht="14.35" x14ac:dyDescent="0.5">
      <c r="A20" s="21" t="s">
        <v>298</v>
      </c>
      <c r="B20" s="21" t="s">
        <v>298</v>
      </c>
      <c r="C20" s="21" t="s">
        <v>382</v>
      </c>
      <c r="D20" s="21">
        <v>1</v>
      </c>
      <c r="E20" s="21">
        <f t="shared" si="1"/>
        <v>530</v>
      </c>
      <c r="F20" s="21">
        <v>530</v>
      </c>
      <c r="G20" s="59">
        <v>570</v>
      </c>
      <c r="H20" s="21">
        <v>547</v>
      </c>
      <c r="I20" s="21"/>
      <c r="J20" s="21">
        <v>767</v>
      </c>
      <c r="K20" s="21">
        <v>664</v>
      </c>
      <c r="L20" s="21">
        <v>570</v>
      </c>
      <c r="M20" s="21"/>
      <c r="N20" s="21"/>
      <c r="O20" s="21"/>
      <c r="P20" s="21"/>
      <c r="Q20" s="21"/>
      <c r="R20" s="21"/>
      <c r="S20" s="21"/>
      <c r="T20" s="21"/>
    </row>
    <row r="21" spans="1:20" ht="14.35" x14ac:dyDescent="0.5">
      <c r="A21" s="21" t="s">
        <v>444</v>
      </c>
      <c r="B21" s="21" t="s">
        <v>444</v>
      </c>
      <c r="C21" s="21" t="s">
        <v>445</v>
      </c>
      <c r="D21" s="21">
        <v>0</v>
      </c>
      <c r="E21" s="21">
        <f t="shared" si="1"/>
        <v>667</v>
      </c>
      <c r="F21" s="21"/>
      <c r="G21" s="21">
        <v>667</v>
      </c>
      <c r="H21" s="21"/>
      <c r="I21" s="21"/>
      <c r="J21" s="21"/>
      <c r="K21" s="21"/>
      <c r="L21" s="21"/>
      <c r="M21" s="21"/>
      <c r="N21" s="21"/>
      <c r="O21" s="21"/>
      <c r="P21" s="21"/>
      <c r="Q21" s="21"/>
      <c r="R21" s="21"/>
      <c r="S21" s="21"/>
      <c r="T21" s="21"/>
    </row>
    <row r="22" spans="1:20" ht="14.35" x14ac:dyDescent="0.5">
      <c r="A22" s="21" t="s">
        <v>317</v>
      </c>
      <c r="B22" s="21" t="s">
        <v>317</v>
      </c>
      <c r="C22" s="21" t="s">
        <v>177</v>
      </c>
      <c r="D22" s="21">
        <v>1</v>
      </c>
      <c r="E22" s="21">
        <f t="shared" si="1"/>
        <v>200</v>
      </c>
      <c r="F22" s="21"/>
      <c r="G22" s="21">
        <v>440</v>
      </c>
      <c r="H22" s="21">
        <v>200</v>
      </c>
      <c r="I22" s="21"/>
      <c r="J22" s="21">
        <v>200</v>
      </c>
      <c r="K22" s="21"/>
      <c r="L22" s="21"/>
      <c r="M22" s="21"/>
      <c r="N22" s="21"/>
      <c r="O22" s="21"/>
      <c r="P22" s="21"/>
      <c r="Q22" s="21"/>
      <c r="R22" s="21"/>
      <c r="S22" s="21"/>
      <c r="T22" s="21"/>
    </row>
    <row r="23" spans="1:20" ht="14.35" x14ac:dyDescent="0.5">
      <c r="A23" s="21" t="s">
        <v>446</v>
      </c>
      <c r="B23" s="21" t="s">
        <v>446</v>
      </c>
      <c r="C23" s="21" t="s">
        <v>447</v>
      </c>
      <c r="D23" s="21">
        <v>0</v>
      </c>
      <c r="E23" s="21">
        <f t="shared" si="1"/>
        <v>406</v>
      </c>
      <c r="F23" s="21"/>
      <c r="G23" s="21">
        <v>550</v>
      </c>
      <c r="H23" s="21"/>
      <c r="I23" s="21"/>
      <c r="J23" s="21"/>
      <c r="K23" s="21"/>
      <c r="L23" s="21">
        <v>406</v>
      </c>
      <c r="M23" s="21"/>
      <c r="N23" s="21"/>
      <c r="O23" s="21"/>
      <c r="P23" s="21"/>
      <c r="Q23" s="21"/>
      <c r="R23" s="21"/>
      <c r="S23" s="21"/>
      <c r="T23" s="21"/>
    </row>
    <row r="24" spans="1:20" ht="14.35" x14ac:dyDescent="0.5">
      <c r="A24" s="21" t="s">
        <v>448</v>
      </c>
      <c r="B24" s="21" t="s">
        <v>448</v>
      </c>
      <c r="C24" s="21" t="s">
        <v>449</v>
      </c>
      <c r="D24" s="21">
        <v>0</v>
      </c>
      <c r="E24" s="21">
        <f t="shared" si="1"/>
        <v>1052</v>
      </c>
      <c r="F24" s="21"/>
      <c r="G24" s="21">
        <v>1052</v>
      </c>
      <c r="H24" s="21"/>
      <c r="I24" s="21"/>
      <c r="J24" s="21"/>
      <c r="K24" s="21"/>
      <c r="L24" s="21">
        <v>1052</v>
      </c>
      <c r="M24" s="21"/>
      <c r="N24" s="21"/>
      <c r="O24" s="21"/>
      <c r="P24" s="21"/>
      <c r="Q24" s="21"/>
      <c r="R24" s="21"/>
      <c r="S24" s="21"/>
      <c r="T24" s="21"/>
    </row>
    <row r="25" spans="1:20" ht="14.35" x14ac:dyDescent="0.5">
      <c r="A25" s="21" t="s">
        <v>450</v>
      </c>
      <c r="B25" s="21" t="s">
        <v>450</v>
      </c>
      <c r="C25" s="21" t="s">
        <v>451</v>
      </c>
      <c r="D25" s="21">
        <v>0</v>
      </c>
      <c r="E25" s="21">
        <f t="shared" si="1"/>
        <v>570</v>
      </c>
      <c r="F25" s="21"/>
      <c r="G25" s="21">
        <v>570</v>
      </c>
      <c r="H25" s="21"/>
      <c r="I25" s="21"/>
      <c r="J25" s="21"/>
      <c r="K25" s="21"/>
      <c r="L25" s="21"/>
      <c r="M25" s="21"/>
      <c r="N25" s="21"/>
      <c r="O25" s="21"/>
      <c r="P25" s="21"/>
      <c r="Q25" s="21"/>
      <c r="R25" s="21"/>
      <c r="S25" s="21"/>
      <c r="T25" s="21"/>
    </row>
    <row r="26" spans="1:20" ht="14.35" x14ac:dyDescent="0.5">
      <c r="A26" s="21" t="s">
        <v>329</v>
      </c>
      <c r="B26" s="21" t="s">
        <v>329</v>
      </c>
      <c r="C26" s="21" t="s">
        <v>452</v>
      </c>
      <c r="D26" s="21">
        <v>0</v>
      </c>
      <c r="E26" s="21">
        <f t="shared" si="1"/>
        <v>650</v>
      </c>
      <c r="F26" s="21"/>
      <c r="G26" s="21">
        <v>762</v>
      </c>
      <c r="H26" s="21"/>
      <c r="I26" s="21"/>
      <c r="J26" s="21">
        <v>650</v>
      </c>
      <c r="K26" s="21"/>
      <c r="L26" s="21"/>
      <c r="M26" s="21"/>
      <c r="N26" s="21"/>
      <c r="O26" s="21"/>
      <c r="P26" s="21"/>
      <c r="Q26" s="21"/>
      <c r="R26" s="21"/>
      <c r="S26" s="21"/>
      <c r="T26" s="21"/>
    </row>
    <row r="27" spans="1:20" ht="14.35" x14ac:dyDescent="0.5">
      <c r="A27" s="21" t="s">
        <v>330</v>
      </c>
      <c r="B27" s="21" t="s">
        <v>330</v>
      </c>
      <c r="C27" s="21" t="s">
        <v>453</v>
      </c>
      <c r="D27" s="21">
        <v>0</v>
      </c>
      <c r="E27" s="21">
        <f t="shared" si="1"/>
        <v>650</v>
      </c>
      <c r="F27" s="21"/>
      <c r="G27" s="21">
        <v>682</v>
      </c>
      <c r="H27" s="21"/>
      <c r="I27" s="21"/>
      <c r="J27" s="21">
        <v>650</v>
      </c>
      <c r="K27" s="21"/>
      <c r="L27" s="21"/>
      <c r="M27" s="21"/>
      <c r="N27" s="21"/>
      <c r="O27" s="21"/>
      <c r="P27" s="21"/>
      <c r="Q27" s="21"/>
      <c r="R27" s="21"/>
      <c r="S27" s="21"/>
      <c r="T27" s="21"/>
    </row>
    <row r="28" spans="1:20" ht="14.35" x14ac:dyDescent="0.5">
      <c r="A28" s="21" t="s">
        <v>331</v>
      </c>
      <c r="B28" s="21" t="s">
        <v>331</v>
      </c>
      <c r="C28" s="21" t="s">
        <v>454</v>
      </c>
      <c r="D28" s="21">
        <v>0</v>
      </c>
      <c r="E28" s="21">
        <f t="shared" si="1"/>
        <v>687</v>
      </c>
      <c r="F28" s="21"/>
      <c r="G28" s="21">
        <v>687</v>
      </c>
      <c r="H28" s="21"/>
      <c r="I28" s="21"/>
      <c r="J28" s="21">
        <v>758</v>
      </c>
      <c r="K28" s="21"/>
      <c r="L28" s="21"/>
      <c r="M28" s="21"/>
      <c r="N28" s="21"/>
      <c r="O28" s="21"/>
      <c r="P28" s="21"/>
      <c r="Q28" s="21"/>
      <c r="R28" s="21"/>
      <c r="S28" s="21"/>
      <c r="T28" s="21"/>
    </row>
    <row r="29" spans="1:20" s="39" customFormat="1" ht="58.5" customHeight="1" x14ac:dyDescent="0.5">
      <c r="A29" s="57" t="s">
        <v>455</v>
      </c>
      <c r="B29" s="57"/>
      <c r="C29" s="57"/>
      <c r="D29" s="21"/>
      <c r="E29" s="21"/>
      <c r="F29" s="57" t="s">
        <v>456</v>
      </c>
      <c r="G29" s="57" t="s">
        <v>457</v>
      </c>
      <c r="H29" s="57"/>
      <c r="I29" s="57" t="s">
        <v>458</v>
      </c>
      <c r="J29" s="57" t="s">
        <v>459</v>
      </c>
      <c r="K29" s="57"/>
      <c r="L29" s="57" t="s">
        <v>457</v>
      </c>
      <c r="M29" s="57"/>
      <c r="N29" s="57"/>
      <c r="O29" s="57"/>
      <c r="P29" s="57"/>
      <c r="Q29" s="57"/>
      <c r="R29" s="57"/>
      <c r="S29" s="57"/>
      <c r="T29" s="57"/>
    </row>
    <row r="30" spans="1:20" ht="14.35" x14ac:dyDescent="0.5">
      <c r="A30" s="21"/>
      <c r="B30" s="21"/>
      <c r="C30" s="21"/>
      <c r="D30" s="21"/>
      <c r="E30" s="21"/>
      <c r="F30" s="21"/>
      <c r="G30" s="21"/>
      <c r="H30" s="21"/>
      <c r="I30" s="21"/>
      <c r="J30" s="21"/>
      <c r="K30" s="21"/>
      <c r="L30" s="21"/>
      <c r="M30" s="21"/>
      <c r="N30" s="21"/>
      <c r="O30" s="21"/>
      <c r="P30" s="21"/>
      <c r="Q30" s="21"/>
      <c r="R30" s="21"/>
      <c r="S30" s="21"/>
      <c r="T30" s="21"/>
    </row>
    <row r="31" spans="1:20" ht="14.35" x14ac:dyDescent="0.5">
      <c r="A31" s="21"/>
      <c r="B31" s="21"/>
      <c r="C31" s="21"/>
      <c r="D31" s="21"/>
      <c r="E31" s="21"/>
      <c r="F31" s="21"/>
      <c r="G31" s="21"/>
      <c r="H31" s="21"/>
      <c r="I31" s="21"/>
      <c r="J31" s="21"/>
      <c r="K31" s="21"/>
      <c r="L31" s="21"/>
      <c r="M31" s="21"/>
      <c r="N31" s="21"/>
      <c r="O31" s="21"/>
      <c r="P31" s="21"/>
      <c r="Q31" s="21"/>
      <c r="R31" s="21"/>
      <c r="S31" s="21"/>
      <c r="T31" s="21"/>
    </row>
    <row r="32" spans="1:20" ht="14.35" x14ac:dyDescent="0.5">
      <c r="A32" s="21"/>
      <c r="B32" s="21"/>
      <c r="C32" s="21"/>
      <c r="D32" s="21"/>
      <c r="E32" s="21"/>
      <c r="F32" s="21"/>
      <c r="G32" s="21"/>
      <c r="H32" s="21"/>
      <c r="I32" s="21"/>
      <c r="J32" s="21"/>
      <c r="K32" s="21"/>
      <c r="L32" s="21"/>
      <c r="M32" s="21"/>
      <c r="N32" s="21"/>
      <c r="O32" s="21"/>
      <c r="P32" s="21"/>
      <c r="Q32" s="21"/>
      <c r="R32" s="21"/>
      <c r="S32" s="21"/>
      <c r="T32" s="21"/>
    </row>
    <row r="33" spans="1:20" ht="14.35" x14ac:dyDescent="0.5">
      <c r="A33" s="21"/>
      <c r="B33" s="21"/>
      <c r="C33" s="21"/>
      <c r="D33" s="21"/>
      <c r="E33" s="21"/>
      <c r="F33" s="21"/>
      <c r="G33" s="21"/>
      <c r="H33" s="21"/>
      <c r="I33" s="21"/>
      <c r="J33" s="21"/>
      <c r="K33" s="21"/>
      <c r="L33" s="21"/>
      <c r="M33" s="21"/>
      <c r="N33" s="21"/>
      <c r="O33" s="21"/>
      <c r="P33" s="21"/>
      <c r="Q33" s="21"/>
      <c r="R33" s="21"/>
      <c r="S33" s="21"/>
      <c r="T33" s="21"/>
    </row>
    <row r="34" spans="1:20" ht="14.35" x14ac:dyDescent="0.5">
      <c r="A34" s="21"/>
      <c r="B34" s="21"/>
      <c r="C34" s="21"/>
      <c r="D34" s="21"/>
      <c r="E34" s="21"/>
      <c r="F34" s="21"/>
      <c r="G34" s="21"/>
      <c r="H34" s="21"/>
      <c r="I34" s="21"/>
      <c r="J34" s="21"/>
      <c r="K34" s="21"/>
      <c r="L34" s="21"/>
      <c r="M34" s="21"/>
      <c r="N34" s="21"/>
      <c r="O34" s="21"/>
      <c r="P34" s="21"/>
      <c r="Q34" s="21"/>
      <c r="R34" s="21"/>
      <c r="S34" s="21"/>
      <c r="T34" s="21"/>
    </row>
    <row r="35" spans="1:20" ht="14.35" x14ac:dyDescent="0.5">
      <c r="A35" s="21"/>
      <c r="B35" s="21"/>
      <c r="C35" s="21"/>
      <c r="D35" s="21"/>
      <c r="E35" s="21"/>
      <c r="F35" s="21"/>
      <c r="G35" s="21"/>
      <c r="H35" s="21"/>
      <c r="I35" s="21"/>
      <c r="J35" s="21"/>
      <c r="K35" s="21"/>
      <c r="L35" s="21"/>
      <c r="M35" s="21"/>
      <c r="N35" s="21"/>
      <c r="O35" s="21"/>
      <c r="P35" s="21"/>
      <c r="Q35" s="21"/>
      <c r="R35" s="21"/>
      <c r="S35" s="21"/>
      <c r="T35" s="21"/>
    </row>
  </sheetData>
  <autoFilter ref="A1:L29" xr:uid="{7BE83DB2-461C-4E21-9033-F802C7A49118}">
    <sortState xmlns:xlrd2="http://schemas.microsoft.com/office/spreadsheetml/2017/richdata2" ref="A2:L29">
      <sortCondition ref="B1:B29"/>
    </sortState>
  </autoFilter>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election activeCell="C3" sqref="C3"/>
    </sheetView>
  </sheetViews>
  <sheetFormatPr defaultRowHeight="14.35" x14ac:dyDescent="0.5"/>
  <cols>
    <col min="1" max="1" width="12.5859375" bestFit="1" customWidth="1"/>
    <col min="2" max="2" width="26.703125" bestFit="1" customWidth="1"/>
    <col min="3" max="3" width="30.5859375" customWidth="1"/>
    <col min="4" max="4" width="20.87890625" customWidth="1"/>
    <col min="9" max="9" width="23" bestFit="1" customWidth="1"/>
  </cols>
  <sheetData>
    <row r="1" spans="1:5" x14ac:dyDescent="0.5">
      <c r="A1" t="s">
        <v>460</v>
      </c>
      <c r="B1" t="s">
        <v>333</v>
      </c>
      <c r="C1" t="s">
        <v>334</v>
      </c>
      <c r="D1" t="s">
        <v>335</v>
      </c>
      <c r="E1" t="s">
        <v>2</v>
      </c>
    </row>
    <row r="2" spans="1:5" x14ac:dyDescent="0.5">
      <c r="A2">
        <v>8</v>
      </c>
      <c r="B2" t="s">
        <v>326</v>
      </c>
      <c r="C2" t="s">
        <v>122</v>
      </c>
      <c r="E2" t="s">
        <v>106</v>
      </c>
    </row>
    <row r="3" spans="1:5" x14ac:dyDescent="0.5">
      <c r="A3">
        <v>1</v>
      </c>
      <c r="B3" t="s">
        <v>326</v>
      </c>
      <c r="C3" t="s">
        <v>123</v>
      </c>
      <c r="E3" t="s">
        <v>106</v>
      </c>
    </row>
    <row r="4" spans="1:5" x14ac:dyDescent="0.5">
      <c r="A4">
        <v>3</v>
      </c>
      <c r="B4" t="s">
        <v>326</v>
      </c>
      <c r="C4" t="s">
        <v>124</v>
      </c>
      <c r="E4" t="s">
        <v>106</v>
      </c>
    </row>
    <row r="5" spans="1:5" x14ac:dyDescent="0.5">
      <c r="A5">
        <v>1</v>
      </c>
      <c r="B5" t="s">
        <v>326</v>
      </c>
      <c r="C5" t="s">
        <v>133</v>
      </c>
      <c r="E5" t="s">
        <v>106</v>
      </c>
    </row>
    <row r="6" spans="1:5" x14ac:dyDescent="0.5">
      <c r="A6">
        <v>5</v>
      </c>
      <c r="B6" t="s">
        <v>326</v>
      </c>
      <c r="C6" t="s">
        <v>139</v>
      </c>
      <c r="E6" t="s">
        <v>117</v>
      </c>
    </row>
    <row r="7" spans="1:5" x14ac:dyDescent="0.5">
      <c r="A7">
        <v>1</v>
      </c>
      <c r="B7" t="s">
        <v>326</v>
      </c>
      <c r="C7" t="s">
        <v>145</v>
      </c>
      <c r="E7" t="s">
        <v>117</v>
      </c>
    </row>
    <row r="8" spans="1:5" x14ac:dyDescent="0.5">
      <c r="A8">
        <v>2</v>
      </c>
      <c r="B8" t="s">
        <v>326</v>
      </c>
      <c r="C8" t="s">
        <v>151</v>
      </c>
      <c r="E8" t="s">
        <v>106</v>
      </c>
    </row>
    <row r="9" spans="1:5" x14ac:dyDescent="0.5">
      <c r="A9">
        <v>3</v>
      </c>
      <c r="B9" t="s">
        <v>328</v>
      </c>
      <c r="C9" t="s">
        <v>22</v>
      </c>
      <c r="E9" t="s">
        <v>344</v>
      </c>
    </row>
    <row r="10" spans="1:5" x14ac:dyDescent="0.5">
      <c r="A10">
        <v>3</v>
      </c>
      <c r="B10" t="s">
        <v>328</v>
      </c>
      <c r="C10" t="s">
        <v>345</v>
      </c>
      <c r="E10" t="s">
        <v>10</v>
      </c>
    </row>
    <row r="11" spans="1:5" x14ac:dyDescent="0.5">
      <c r="A11">
        <v>5</v>
      </c>
      <c r="B11" t="s">
        <v>305</v>
      </c>
      <c r="C11" t="s">
        <v>268</v>
      </c>
      <c r="E11" t="s">
        <v>148</v>
      </c>
    </row>
    <row r="12" spans="1:5" x14ac:dyDescent="0.5">
      <c r="A12">
        <v>2</v>
      </c>
      <c r="B12" t="s">
        <v>298</v>
      </c>
      <c r="C12" t="s">
        <v>88</v>
      </c>
      <c r="E12" t="s">
        <v>86</v>
      </c>
    </row>
    <row r="13" spans="1:5" x14ac:dyDescent="0.5">
      <c r="A13">
        <v>1</v>
      </c>
      <c r="B13" t="s">
        <v>298</v>
      </c>
      <c r="C13" t="s">
        <v>89</v>
      </c>
      <c r="E13" t="s">
        <v>73</v>
      </c>
    </row>
    <row r="14" spans="1:5" x14ac:dyDescent="0.5">
      <c r="A14">
        <v>10</v>
      </c>
      <c r="B14" t="s">
        <v>298</v>
      </c>
      <c r="C14" t="s">
        <v>92</v>
      </c>
      <c r="E14" t="s">
        <v>86</v>
      </c>
    </row>
    <row r="15" spans="1:5" x14ac:dyDescent="0.5">
      <c r="A15">
        <v>8</v>
      </c>
      <c r="B15" t="s">
        <v>298</v>
      </c>
      <c r="C15" t="s">
        <v>93</v>
      </c>
      <c r="E15" t="s">
        <v>86</v>
      </c>
    </row>
    <row r="16" spans="1:5" x14ac:dyDescent="0.5">
      <c r="A16">
        <v>10</v>
      </c>
      <c r="B16" t="s">
        <v>298</v>
      </c>
      <c r="C16" t="s">
        <v>105</v>
      </c>
      <c r="E16" t="s">
        <v>106</v>
      </c>
    </row>
    <row r="17" spans="1:5" x14ac:dyDescent="0.5">
      <c r="A17">
        <v>8</v>
      </c>
      <c r="B17" t="s">
        <v>298</v>
      </c>
      <c r="C17" t="s">
        <v>107</v>
      </c>
      <c r="E17" t="s">
        <v>106</v>
      </c>
    </row>
    <row r="18" spans="1:5" x14ac:dyDescent="0.5">
      <c r="A18">
        <v>8</v>
      </c>
      <c r="B18" t="s">
        <v>298</v>
      </c>
      <c r="C18" t="s">
        <v>109</v>
      </c>
      <c r="E18" t="s">
        <v>86</v>
      </c>
    </row>
    <row r="19" spans="1:5" x14ac:dyDescent="0.5">
      <c r="A19">
        <v>2</v>
      </c>
      <c r="B19" t="s">
        <v>298</v>
      </c>
      <c r="C19" t="s">
        <v>110</v>
      </c>
      <c r="E19" t="s">
        <v>76</v>
      </c>
    </row>
    <row r="20" spans="1:5" x14ac:dyDescent="0.5">
      <c r="A20">
        <v>30</v>
      </c>
      <c r="B20" t="s">
        <v>298</v>
      </c>
      <c r="C20" t="s">
        <v>111</v>
      </c>
      <c r="E20" t="s">
        <v>86</v>
      </c>
    </row>
    <row r="21" spans="1:5" x14ac:dyDescent="0.5">
      <c r="A21">
        <v>7</v>
      </c>
      <c r="B21" t="s">
        <v>298</v>
      </c>
      <c r="C21" t="s">
        <v>113</v>
      </c>
      <c r="E21" t="s">
        <v>86</v>
      </c>
    </row>
    <row r="23" spans="1:5" x14ac:dyDescent="0.5">
      <c r="A23" t="s">
        <v>461</v>
      </c>
      <c r="B23" t="s">
        <v>462</v>
      </c>
      <c r="C23" t="s">
        <v>463</v>
      </c>
      <c r="D23" t="s">
        <v>464</v>
      </c>
    </row>
    <row r="24" spans="1:5" x14ac:dyDescent="0.5">
      <c r="A24">
        <v>35</v>
      </c>
      <c r="B24" t="s">
        <v>326</v>
      </c>
      <c r="C24" t="s">
        <v>336</v>
      </c>
      <c r="D24" t="s">
        <v>337</v>
      </c>
    </row>
    <row r="26" spans="1:5" x14ac:dyDescent="0.5">
      <c r="A26">
        <v>1</v>
      </c>
      <c r="B26" t="s">
        <v>326</v>
      </c>
      <c r="C26" t="s">
        <v>338</v>
      </c>
      <c r="D26" t="s">
        <v>339</v>
      </c>
    </row>
    <row r="27" spans="1:5" x14ac:dyDescent="0.5">
      <c r="A27">
        <v>9</v>
      </c>
      <c r="B27" t="s">
        <v>326</v>
      </c>
      <c r="C27" t="s">
        <v>133</v>
      </c>
      <c r="D27" t="s">
        <v>340</v>
      </c>
    </row>
    <row r="28" spans="1:5" x14ac:dyDescent="0.5">
      <c r="A28">
        <v>1</v>
      </c>
      <c r="B28" t="s">
        <v>326</v>
      </c>
      <c r="C28" t="s">
        <v>341</v>
      </c>
      <c r="D28" t="s">
        <v>342</v>
      </c>
    </row>
    <row r="29" spans="1:5" x14ac:dyDescent="0.5">
      <c r="A29">
        <v>34</v>
      </c>
      <c r="B29" t="s">
        <v>326</v>
      </c>
      <c r="C29" t="s">
        <v>151</v>
      </c>
      <c r="D29" t="s">
        <v>343</v>
      </c>
    </row>
    <row r="30" spans="1:5" x14ac:dyDescent="0.5">
      <c r="A30">
        <v>12</v>
      </c>
      <c r="B30" t="s">
        <v>305</v>
      </c>
      <c r="C30" t="s">
        <v>268</v>
      </c>
      <c r="D30" t="s">
        <v>346</v>
      </c>
    </row>
    <row r="31" spans="1:5" x14ac:dyDescent="0.5">
      <c r="A31">
        <v>26</v>
      </c>
      <c r="B31" t="s">
        <v>298</v>
      </c>
      <c r="C31" t="s">
        <v>347</v>
      </c>
      <c r="D31" t="s">
        <v>348</v>
      </c>
    </row>
    <row r="32" spans="1:5" x14ac:dyDescent="0.5">
      <c r="A32">
        <v>2</v>
      </c>
      <c r="B32" t="s">
        <v>298</v>
      </c>
      <c r="C32" t="s">
        <v>349</v>
      </c>
      <c r="D32" t="s">
        <v>350</v>
      </c>
    </row>
    <row r="33" spans="1:4" x14ac:dyDescent="0.5">
      <c r="A33">
        <v>4</v>
      </c>
      <c r="B33" t="s">
        <v>298</v>
      </c>
      <c r="C33" t="s">
        <v>353</v>
      </c>
      <c r="D33" t="s">
        <v>354</v>
      </c>
    </row>
    <row r="34" spans="1:4" x14ac:dyDescent="0.5">
      <c r="A34">
        <v>4</v>
      </c>
      <c r="B34" t="s">
        <v>298</v>
      </c>
      <c r="C34" t="s">
        <v>351</v>
      </c>
      <c r="D34" t="s">
        <v>352</v>
      </c>
    </row>
    <row r="35" spans="1:4" x14ac:dyDescent="0.5">
      <c r="A35">
        <v>3</v>
      </c>
      <c r="B35" t="s">
        <v>298</v>
      </c>
      <c r="C35" t="s">
        <v>172</v>
      </c>
      <c r="D35" t="s">
        <v>355</v>
      </c>
    </row>
    <row r="36" spans="1:4" x14ac:dyDescent="0.5">
      <c r="A36">
        <v>36</v>
      </c>
      <c r="B36" t="s">
        <v>298</v>
      </c>
      <c r="C36" t="s">
        <v>105</v>
      </c>
      <c r="D36" t="s">
        <v>356</v>
      </c>
    </row>
    <row r="37" spans="1:4" x14ac:dyDescent="0.5">
      <c r="A37">
        <v>32</v>
      </c>
      <c r="B37" t="s">
        <v>298</v>
      </c>
      <c r="C37" t="s">
        <v>107</v>
      </c>
      <c r="D37" t="s">
        <v>357</v>
      </c>
    </row>
    <row r="38" spans="1:4" x14ac:dyDescent="0.5">
      <c r="A38">
        <v>448</v>
      </c>
      <c r="B38" t="s">
        <v>298</v>
      </c>
      <c r="C38" t="s">
        <v>358</v>
      </c>
      <c r="D38" t="s">
        <v>359</v>
      </c>
    </row>
    <row r="39" spans="1:4" x14ac:dyDescent="0.5">
      <c r="A39">
        <v>44</v>
      </c>
      <c r="B39" t="s">
        <v>298</v>
      </c>
      <c r="C39" t="s">
        <v>360</v>
      </c>
      <c r="D39" t="s">
        <v>361</v>
      </c>
    </row>
  </sheetData>
  <sortState xmlns:xlrd2="http://schemas.microsoft.com/office/spreadsheetml/2017/richdata2" ref="A24:D39">
    <sortCondition ref="C24:C39"/>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workbookViewId="0">
      <selection activeCell="C16" sqref="C16"/>
    </sheetView>
  </sheetViews>
  <sheetFormatPr defaultRowHeight="14.35" x14ac:dyDescent="0.5"/>
  <cols>
    <col min="3" max="3" width="23" bestFit="1" customWidth="1"/>
    <col min="4" max="4" width="62.5859375" bestFit="1" customWidth="1"/>
  </cols>
  <sheetData>
    <row r="1" spans="1:4" x14ac:dyDescent="0.5">
      <c r="A1" t="s">
        <v>461</v>
      </c>
      <c r="B1" t="s">
        <v>462</v>
      </c>
      <c r="C1" t="s">
        <v>463</v>
      </c>
      <c r="D1" t="s">
        <v>464</v>
      </c>
    </row>
    <row r="2" spans="1:4" x14ac:dyDescent="0.5">
      <c r="A2">
        <v>35</v>
      </c>
      <c r="B2" t="s">
        <v>326</v>
      </c>
      <c r="C2" t="s">
        <v>336</v>
      </c>
      <c r="D2" t="s">
        <v>337</v>
      </c>
    </row>
    <row r="3" spans="1:4" x14ac:dyDescent="0.5">
      <c r="A3">
        <v>1</v>
      </c>
      <c r="B3" t="s">
        <v>326</v>
      </c>
      <c r="C3" t="s">
        <v>338</v>
      </c>
      <c r="D3" t="s">
        <v>339</v>
      </c>
    </row>
    <row r="4" spans="1:4" x14ac:dyDescent="0.5">
      <c r="A4">
        <v>9</v>
      </c>
      <c r="B4" t="s">
        <v>326</v>
      </c>
      <c r="C4" t="s">
        <v>133</v>
      </c>
      <c r="D4" t="s">
        <v>340</v>
      </c>
    </row>
    <row r="5" spans="1:4" x14ac:dyDescent="0.5">
      <c r="A5">
        <v>1</v>
      </c>
      <c r="B5" t="s">
        <v>326</v>
      </c>
      <c r="C5" t="s">
        <v>341</v>
      </c>
      <c r="D5" t="s">
        <v>342</v>
      </c>
    </row>
    <row r="6" spans="1:4" x14ac:dyDescent="0.5">
      <c r="A6">
        <v>34</v>
      </c>
      <c r="B6" t="s">
        <v>326</v>
      </c>
      <c r="C6" t="s">
        <v>151</v>
      </c>
      <c r="D6" t="s">
        <v>343</v>
      </c>
    </row>
    <row r="7" spans="1:4" x14ac:dyDescent="0.5">
      <c r="A7">
        <v>12</v>
      </c>
      <c r="B7" t="s">
        <v>305</v>
      </c>
      <c r="C7" t="s">
        <v>268</v>
      </c>
      <c r="D7" t="s">
        <v>346</v>
      </c>
    </row>
    <row r="8" spans="1:4" x14ac:dyDescent="0.5">
      <c r="A8">
        <v>26</v>
      </c>
      <c r="B8" t="s">
        <v>298</v>
      </c>
      <c r="C8" t="s">
        <v>347</v>
      </c>
      <c r="D8" t="s">
        <v>348</v>
      </c>
    </row>
    <row r="9" spans="1:4" x14ac:dyDescent="0.5">
      <c r="A9">
        <v>2</v>
      </c>
      <c r="B9" t="s">
        <v>298</v>
      </c>
      <c r="C9" t="s">
        <v>349</v>
      </c>
      <c r="D9" t="s">
        <v>350</v>
      </c>
    </row>
    <row r="10" spans="1:4" x14ac:dyDescent="0.5">
      <c r="A10">
        <v>4</v>
      </c>
      <c r="B10" t="s">
        <v>298</v>
      </c>
      <c r="C10" t="s">
        <v>353</v>
      </c>
      <c r="D10" t="s">
        <v>354</v>
      </c>
    </row>
    <row r="11" spans="1:4" x14ac:dyDescent="0.5">
      <c r="A11">
        <v>4</v>
      </c>
      <c r="B11" t="s">
        <v>298</v>
      </c>
      <c r="C11" t="s">
        <v>351</v>
      </c>
      <c r="D11" t="s">
        <v>352</v>
      </c>
    </row>
    <row r="12" spans="1:4" x14ac:dyDescent="0.5">
      <c r="A12">
        <v>3</v>
      </c>
      <c r="B12" t="s">
        <v>298</v>
      </c>
      <c r="C12" t="s">
        <v>172</v>
      </c>
      <c r="D12" t="s">
        <v>355</v>
      </c>
    </row>
    <row r="13" spans="1:4" x14ac:dyDescent="0.5">
      <c r="A13">
        <v>36</v>
      </c>
      <c r="B13" t="s">
        <v>298</v>
      </c>
      <c r="C13" t="s">
        <v>105</v>
      </c>
      <c r="D13" t="s">
        <v>356</v>
      </c>
    </row>
    <row r="14" spans="1:4" x14ac:dyDescent="0.5">
      <c r="A14">
        <v>32</v>
      </c>
      <c r="B14" t="s">
        <v>298</v>
      </c>
      <c r="C14" t="s">
        <v>107</v>
      </c>
      <c r="D14" t="s">
        <v>357</v>
      </c>
    </row>
    <row r="15" spans="1:4" x14ac:dyDescent="0.5">
      <c r="A15">
        <v>448</v>
      </c>
      <c r="B15" t="s">
        <v>298</v>
      </c>
      <c r="C15" t="s">
        <v>358</v>
      </c>
      <c r="D15" t="s">
        <v>359</v>
      </c>
    </row>
    <row r="16" spans="1:4" x14ac:dyDescent="0.5">
      <c r="A16">
        <v>44</v>
      </c>
      <c r="B16" t="s">
        <v>298</v>
      </c>
      <c r="C16" t="s">
        <v>360</v>
      </c>
      <c r="D16" t="s">
        <v>361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30"/>
  <sheetViews>
    <sheetView workbookViewId="0">
      <selection activeCell="E1" sqref="E1"/>
    </sheetView>
  </sheetViews>
  <sheetFormatPr defaultRowHeight="14.35" x14ac:dyDescent="0.5"/>
  <cols>
    <col min="2" max="2" width="30.5859375" bestFit="1" customWidth="1"/>
    <col min="3" max="3" width="66.29296875" bestFit="1" customWidth="1"/>
    <col min="5" max="5" width="19.29296875" customWidth="1"/>
    <col min="7" max="7" width="42.29296875" bestFit="1" customWidth="1"/>
  </cols>
  <sheetData>
    <row r="1" spans="1:7" ht="15.7" x14ac:dyDescent="0.55000000000000004">
      <c r="A1" s="12" t="s">
        <v>465</v>
      </c>
      <c r="B1" s="13" t="s">
        <v>466</v>
      </c>
      <c r="C1" s="13" t="s">
        <v>467</v>
      </c>
      <c r="D1" s="13" t="s">
        <v>468</v>
      </c>
      <c r="E1" s="13" t="s">
        <v>469</v>
      </c>
      <c r="F1" s="13" t="s">
        <v>470</v>
      </c>
      <c r="G1" s="13" t="s">
        <v>471</v>
      </c>
    </row>
    <row r="2" spans="1:7" ht="15.7" x14ac:dyDescent="0.55000000000000004">
      <c r="A2" s="4">
        <v>2206</v>
      </c>
      <c r="B2" s="14" t="s">
        <v>279</v>
      </c>
      <c r="C2" s="14" t="s">
        <v>472</v>
      </c>
      <c r="D2" s="14" t="s">
        <v>473</v>
      </c>
      <c r="E2" s="14">
        <v>711740</v>
      </c>
      <c r="F2" s="14" t="s">
        <v>474</v>
      </c>
      <c r="G2" s="14" t="s">
        <v>475</v>
      </c>
    </row>
    <row r="3" spans="1:7" ht="15.7" x14ac:dyDescent="0.55000000000000004">
      <c r="A3" s="4">
        <v>2206</v>
      </c>
      <c r="B3" s="14" t="s">
        <v>287</v>
      </c>
      <c r="C3" s="14" t="s">
        <v>472</v>
      </c>
      <c r="D3" s="14" t="s">
        <v>473</v>
      </c>
      <c r="E3" s="14">
        <v>711740</v>
      </c>
      <c r="F3" s="14" t="s">
        <v>474</v>
      </c>
      <c r="G3" s="14" t="s">
        <v>475</v>
      </c>
    </row>
    <row r="4" spans="1:7" ht="15.7" x14ac:dyDescent="0.55000000000000004">
      <c r="A4" s="15">
        <v>2204</v>
      </c>
      <c r="B4" s="16" t="s">
        <v>288</v>
      </c>
      <c r="C4" s="16" t="s">
        <v>476</v>
      </c>
      <c r="D4" s="16" t="s">
        <v>477</v>
      </c>
      <c r="E4" s="16">
        <v>711740</v>
      </c>
      <c r="F4" s="16" t="s">
        <v>474</v>
      </c>
      <c r="G4" s="16" t="s">
        <v>475</v>
      </c>
    </row>
    <row r="5" spans="1:7" ht="15.7" x14ac:dyDescent="0.55000000000000004">
      <c r="A5" s="4">
        <v>2002</v>
      </c>
      <c r="B5" s="14" t="s">
        <v>120</v>
      </c>
      <c r="C5" s="14" t="s">
        <v>478</v>
      </c>
      <c r="D5" s="14" t="s">
        <v>479</v>
      </c>
      <c r="E5" s="14">
        <v>710280</v>
      </c>
      <c r="F5" s="14" t="s">
        <v>480</v>
      </c>
      <c r="G5" s="14" t="s">
        <v>481</v>
      </c>
    </row>
    <row r="6" spans="1:7" ht="15.7" x14ac:dyDescent="0.55000000000000004">
      <c r="A6" s="4">
        <v>2001</v>
      </c>
      <c r="B6" s="14" t="s">
        <v>121</v>
      </c>
      <c r="C6" s="14" t="s">
        <v>482</v>
      </c>
      <c r="D6" s="14" t="s">
        <v>479</v>
      </c>
      <c r="E6" s="14">
        <v>710280</v>
      </c>
      <c r="F6" s="14" t="s">
        <v>480</v>
      </c>
      <c r="G6" s="14" t="s">
        <v>481</v>
      </c>
    </row>
    <row r="7" spans="1:7" ht="15.7" x14ac:dyDescent="0.55000000000000004">
      <c r="A7" s="15">
        <v>2003</v>
      </c>
      <c r="B7" s="16" t="s">
        <v>122</v>
      </c>
      <c r="C7" s="16" t="s">
        <v>483</v>
      </c>
      <c r="D7" s="16" t="s">
        <v>479</v>
      </c>
      <c r="E7" s="16">
        <v>710280</v>
      </c>
      <c r="F7" s="16" t="s">
        <v>484</v>
      </c>
      <c r="G7" s="16" t="s">
        <v>485</v>
      </c>
    </row>
    <row r="8" spans="1:7" ht="15.7" x14ac:dyDescent="0.55000000000000004">
      <c r="A8" s="4">
        <v>2003</v>
      </c>
      <c r="B8" s="14" t="s">
        <v>123</v>
      </c>
      <c r="C8" s="14" t="s">
        <v>483</v>
      </c>
      <c r="D8" s="14" t="s">
        <v>479</v>
      </c>
      <c r="E8" s="14">
        <v>710280</v>
      </c>
      <c r="F8" s="14" t="s">
        <v>484</v>
      </c>
      <c r="G8" s="14" t="s">
        <v>485</v>
      </c>
    </row>
    <row r="9" spans="1:7" ht="15.7" x14ac:dyDescent="0.55000000000000004">
      <c r="A9" s="15">
        <v>2003</v>
      </c>
      <c r="B9" s="16" t="s">
        <v>124</v>
      </c>
      <c r="C9" s="16" t="s">
        <v>483</v>
      </c>
      <c r="D9" s="16" t="s">
        <v>479</v>
      </c>
      <c r="E9" s="16">
        <v>710280</v>
      </c>
      <c r="F9" s="16" t="s">
        <v>484</v>
      </c>
      <c r="G9" s="16" t="s">
        <v>485</v>
      </c>
    </row>
    <row r="10" spans="1:7" ht="15.7" x14ac:dyDescent="0.55000000000000004">
      <c r="A10" s="4">
        <v>2006</v>
      </c>
      <c r="B10" s="14" t="s">
        <v>128</v>
      </c>
      <c r="C10" s="14" t="s">
        <v>486</v>
      </c>
      <c r="D10" s="14" t="s">
        <v>479</v>
      </c>
      <c r="E10" s="14">
        <v>710280</v>
      </c>
      <c r="F10" s="14" t="s">
        <v>487</v>
      </c>
      <c r="G10" s="14" t="s">
        <v>488</v>
      </c>
    </row>
    <row r="11" spans="1:7" ht="15.7" x14ac:dyDescent="0.55000000000000004">
      <c r="A11" s="15">
        <v>2001</v>
      </c>
      <c r="B11" s="16" t="s">
        <v>130</v>
      </c>
      <c r="C11" s="16" t="s">
        <v>482</v>
      </c>
      <c r="D11" s="16" t="s">
        <v>479</v>
      </c>
      <c r="E11" s="16">
        <v>710280</v>
      </c>
      <c r="F11" s="16" t="s">
        <v>480</v>
      </c>
      <c r="G11" s="16" t="s">
        <v>481</v>
      </c>
    </row>
    <row r="12" spans="1:7" ht="15.7" x14ac:dyDescent="0.55000000000000004">
      <c r="A12" s="4">
        <v>2002</v>
      </c>
      <c r="B12" s="14" t="s">
        <v>131</v>
      </c>
      <c r="C12" s="14" t="s">
        <v>478</v>
      </c>
      <c r="D12" s="14" t="s">
        <v>479</v>
      </c>
      <c r="E12" s="14">
        <v>710280</v>
      </c>
      <c r="F12" s="14" t="s">
        <v>480</v>
      </c>
      <c r="G12" s="17" t="s">
        <v>481</v>
      </c>
    </row>
    <row r="13" spans="1:7" ht="15.7" x14ac:dyDescent="0.55000000000000004">
      <c r="A13" s="4">
        <v>2002</v>
      </c>
      <c r="B13" s="14" t="s">
        <v>132</v>
      </c>
      <c r="C13" s="14" t="s">
        <v>478</v>
      </c>
      <c r="D13" s="14" t="s">
        <v>479</v>
      </c>
      <c r="E13" s="14">
        <v>710280</v>
      </c>
      <c r="F13" s="14" t="s">
        <v>480</v>
      </c>
      <c r="G13" s="14" t="s">
        <v>481</v>
      </c>
    </row>
    <row r="14" spans="1:7" ht="15.7" x14ac:dyDescent="0.55000000000000004">
      <c r="A14" s="4">
        <v>2004</v>
      </c>
      <c r="B14" s="14" t="s">
        <v>133</v>
      </c>
      <c r="C14" s="14" t="s">
        <v>489</v>
      </c>
      <c r="D14" s="14" t="s">
        <v>479</v>
      </c>
      <c r="E14" s="14">
        <v>710280</v>
      </c>
      <c r="F14" s="14" t="s">
        <v>484</v>
      </c>
      <c r="G14" s="14" t="s">
        <v>485</v>
      </c>
    </row>
    <row r="15" spans="1:7" ht="15.7" x14ac:dyDescent="0.55000000000000004">
      <c r="A15" s="4">
        <v>2001</v>
      </c>
      <c r="B15" s="14" t="s">
        <v>134</v>
      </c>
      <c r="C15" s="14" t="s">
        <v>482</v>
      </c>
      <c r="D15" s="14" t="s">
        <v>479</v>
      </c>
      <c r="E15" s="14">
        <v>710280</v>
      </c>
      <c r="F15" s="14" t="s">
        <v>480</v>
      </c>
      <c r="G15" s="14" t="s">
        <v>481</v>
      </c>
    </row>
    <row r="16" spans="1:7" ht="15.7" x14ac:dyDescent="0.55000000000000004">
      <c r="A16" s="4">
        <v>2098</v>
      </c>
      <c r="B16" s="14" t="s">
        <v>138</v>
      </c>
      <c r="C16" s="14" t="s">
        <v>490</v>
      </c>
      <c r="D16" s="14" t="s">
        <v>479</v>
      </c>
      <c r="E16" s="14">
        <v>710280</v>
      </c>
      <c r="F16" s="14" t="s">
        <v>480</v>
      </c>
      <c r="G16" s="14" t="s">
        <v>481</v>
      </c>
    </row>
    <row r="17" spans="1:7" ht="15.7" x14ac:dyDescent="0.55000000000000004">
      <c r="A17" s="4">
        <v>2098</v>
      </c>
      <c r="B17" s="14" t="s">
        <v>139</v>
      </c>
      <c r="C17" s="14" t="s">
        <v>490</v>
      </c>
      <c r="D17" s="14" t="s">
        <v>479</v>
      </c>
      <c r="E17" s="14">
        <v>710280</v>
      </c>
      <c r="F17" s="14" t="s">
        <v>480</v>
      </c>
      <c r="G17" s="14" t="s">
        <v>481</v>
      </c>
    </row>
    <row r="18" spans="1:7" ht="15.7" x14ac:dyDescent="0.55000000000000004">
      <c r="A18" s="4">
        <v>2098</v>
      </c>
      <c r="B18" s="14" t="s">
        <v>140</v>
      </c>
      <c r="C18" s="14" t="s">
        <v>490</v>
      </c>
      <c r="D18" s="14" t="s">
        <v>479</v>
      </c>
      <c r="E18" s="14">
        <v>710280</v>
      </c>
      <c r="F18" s="14" t="s">
        <v>480</v>
      </c>
      <c r="G18" s="14" t="s">
        <v>481</v>
      </c>
    </row>
    <row r="19" spans="1:7" ht="15.7" x14ac:dyDescent="0.55000000000000004">
      <c r="A19" s="15">
        <v>2003</v>
      </c>
      <c r="B19" s="16" t="s">
        <v>143</v>
      </c>
      <c r="C19" s="16" t="s">
        <v>483</v>
      </c>
      <c r="D19" s="16" t="s">
        <v>479</v>
      </c>
      <c r="E19" s="16">
        <v>710280</v>
      </c>
      <c r="F19" s="16" t="s">
        <v>484</v>
      </c>
      <c r="G19" s="16" t="s">
        <v>485</v>
      </c>
    </row>
    <row r="20" spans="1:7" ht="15.7" x14ac:dyDescent="0.55000000000000004">
      <c r="A20" s="4">
        <v>2001</v>
      </c>
      <c r="B20" s="14" t="s">
        <v>145</v>
      </c>
      <c r="C20" s="14" t="s">
        <v>482</v>
      </c>
      <c r="D20" s="14" t="s">
        <v>479</v>
      </c>
      <c r="E20" s="14">
        <v>710280</v>
      </c>
      <c r="F20" s="14" t="s">
        <v>480</v>
      </c>
      <c r="G20" s="14" t="s">
        <v>481</v>
      </c>
    </row>
    <row r="21" spans="1:7" ht="15.7" x14ac:dyDescent="0.55000000000000004">
      <c r="A21" s="4">
        <v>2098</v>
      </c>
      <c r="B21" s="14" t="s">
        <v>146</v>
      </c>
      <c r="C21" s="14" t="s">
        <v>490</v>
      </c>
      <c r="D21" s="14" t="s">
        <v>479</v>
      </c>
      <c r="E21" s="14">
        <v>710280</v>
      </c>
      <c r="F21" s="14" t="s">
        <v>480</v>
      </c>
      <c r="G21" s="14" t="s">
        <v>481</v>
      </c>
    </row>
    <row r="22" spans="1:7" ht="15.7" x14ac:dyDescent="0.55000000000000004">
      <c r="A22" s="4">
        <v>2004</v>
      </c>
      <c r="B22" s="14" t="s">
        <v>151</v>
      </c>
      <c r="C22" s="14" t="s">
        <v>489</v>
      </c>
      <c r="D22" s="14" t="s">
        <v>479</v>
      </c>
      <c r="E22" s="14">
        <v>710280</v>
      </c>
      <c r="F22" s="14" t="s">
        <v>484</v>
      </c>
      <c r="G22" s="14" t="s">
        <v>485</v>
      </c>
    </row>
    <row r="23" spans="1:7" ht="15.7" x14ac:dyDescent="0.55000000000000004">
      <c r="A23" s="4">
        <v>2006</v>
      </c>
      <c r="B23" s="14" t="s">
        <v>153</v>
      </c>
      <c r="C23" s="14" t="s">
        <v>486</v>
      </c>
      <c r="D23" s="14" t="s">
        <v>479</v>
      </c>
      <c r="E23" s="14">
        <v>710280</v>
      </c>
      <c r="F23" s="14" t="s">
        <v>487</v>
      </c>
      <c r="G23" s="14" t="s">
        <v>488</v>
      </c>
    </row>
    <row r="24" spans="1:7" ht="15.7" x14ac:dyDescent="0.55000000000000004">
      <c r="A24" s="4">
        <v>2103</v>
      </c>
      <c r="B24" s="14" t="s">
        <v>189</v>
      </c>
      <c r="C24" s="14" t="s">
        <v>491</v>
      </c>
      <c r="D24" s="14" t="s">
        <v>492</v>
      </c>
      <c r="E24" s="14">
        <v>710320</v>
      </c>
      <c r="F24" s="14" t="s">
        <v>493</v>
      </c>
      <c r="G24" s="14" t="s">
        <v>494</v>
      </c>
    </row>
    <row r="25" spans="1:7" ht="15.7" x14ac:dyDescent="0.55000000000000004">
      <c r="A25" s="4">
        <v>2101</v>
      </c>
      <c r="B25" s="14" t="s">
        <v>190</v>
      </c>
      <c r="C25" s="14" t="s">
        <v>495</v>
      </c>
      <c r="D25" s="14" t="s">
        <v>492</v>
      </c>
      <c r="E25" s="14">
        <v>710320</v>
      </c>
      <c r="F25" s="14" t="s">
        <v>493</v>
      </c>
      <c r="G25" s="14" t="s">
        <v>494</v>
      </c>
    </row>
    <row r="26" spans="1:7" ht="15.7" x14ac:dyDescent="0.55000000000000004">
      <c r="A26" s="4">
        <v>2101</v>
      </c>
      <c r="B26" s="14" t="s">
        <v>191</v>
      </c>
      <c r="C26" s="14" t="s">
        <v>495</v>
      </c>
      <c r="D26" s="14" t="s">
        <v>492</v>
      </c>
      <c r="E26" s="14">
        <v>710320</v>
      </c>
      <c r="F26" s="14" t="s">
        <v>493</v>
      </c>
      <c r="G26" s="14" t="s">
        <v>494</v>
      </c>
    </row>
    <row r="27" spans="1:7" ht="15.7" x14ac:dyDescent="0.55000000000000004">
      <c r="A27" s="15">
        <v>2103</v>
      </c>
      <c r="B27" s="16" t="s">
        <v>193</v>
      </c>
      <c r="C27" s="16" t="s">
        <v>491</v>
      </c>
      <c r="D27" s="16" t="s">
        <v>492</v>
      </c>
      <c r="E27" s="16">
        <v>710320</v>
      </c>
      <c r="F27" s="16" t="s">
        <v>493</v>
      </c>
      <c r="G27" s="16" t="s">
        <v>494</v>
      </c>
    </row>
    <row r="28" spans="1:7" ht="15.7" x14ac:dyDescent="0.55000000000000004">
      <c r="A28" s="4">
        <v>2103</v>
      </c>
      <c r="B28" s="14" t="s">
        <v>194</v>
      </c>
      <c r="C28" s="14" t="s">
        <v>491</v>
      </c>
      <c r="D28" s="14" t="s">
        <v>492</v>
      </c>
      <c r="E28" s="14">
        <v>710320</v>
      </c>
      <c r="F28" s="14" t="s">
        <v>493</v>
      </c>
      <c r="G28" s="14" t="s">
        <v>494</v>
      </c>
    </row>
    <row r="29" spans="1:7" ht="15.7" x14ac:dyDescent="0.55000000000000004">
      <c r="A29" s="4">
        <v>2103</v>
      </c>
      <c r="B29" s="14" t="s">
        <v>195</v>
      </c>
      <c r="C29" s="14" t="s">
        <v>491</v>
      </c>
      <c r="D29" s="14" t="s">
        <v>492</v>
      </c>
      <c r="E29" s="14">
        <v>710320</v>
      </c>
      <c r="F29" s="14" t="s">
        <v>493</v>
      </c>
      <c r="G29" s="14" t="s">
        <v>494</v>
      </c>
    </row>
    <row r="30" spans="1:7" ht="15.7" x14ac:dyDescent="0.55000000000000004">
      <c r="A30" s="4">
        <v>2101</v>
      </c>
      <c r="B30" s="14" t="s">
        <v>196</v>
      </c>
      <c r="C30" s="14" t="s">
        <v>495</v>
      </c>
      <c r="D30" s="14" t="s">
        <v>492</v>
      </c>
      <c r="E30" s="14">
        <v>710320</v>
      </c>
      <c r="F30" s="14" t="s">
        <v>493</v>
      </c>
      <c r="G30" s="14" t="s">
        <v>494</v>
      </c>
    </row>
    <row r="31" spans="1:7" ht="15.7" x14ac:dyDescent="0.55000000000000004">
      <c r="A31" s="4">
        <v>2101</v>
      </c>
      <c r="B31" s="14" t="s">
        <v>197</v>
      </c>
      <c r="C31" s="14" t="s">
        <v>495</v>
      </c>
      <c r="D31" s="14" t="s">
        <v>492</v>
      </c>
      <c r="E31" s="14">
        <v>710320</v>
      </c>
      <c r="F31" s="14" t="s">
        <v>493</v>
      </c>
      <c r="G31" s="14" t="s">
        <v>494</v>
      </c>
    </row>
    <row r="32" spans="1:7" ht="15.7" x14ac:dyDescent="0.55000000000000004">
      <c r="A32" s="4">
        <v>2101</v>
      </c>
      <c r="B32" s="14" t="s">
        <v>199</v>
      </c>
      <c r="C32" s="14" t="s">
        <v>495</v>
      </c>
      <c r="D32" s="14" t="s">
        <v>492</v>
      </c>
      <c r="E32" s="14">
        <v>710320</v>
      </c>
      <c r="F32" s="14" t="s">
        <v>493</v>
      </c>
      <c r="G32" s="14" t="s">
        <v>494</v>
      </c>
    </row>
    <row r="33" spans="1:7" ht="15.7" x14ac:dyDescent="0.55000000000000004">
      <c r="A33" s="4">
        <v>1321</v>
      </c>
      <c r="B33" s="14" t="s">
        <v>43</v>
      </c>
      <c r="C33" s="14" t="s">
        <v>496</v>
      </c>
      <c r="D33" s="14" t="s">
        <v>497</v>
      </c>
      <c r="E33" s="14">
        <v>210390</v>
      </c>
      <c r="F33" s="14" t="s">
        <v>498</v>
      </c>
      <c r="G33" s="14" t="s">
        <v>499</v>
      </c>
    </row>
    <row r="34" spans="1:7" ht="15.7" x14ac:dyDescent="0.55000000000000004">
      <c r="A34" s="4">
        <v>1321</v>
      </c>
      <c r="B34" s="14" t="s">
        <v>45</v>
      </c>
      <c r="C34" s="14" t="s">
        <v>496</v>
      </c>
      <c r="D34" s="14" t="s">
        <v>497</v>
      </c>
      <c r="E34" s="14">
        <v>210390</v>
      </c>
      <c r="F34" s="14" t="s">
        <v>498</v>
      </c>
      <c r="G34" s="14" t="s">
        <v>499</v>
      </c>
    </row>
    <row r="35" spans="1:7" ht="15.7" x14ac:dyDescent="0.55000000000000004">
      <c r="A35" s="4">
        <v>1301</v>
      </c>
      <c r="B35" s="14" t="s">
        <v>46</v>
      </c>
      <c r="C35" s="14" t="s">
        <v>500</v>
      </c>
      <c r="D35" s="14" t="s">
        <v>497</v>
      </c>
      <c r="E35" s="14">
        <v>210390</v>
      </c>
      <c r="F35" s="18" t="s">
        <v>498</v>
      </c>
      <c r="G35" s="18" t="s">
        <v>499</v>
      </c>
    </row>
    <row r="36" spans="1:7" ht="15.7" x14ac:dyDescent="0.55000000000000004">
      <c r="A36" s="4">
        <v>1303</v>
      </c>
      <c r="B36" s="14" t="s">
        <v>49</v>
      </c>
      <c r="C36" s="14" t="s">
        <v>501</v>
      </c>
      <c r="D36" s="14" t="s">
        <v>497</v>
      </c>
      <c r="E36" s="14">
        <v>210390</v>
      </c>
      <c r="F36" s="14" t="s">
        <v>498</v>
      </c>
      <c r="G36" s="14" t="s">
        <v>499</v>
      </c>
    </row>
    <row r="37" spans="1:7" ht="15.7" x14ac:dyDescent="0.55000000000000004">
      <c r="A37" s="4">
        <v>1301</v>
      </c>
      <c r="B37" s="14" t="s">
        <v>50</v>
      </c>
      <c r="C37" s="14" t="s">
        <v>500</v>
      </c>
      <c r="D37" s="14" t="s">
        <v>497</v>
      </c>
      <c r="E37" s="14">
        <v>210390</v>
      </c>
      <c r="F37" s="14" t="s">
        <v>498</v>
      </c>
      <c r="G37" s="14" t="s">
        <v>499</v>
      </c>
    </row>
    <row r="38" spans="1:7" ht="15.7" x14ac:dyDescent="0.55000000000000004">
      <c r="A38" s="4">
        <v>1301</v>
      </c>
      <c r="B38" s="14" t="s">
        <v>51</v>
      </c>
      <c r="C38" s="14" t="s">
        <v>500</v>
      </c>
      <c r="D38" s="14" t="s">
        <v>497</v>
      </c>
      <c r="E38" s="14">
        <v>210390</v>
      </c>
      <c r="F38" s="14" t="s">
        <v>498</v>
      </c>
      <c r="G38" s="14" t="s">
        <v>499</v>
      </c>
    </row>
    <row r="39" spans="1:7" ht="15.7" x14ac:dyDescent="0.55000000000000004">
      <c r="A39" s="4">
        <v>1301</v>
      </c>
      <c r="B39" s="14" t="s">
        <v>53</v>
      </c>
      <c r="C39" s="14" t="s">
        <v>500</v>
      </c>
      <c r="D39" s="14" t="s">
        <v>497</v>
      </c>
      <c r="E39" s="14">
        <v>210390</v>
      </c>
      <c r="F39" s="14" t="s">
        <v>498</v>
      </c>
      <c r="G39" s="14" t="s">
        <v>499</v>
      </c>
    </row>
    <row r="40" spans="1:7" ht="15.7" x14ac:dyDescent="0.55000000000000004">
      <c r="A40" s="4">
        <v>1303</v>
      </c>
      <c r="B40" s="14" t="s">
        <v>54</v>
      </c>
      <c r="C40" s="14" t="s">
        <v>501</v>
      </c>
      <c r="D40" s="14" t="s">
        <v>497</v>
      </c>
      <c r="E40" s="14">
        <v>210390</v>
      </c>
      <c r="F40" s="14" t="s">
        <v>498</v>
      </c>
      <c r="G40" s="14" t="s">
        <v>499</v>
      </c>
    </row>
    <row r="41" spans="1:7" ht="15.7" x14ac:dyDescent="0.55000000000000004">
      <c r="A41" s="4">
        <v>1521</v>
      </c>
      <c r="B41" s="14" t="s">
        <v>9</v>
      </c>
      <c r="C41" s="14" t="s">
        <v>502</v>
      </c>
      <c r="D41" s="14" t="s">
        <v>503</v>
      </c>
      <c r="E41" s="14" t="s">
        <v>504</v>
      </c>
      <c r="F41" s="14" t="s">
        <v>505</v>
      </c>
      <c r="G41" s="14" t="s">
        <v>506</v>
      </c>
    </row>
    <row r="42" spans="1:7" ht="15.7" x14ac:dyDescent="0.55000000000000004">
      <c r="A42" s="4">
        <v>1504</v>
      </c>
      <c r="B42" s="14" t="s">
        <v>24</v>
      </c>
      <c r="C42" s="14" t="s">
        <v>373</v>
      </c>
      <c r="D42" s="14" t="s">
        <v>507</v>
      </c>
      <c r="E42" s="14" t="s">
        <v>508</v>
      </c>
      <c r="F42" s="14" t="s">
        <v>509</v>
      </c>
      <c r="G42" s="14" t="s">
        <v>510</v>
      </c>
    </row>
    <row r="43" spans="1:7" ht="15.7" x14ac:dyDescent="0.55000000000000004">
      <c r="A43" s="4">
        <v>1501</v>
      </c>
      <c r="B43" s="14" t="s">
        <v>15</v>
      </c>
      <c r="C43" s="14" t="s">
        <v>511</v>
      </c>
      <c r="D43" s="14" t="s">
        <v>503</v>
      </c>
      <c r="E43" s="14" t="s">
        <v>504</v>
      </c>
      <c r="F43" s="14" t="s">
        <v>505</v>
      </c>
      <c r="G43" s="14" t="s">
        <v>506</v>
      </c>
    </row>
    <row r="44" spans="1:7" ht="15.7" x14ac:dyDescent="0.55000000000000004">
      <c r="A44" s="4">
        <v>1502</v>
      </c>
      <c r="B44" s="14" t="s">
        <v>27</v>
      </c>
      <c r="C44" s="14" t="s">
        <v>512</v>
      </c>
      <c r="D44" s="14" t="s">
        <v>507</v>
      </c>
      <c r="E44" s="14" t="s">
        <v>508</v>
      </c>
      <c r="F44" s="14" t="s">
        <v>509</v>
      </c>
      <c r="G44" s="14" t="s">
        <v>510</v>
      </c>
    </row>
    <row r="45" spans="1:7" ht="15.7" x14ac:dyDescent="0.55000000000000004">
      <c r="A45" s="4">
        <v>1501</v>
      </c>
      <c r="B45" s="14" t="s">
        <v>16</v>
      </c>
      <c r="C45" s="14" t="s">
        <v>511</v>
      </c>
      <c r="D45" s="14" t="s">
        <v>503</v>
      </c>
      <c r="E45" s="14" t="s">
        <v>504</v>
      </c>
      <c r="F45" s="14" t="s">
        <v>505</v>
      </c>
      <c r="G45" s="14" t="s">
        <v>506</v>
      </c>
    </row>
    <row r="46" spans="1:7" ht="15.7" x14ac:dyDescent="0.55000000000000004">
      <c r="A46" s="4">
        <v>1501</v>
      </c>
      <c r="B46" s="14" t="s">
        <v>17</v>
      </c>
      <c r="C46" s="14" t="s">
        <v>511</v>
      </c>
      <c r="D46" s="14" t="s">
        <v>503</v>
      </c>
      <c r="E46" s="14" t="s">
        <v>504</v>
      </c>
      <c r="F46" s="14" t="s">
        <v>505</v>
      </c>
      <c r="G46" s="14" t="s">
        <v>506</v>
      </c>
    </row>
    <row r="47" spans="1:7" ht="15.7" x14ac:dyDescent="0.55000000000000004">
      <c r="A47" s="15">
        <v>1503</v>
      </c>
      <c r="B47" s="16" t="s">
        <v>18</v>
      </c>
      <c r="C47" s="16" t="s">
        <v>513</v>
      </c>
      <c r="D47" s="16" t="s">
        <v>507</v>
      </c>
      <c r="E47" s="16" t="s">
        <v>508</v>
      </c>
      <c r="F47" s="16" t="s">
        <v>509</v>
      </c>
      <c r="G47" s="16" t="s">
        <v>510</v>
      </c>
    </row>
    <row r="48" spans="1:7" ht="15.7" x14ac:dyDescent="0.55000000000000004">
      <c r="A48" s="4">
        <v>1521</v>
      </c>
      <c r="B48" s="14" t="s">
        <v>30</v>
      </c>
      <c r="C48" s="14" t="s">
        <v>373</v>
      </c>
      <c r="D48" s="14" t="s">
        <v>507</v>
      </c>
      <c r="E48" s="14" t="s">
        <v>508</v>
      </c>
      <c r="F48" s="14" t="s">
        <v>509</v>
      </c>
      <c r="G48" s="14" t="s">
        <v>514</v>
      </c>
    </row>
    <row r="49" spans="1:7" ht="15.7" x14ac:dyDescent="0.55000000000000004">
      <c r="A49" s="4">
        <v>1503</v>
      </c>
      <c r="B49" s="14" t="s">
        <v>19</v>
      </c>
      <c r="C49" s="14" t="s">
        <v>373</v>
      </c>
      <c r="D49" s="14" t="s">
        <v>507</v>
      </c>
      <c r="E49" s="14" t="s">
        <v>508</v>
      </c>
      <c r="F49" s="14" t="s">
        <v>509</v>
      </c>
      <c r="G49" s="14" t="s">
        <v>510</v>
      </c>
    </row>
    <row r="50" spans="1:7" ht="15.7" x14ac:dyDescent="0.55000000000000004">
      <c r="A50" s="4">
        <v>1504</v>
      </c>
      <c r="B50" s="14" t="s">
        <v>32</v>
      </c>
      <c r="C50" s="14" t="s">
        <v>515</v>
      </c>
      <c r="D50" s="14" t="s">
        <v>507</v>
      </c>
      <c r="E50" s="14" t="s">
        <v>508</v>
      </c>
      <c r="F50" s="14" t="s">
        <v>509</v>
      </c>
      <c r="G50" s="14" t="s">
        <v>510</v>
      </c>
    </row>
    <row r="51" spans="1:7" ht="15.7" x14ac:dyDescent="0.55000000000000004">
      <c r="A51" s="4">
        <v>1504</v>
      </c>
      <c r="B51" s="14" t="s">
        <v>33</v>
      </c>
      <c r="C51" s="14" t="s">
        <v>373</v>
      </c>
      <c r="D51" s="14" t="s">
        <v>507</v>
      </c>
      <c r="E51" s="14" t="s">
        <v>508</v>
      </c>
      <c r="F51" s="14" t="s">
        <v>509</v>
      </c>
      <c r="G51" s="14" t="s">
        <v>510</v>
      </c>
    </row>
    <row r="52" spans="1:7" ht="15.7" x14ac:dyDescent="0.55000000000000004">
      <c r="A52" s="4">
        <v>1501</v>
      </c>
      <c r="B52" s="14" t="s">
        <v>20</v>
      </c>
      <c r="C52" s="14" t="s">
        <v>511</v>
      </c>
      <c r="D52" s="14" t="s">
        <v>503</v>
      </c>
      <c r="E52" s="14" t="s">
        <v>504</v>
      </c>
      <c r="F52" s="14" t="s">
        <v>505</v>
      </c>
      <c r="G52" s="14" t="s">
        <v>506</v>
      </c>
    </row>
    <row r="53" spans="1:7" ht="15.7" x14ac:dyDescent="0.55000000000000004">
      <c r="A53" s="4">
        <v>1501</v>
      </c>
      <c r="B53" s="14" t="s">
        <v>21</v>
      </c>
      <c r="C53" s="14" t="s">
        <v>511</v>
      </c>
      <c r="D53" s="14" t="s">
        <v>503</v>
      </c>
      <c r="E53" s="14" t="s">
        <v>504</v>
      </c>
      <c r="F53" s="14" t="s">
        <v>505</v>
      </c>
      <c r="G53" s="14" t="s">
        <v>506</v>
      </c>
    </row>
    <row r="54" spans="1:7" ht="15.7" x14ac:dyDescent="0.55000000000000004">
      <c r="A54" s="4">
        <v>1501</v>
      </c>
      <c r="B54" s="14" t="s">
        <v>22</v>
      </c>
      <c r="C54" s="14" t="s">
        <v>511</v>
      </c>
      <c r="D54" s="14" t="s">
        <v>503</v>
      </c>
      <c r="E54" s="14" t="s">
        <v>504</v>
      </c>
      <c r="F54" s="14" t="s">
        <v>505</v>
      </c>
      <c r="G54" s="14" t="s">
        <v>506</v>
      </c>
    </row>
    <row r="55" spans="1:7" ht="15.7" x14ac:dyDescent="0.55000000000000004">
      <c r="A55" s="4">
        <v>1504</v>
      </c>
      <c r="B55" s="14" t="s">
        <v>34</v>
      </c>
      <c r="C55" s="14" t="s">
        <v>373</v>
      </c>
      <c r="D55" s="14" t="s">
        <v>507</v>
      </c>
      <c r="E55" s="14" t="s">
        <v>508</v>
      </c>
      <c r="F55" s="14" t="s">
        <v>509</v>
      </c>
      <c r="G55" s="14" t="s">
        <v>510</v>
      </c>
    </row>
    <row r="56" spans="1:7" ht="15.7" x14ac:dyDescent="0.55000000000000004">
      <c r="A56" s="4">
        <v>1504</v>
      </c>
      <c r="B56" s="14" t="s">
        <v>35</v>
      </c>
      <c r="C56" s="14" t="s">
        <v>373</v>
      </c>
      <c r="D56" s="14" t="s">
        <v>507</v>
      </c>
      <c r="E56" s="14" t="s">
        <v>508</v>
      </c>
      <c r="F56" s="14" t="s">
        <v>509</v>
      </c>
      <c r="G56" s="14" t="s">
        <v>510</v>
      </c>
    </row>
    <row r="57" spans="1:7" ht="15.7" x14ac:dyDescent="0.55000000000000004">
      <c r="A57" s="4">
        <v>1504</v>
      </c>
      <c r="B57" s="14" t="s">
        <v>36</v>
      </c>
      <c r="C57" s="14" t="s">
        <v>373</v>
      </c>
      <c r="D57" s="14" t="s">
        <v>507</v>
      </c>
      <c r="E57" s="14" t="s">
        <v>508</v>
      </c>
      <c r="F57" s="14" t="s">
        <v>509</v>
      </c>
      <c r="G57" s="14" t="s">
        <v>510</v>
      </c>
    </row>
    <row r="58" spans="1:7" ht="15.7" x14ac:dyDescent="0.55000000000000004">
      <c r="A58" s="4">
        <v>801</v>
      </c>
      <c r="B58" s="14" t="s">
        <v>274</v>
      </c>
      <c r="C58" s="14" t="s">
        <v>516</v>
      </c>
      <c r="D58" s="14" t="s">
        <v>373</v>
      </c>
      <c r="E58" s="14">
        <v>710580</v>
      </c>
      <c r="F58" s="14" t="s">
        <v>517</v>
      </c>
      <c r="G58" s="14" t="s">
        <v>518</v>
      </c>
    </row>
    <row r="59" spans="1:7" ht="15.7" x14ac:dyDescent="0.55000000000000004">
      <c r="A59" s="4">
        <v>801</v>
      </c>
      <c r="B59" s="14" t="s">
        <v>276</v>
      </c>
      <c r="C59" s="14" t="s">
        <v>516</v>
      </c>
      <c r="D59" s="14" t="s">
        <v>373</v>
      </c>
      <c r="E59" s="14">
        <v>710580</v>
      </c>
      <c r="F59" s="14" t="s">
        <v>517</v>
      </c>
      <c r="G59" s="14" t="s">
        <v>518</v>
      </c>
    </row>
    <row r="60" spans="1:7" ht="15.7" x14ac:dyDescent="0.55000000000000004">
      <c r="A60" s="4">
        <v>801</v>
      </c>
      <c r="B60" s="14" t="s">
        <v>278</v>
      </c>
      <c r="C60" s="14" t="s">
        <v>516</v>
      </c>
      <c r="D60" s="14" t="s">
        <v>373</v>
      </c>
      <c r="E60" s="14">
        <v>710580</v>
      </c>
      <c r="F60" s="14" t="s">
        <v>517</v>
      </c>
      <c r="G60" s="14" t="s">
        <v>518</v>
      </c>
    </row>
    <row r="61" spans="1:7" ht="15.7" x14ac:dyDescent="0.55000000000000004">
      <c r="A61" s="4">
        <v>1201</v>
      </c>
      <c r="B61" s="14" t="s">
        <v>519</v>
      </c>
      <c r="C61" s="14" t="s">
        <v>520</v>
      </c>
      <c r="D61" s="14" t="s">
        <v>521</v>
      </c>
      <c r="E61" s="14">
        <v>710210</v>
      </c>
      <c r="F61" s="14" t="s">
        <v>522</v>
      </c>
      <c r="G61" s="14" t="s">
        <v>76</v>
      </c>
    </row>
    <row r="62" spans="1:7" ht="15.7" x14ac:dyDescent="0.55000000000000004">
      <c r="A62" s="4">
        <v>1201</v>
      </c>
      <c r="B62" s="14" t="s">
        <v>75</v>
      </c>
      <c r="C62" s="14" t="s">
        <v>520</v>
      </c>
      <c r="D62" s="14" t="s">
        <v>521</v>
      </c>
      <c r="E62" s="14">
        <v>710210</v>
      </c>
      <c r="F62" s="14" t="s">
        <v>522</v>
      </c>
      <c r="G62" s="14" t="s">
        <v>76</v>
      </c>
    </row>
    <row r="63" spans="1:7" ht="15.7" x14ac:dyDescent="0.55000000000000004">
      <c r="A63" s="4">
        <v>1201</v>
      </c>
      <c r="B63" s="14" t="s">
        <v>78</v>
      </c>
      <c r="C63" s="14" t="s">
        <v>520</v>
      </c>
      <c r="D63" s="14" t="s">
        <v>521</v>
      </c>
      <c r="E63" s="14">
        <v>710210</v>
      </c>
      <c r="F63" s="14" t="s">
        <v>522</v>
      </c>
      <c r="G63" s="14" t="s">
        <v>76</v>
      </c>
    </row>
    <row r="64" spans="1:7" ht="15.7" x14ac:dyDescent="0.55000000000000004">
      <c r="A64" s="15">
        <v>1202</v>
      </c>
      <c r="B64" s="16" t="s">
        <v>79</v>
      </c>
      <c r="C64" s="16" t="s">
        <v>523</v>
      </c>
      <c r="D64" s="16" t="s">
        <v>521</v>
      </c>
      <c r="E64" s="14">
        <v>710210</v>
      </c>
      <c r="F64" s="16" t="s">
        <v>522</v>
      </c>
      <c r="G64" s="16" t="s">
        <v>76</v>
      </c>
    </row>
    <row r="65" spans="1:7" ht="15.7" x14ac:dyDescent="0.55000000000000004">
      <c r="A65" s="4">
        <v>1202</v>
      </c>
      <c r="B65" s="14" t="s">
        <v>80</v>
      </c>
      <c r="C65" s="14" t="s">
        <v>523</v>
      </c>
      <c r="D65" s="14" t="s">
        <v>521</v>
      </c>
      <c r="E65" s="14">
        <v>710210</v>
      </c>
      <c r="F65" s="14" t="s">
        <v>522</v>
      </c>
      <c r="G65" s="17" t="s">
        <v>76</v>
      </c>
    </row>
    <row r="66" spans="1:7" ht="15.7" x14ac:dyDescent="0.55000000000000004">
      <c r="A66" s="4">
        <v>1203</v>
      </c>
      <c r="B66" s="14" t="s">
        <v>81</v>
      </c>
      <c r="C66" s="14" t="s">
        <v>524</v>
      </c>
      <c r="D66" s="14" t="s">
        <v>521</v>
      </c>
      <c r="E66" s="14">
        <v>710210</v>
      </c>
      <c r="F66" s="14" t="s">
        <v>522</v>
      </c>
      <c r="G66" s="14" t="s">
        <v>76</v>
      </c>
    </row>
    <row r="67" spans="1:7" ht="15.7" x14ac:dyDescent="0.55000000000000004">
      <c r="A67" s="15">
        <v>1203</v>
      </c>
      <c r="B67" s="16" t="s">
        <v>82</v>
      </c>
      <c r="C67" s="16" t="s">
        <v>524</v>
      </c>
      <c r="D67" s="16" t="s">
        <v>521</v>
      </c>
      <c r="E67" s="16">
        <v>710210</v>
      </c>
      <c r="F67" s="16" t="s">
        <v>522</v>
      </c>
      <c r="G67" s="16" t="s">
        <v>76</v>
      </c>
    </row>
    <row r="68" spans="1:7" ht="15.7" x14ac:dyDescent="0.55000000000000004">
      <c r="A68" s="4">
        <v>1203</v>
      </c>
      <c r="B68" s="14" t="s">
        <v>83</v>
      </c>
      <c r="C68" s="14" t="s">
        <v>524</v>
      </c>
      <c r="D68" s="14" t="s">
        <v>521</v>
      </c>
      <c r="E68" s="14">
        <v>710210</v>
      </c>
      <c r="F68" s="14" t="s">
        <v>522</v>
      </c>
      <c r="G68" s="14" t="s">
        <v>76</v>
      </c>
    </row>
    <row r="69" spans="1:7" ht="15.7" x14ac:dyDescent="0.55000000000000004">
      <c r="A69" s="4">
        <v>1701</v>
      </c>
      <c r="B69" s="14" t="s">
        <v>202</v>
      </c>
      <c r="C69" s="14" t="s">
        <v>525</v>
      </c>
      <c r="D69" s="14" t="s">
        <v>492</v>
      </c>
      <c r="E69" s="14">
        <v>710320</v>
      </c>
      <c r="F69" s="14" t="s">
        <v>493</v>
      </c>
      <c r="G69" s="14" t="s">
        <v>494</v>
      </c>
    </row>
    <row r="70" spans="1:7" ht="15.7" x14ac:dyDescent="0.55000000000000004">
      <c r="A70" s="4">
        <v>1701</v>
      </c>
      <c r="B70" s="14" t="s">
        <v>261</v>
      </c>
      <c r="C70" s="14" t="s">
        <v>525</v>
      </c>
      <c r="D70" s="14" t="s">
        <v>507</v>
      </c>
      <c r="E70" s="14" t="s">
        <v>508</v>
      </c>
      <c r="F70" s="14" t="s">
        <v>509</v>
      </c>
      <c r="G70" s="14" t="s">
        <v>514</v>
      </c>
    </row>
    <row r="71" spans="1:7" ht="15.7" x14ac:dyDescent="0.55000000000000004">
      <c r="A71" s="4">
        <v>1701</v>
      </c>
      <c r="B71" s="14" t="s">
        <v>84</v>
      </c>
      <c r="C71" s="14" t="s">
        <v>525</v>
      </c>
      <c r="D71" s="14" t="s">
        <v>521</v>
      </c>
      <c r="E71" s="14">
        <v>710210</v>
      </c>
      <c r="F71" s="14" t="s">
        <v>522</v>
      </c>
      <c r="G71" s="14" t="s">
        <v>76</v>
      </c>
    </row>
    <row r="72" spans="1:7" ht="15.7" x14ac:dyDescent="0.55000000000000004">
      <c r="A72" s="4">
        <v>1002</v>
      </c>
      <c r="B72" s="14" t="s">
        <v>268</v>
      </c>
      <c r="C72" s="14" t="s">
        <v>526</v>
      </c>
      <c r="D72" s="14" t="s">
        <v>503</v>
      </c>
      <c r="E72" s="14">
        <v>710531</v>
      </c>
      <c r="F72" s="14" t="s">
        <v>527</v>
      </c>
      <c r="G72" s="14" t="s">
        <v>528</v>
      </c>
    </row>
    <row r="73" spans="1:7" ht="15.7" x14ac:dyDescent="0.55000000000000004">
      <c r="A73" s="4">
        <v>1002</v>
      </c>
      <c r="B73" s="14" t="s">
        <v>269</v>
      </c>
      <c r="C73" s="14" t="s">
        <v>526</v>
      </c>
      <c r="D73" s="14" t="s">
        <v>503</v>
      </c>
      <c r="E73" s="14">
        <v>710531</v>
      </c>
      <c r="F73" s="14" t="s">
        <v>527</v>
      </c>
      <c r="G73" s="14" t="s">
        <v>528</v>
      </c>
    </row>
    <row r="74" spans="1:7" ht="15.7" x14ac:dyDescent="0.55000000000000004">
      <c r="A74" s="4">
        <v>901</v>
      </c>
      <c r="B74" s="14" t="s">
        <v>529</v>
      </c>
      <c r="C74" s="14" t="s">
        <v>530</v>
      </c>
      <c r="D74" s="14" t="s">
        <v>531</v>
      </c>
      <c r="E74" s="14">
        <v>210360</v>
      </c>
      <c r="F74" s="14" t="s">
        <v>532</v>
      </c>
      <c r="G74" s="14" t="s">
        <v>396</v>
      </c>
    </row>
    <row r="75" spans="1:7" ht="15.7" x14ac:dyDescent="0.55000000000000004">
      <c r="A75" s="4">
        <v>902</v>
      </c>
      <c r="B75" s="14" t="s">
        <v>533</v>
      </c>
      <c r="C75" s="14" t="s">
        <v>534</v>
      </c>
      <c r="D75" s="14" t="s">
        <v>531</v>
      </c>
      <c r="E75" s="14">
        <v>210360</v>
      </c>
      <c r="F75" s="14" t="s">
        <v>532</v>
      </c>
      <c r="G75" s="14" t="s">
        <v>396</v>
      </c>
    </row>
    <row r="76" spans="1:7" ht="15.7" x14ac:dyDescent="0.55000000000000004">
      <c r="A76" s="4">
        <v>903</v>
      </c>
      <c r="B76" s="14" t="s">
        <v>535</v>
      </c>
      <c r="C76" s="14" t="s">
        <v>536</v>
      </c>
      <c r="D76" s="14" t="s">
        <v>531</v>
      </c>
      <c r="E76" s="14">
        <v>210360</v>
      </c>
      <c r="F76" s="14" t="s">
        <v>532</v>
      </c>
      <c r="G76" s="14" t="s">
        <v>396</v>
      </c>
    </row>
    <row r="77" spans="1:7" ht="15.7" x14ac:dyDescent="0.55000000000000004">
      <c r="A77" s="4">
        <v>1408</v>
      </c>
      <c r="B77" s="14" t="s">
        <v>85</v>
      </c>
      <c r="C77" s="14" t="s">
        <v>537</v>
      </c>
      <c r="D77" s="14" t="s">
        <v>503</v>
      </c>
      <c r="E77" s="14">
        <v>710270</v>
      </c>
      <c r="F77" s="14" t="s">
        <v>538</v>
      </c>
      <c r="G77" s="14" t="s">
        <v>539</v>
      </c>
    </row>
    <row r="78" spans="1:7" ht="15.7" x14ac:dyDescent="0.55000000000000004">
      <c r="A78" s="4">
        <v>1408</v>
      </c>
      <c r="B78" s="14" t="s">
        <v>88</v>
      </c>
      <c r="C78" s="14" t="s">
        <v>537</v>
      </c>
      <c r="D78" s="14" t="s">
        <v>503</v>
      </c>
      <c r="E78" s="14">
        <v>710270</v>
      </c>
      <c r="F78" s="14" t="s">
        <v>538</v>
      </c>
      <c r="G78" s="14" t="s">
        <v>539</v>
      </c>
    </row>
    <row r="79" spans="1:7" ht="15.7" x14ac:dyDescent="0.55000000000000004">
      <c r="A79" s="4">
        <v>1408</v>
      </c>
      <c r="B79" s="14" t="s">
        <v>89</v>
      </c>
      <c r="C79" s="14" t="s">
        <v>537</v>
      </c>
      <c r="D79" s="14" t="s">
        <v>503</v>
      </c>
      <c r="E79" s="14">
        <v>710270</v>
      </c>
      <c r="F79" s="14" t="s">
        <v>538</v>
      </c>
      <c r="G79" s="14" t="s">
        <v>539</v>
      </c>
    </row>
    <row r="80" spans="1:7" ht="15.7" x14ac:dyDescent="0.55000000000000004">
      <c r="A80" s="4">
        <v>1407</v>
      </c>
      <c r="B80" s="14" t="s">
        <v>92</v>
      </c>
      <c r="C80" s="14" t="s">
        <v>540</v>
      </c>
      <c r="D80" s="14" t="s">
        <v>503</v>
      </c>
      <c r="E80" s="14">
        <v>710270</v>
      </c>
      <c r="F80" s="14" t="s">
        <v>538</v>
      </c>
      <c r="G80" s="14" t="s">
        <v>539</v>
      </c>
    </row>
    <row r="81" spans="1:7" ht="15.7" x14ac:dyDescent="0.55000000000000004">
      <c r="A81" s="4">
        <v>1409</v>
      </c>
      <c r="B81" s="14" t="s">
        <v>169</v>
      </c>
      <c r="C81" s="14" t="s">
        <v>541</v>
      </c>
      <c r="D81" s="14" t="s">
        <v>479</v>
      </c>
      <c r="E81" s="14">
        <v>710280</v>
      </c>
      <c r="F81" s="14" t="s">
        <v>542</v>
      </c>
      <c r="G81" s="14" t="s">
        <v>543</v>
      </c>
    </row>
    <row r="82" spans="1:7" ht="15.7" x14ac:dyDescent="0.55000000000000004">
      <c r="A82" s="4">
        <v>1409</v>
      </c>
      <c r="B82" s="14" t="s">
        <v>170</v>
      </c>
      <c r="C82" s="14" t="s">
        <v>541</v>
      </c>
      <c r="D82" s="14" t="s">
        <v>479</v>
      </c>
      <c r="E82" s="14">
        <v>710280</v>
      </c>
      <c r="F82" s="14" t="s">
        <v>542</v>
      </c>
      <c r="G82" s="14" t="s">
        <v>543</v>
      </c>
    </row>
    <row r="83" spans="1:7" ht="15.7" x14ac:dyDescent="0.55000000000000004">
      <c r="A83" s="4">
        <v>1407</v>
      </c>
      <c r="B83" s="14" t="s">
        <v>93</v>
      </c>
      <c r="C83" s="14" t="s">
        <v>540</v>
      </c>
      <c r="D83" s="14" t="s">
        <v>503</v>
      </c>
      <c r="E83" s="14">
        <v>710270</v>
      </c>
      <c r="F83" s="14" t="s">
        <v>538</v>
      </c>
      <c r="G83" s="14" t="s">
        <v>539</v>
      </c>
    </row>
    <row r="84" spans="1:7" ht="15.7" x14ac:dyDescent="0.55000000000000004">
      <c r="A84" s="4">
        <v>1411</v>
      </c>
      <c r="B84" s="14" t="s">
        <v>100</v>
      </c>
      <c r="C84" s="14" t="s">
        <v>544</v>
      </c>
      <c r="D84" s="14" t="s">
        <v>503</v>
      </c>
      <c r="E84" s="14">
        <v>710270</v>
      </c>
      <c r="F84" s="14" t="s">
        <v>538</v>
      </c>
      <c r="G84" s="14" t="s">
        <v>539</v>
      </c>
    </row>
    <row r="85" spans="1:7" ht="15.7" x14ac:dyDescent="0.55000000000000004">
      <c r="A85" s="4">
        <v>1411</v>
      </c>
      <c r="B85" s="18" t="s">
        <v>172</v>
      </c>
      <c r="C85" s="14" t="s">
        <v>544</v>
      </c>
      <c r="D85" s="14" t="s">
        <v>479</v>
      </c>
      <c r="E85" s="14">
        <v>710280</v>
      </c>
      <c r="F85" s="18" t="s">
        <v>542</v>
      </c>
      <c r="G85" s="18" t="s">
        <v>543</v>
      </c>
    </row>
    <row r="86" spans="1:7" ht="15.7" x14ac:dyDescent="0.55000000000000004">
      <c r="A86" s="4">
        <v>1409</v>
      </c>
      <c r="B86" s="14" t="s">
        <v>316</v>
      </c>
      <c r="C86" s="14" t="s">
        <v>541</v>
      </c>
      <c r="D86" s="14" t="s">
        <v>479</v>
      </c>
      <c r="E86" s="14">
        <v>710280</v>
      </c>
      <c r="F86" s="14" t="s">
        <v>542</v>
      </c>
      <c r="G86" s="14" t="s">
        <v>543</v>
      </c>
    </row>
    <row r="87" spans="1:7" ht="15.7" x14ac:dyDescent="0.55000000000000004">
      <c r="A87" s="4">
        <v>2004</v>
      </c>
      <c r="B87" s="14" t="s">
        <v>105</v>
      </c>
      <c r="C87" s="14" t="s">
        <v>489</v>
      </c>
      <c r="D87" s="14" t="s">
        <v>479</v>
      </c>
      <c r="E87" s="14">
        <v>710280</v>
      </c>
      <c r="F87" s="14" t="s">
        <v>484</v>
      </c>
      <c r="G87" s="14" t="s">
        <v>485</v>
      </c>
    </row>
    <row r="88" spans="1:7" ht="15.7" x14ac:dyDescent="0.55000000000000004">
      <c r="A88" s="4">
        <v>1408</v>
      </c>
      <c r="B88" s="14" t="s">
        <v>107</v>
      </c>
      <c r="C88" s="14" t="s">
        <v>537</v>
      </c>
      <c r="D88" s="14" t="s">
        <v>503</v>
      </c>
      <c r="E88" s="14">
        <v>710270</v>
      </c>
      <c r="F88" s="14" t="s">
        <v>538</v>
      </c>
      <c r="G88" s="14" t="s">
        <v>539</v>
      </c>
    </row>
    <row r="89" spans="1:7" ht="15.7" x14ac:dyDescent="0.55000000000000004">
      <c r="A89" s="4">
        <v>1409</v>
      </c>
      <c r="B89" s="14" t="s">
        <v>175</v>
      </c>
      <c r="C89" s="14" t="s">
        <v>541</v>
      </c>
      <c r="D89" s="14" t="s">
        <v>479</v>
      </c>
      <c r="E89" s="14">
        <v>710280</v>
      </c>
      <c r="F89" s="14" t="s">
        <v>542</v>
      </c>
      <c r="G89" s="14" t="s">
        <v>543</v>
      </c>
    </row>
    <row r="90" spans="1:7" ht="15.7" x14ac:dyDescent="0.55000000000000004">
      <c r="A90" s="15">
        <v>1411</v>
      </c>
      <c r="B90" s="16" t="s">
        <v>108</v>
      </c>
      <c r="C90" s="16" t="s">
        <v>544</v>
      </c>
      <c r="D90" s="16" t="s">
        <v>503</v>
      </c>
      <c r="E90" s="16">
        <v>710270</v>
      </c>
      <c r="F90" s="16" t="s">
        <v>538</v>
      </c>
      <c r="G90" s="16" t="s">
        <v>539</v>
      </c>
    </row>
    <row r="91" spans="1:7" ht="15.7" x14ac:dyDescent="0.55000000000000004">
      <c r="A91" s="4">
        <v>1407</v>
      </c>
      <c r="B91" s="14" t="s">
        <v>109</v>
      </c>
      <c r="C91" s="14" t="s">
        <v>540</v>
      </c>
      <c r="D91" s="14" t="s">
        <v>503</v>
      </c>
      <c r="E91" s="14">
        <v>710270</v>
      </c>
      <c r="F91" s="14" t="s">
        <v>538</v>
      </c>
      <c r="G91" s="17" t="s">
        <v>539</v>
      </c>
    </row>
    <row r="92" spans="1:7" ht="15.7" x14ac:dyDescent="0.55000000000000004">
      <c r="A92" s="4">
        <v>1411</v>
      </c>
      <c r="B92" s="14" t="s">
        <v>110</v>
      </c>
      <c r="C92" s="14" t="s">
        <v>544</v>
      </c>
      <c r="D92" s="14" t="s">
        <v>503</v>
      </c>
      <c r="E92" s="14">
        <v>710270</v>
      </c>
      <c r="F92" s="14" t="s">
        <v>538</v>
      </c>
      <c r="G92" s="14" t="s">
        <v>539</v>
      </c>
    </row>
    <row r="93" spans="1:7" ht="15.7" x14ac:dyDescent="0.55000000000000004">
      <c r="A93" s="4">
        <v>1407</v>
      </c>
      <c r="B93" s="14" t="s">
        <v>111</v>
      </c>
      <c r="C93" s="14" t="s">
        <v>540</v>
      </c>
      <c r="D93" s="14" t="s">
        <v>503</v>
      </c>
      <c r="E93" s="14">
        <v>710270</v>
      </c>
      <c r="F93" s="14" t="s">
        <v>538</v>
      </c>
      <c r="G93" s="14" t="s">
        <v>539</v>
      </c>
    </row>
    <row r="94" spans="1:7" ht="15.7" x14ac:dyDescent="0.55000000000000004">
      <c r="A94" s="4">
        <v>1408</v>
      </c>
      <c r="B94" s="14" t="s">
        <v>112</v>
      </c>
      <c r="C94" s="14" t="s">
        <v>537</v>
      </c>
      <c r="D94" s="14" t="s">
        <v>503</v>
      </c>
      <c r="E94" s="14">
        <v>710270</v>
      </c>
      <c r="F94" s="14" t="s">
        <v>538</v>
      </c>
      <c r="G94" s="14" t="s">
        <v>539</v>
      </c>
    </row>
    <row r="95" spans="1:7" ht="15.7" x14ac:dyDescent="0.55000000000000004">
      <c r="A95" s="4">
        <v>1408</v>
      </c>
      <c r="B95" s="14" t="s">
        <v>113</v>
      </c>
      <c r="C95" s="14" t="s">
        <v>537</v>
      </c>
      <c r="D95" s="14" t="s">
        <v>503</v>
      </c>
      <c r="E95" s="14">
        <v>710270</v>
      </c>
      <c r="F95" s="14" t="s">
        <v>538</v>
      </c>
      <c r="G95" s="14" t="s">
        <v>539</v>
      </c>
    </row>
    <row r="96" spans="1:7" ht="15.7" x14ac:dyDescent="0.55000000000000004">
      <c r="A96" s="4">
        <v>1408</v>
      </c>
      <c r="B96" s="14" t="s">
        <v>114</v>
      </c>
      <c r="C96" s="14" t="s">
        <v>537</v>
      </c>
      <c r="D96" s="14" t="s">
        <v>503</v>
      </c>
      <c r="E96" s="14">
        <v>710270</v>
      </c>
      <c r="F96" s="14" t="s">
        <v>538</v>
      </c>
      <c r="G96" s="14" t="s">
        <v>539</v>
      </c>
    </row>
    <row r="97" spans="1:7" ht="15.7" x14ac:dyDescent="0.55000000000000004">
      <c r="A97" s="4">
        <v>1407</v>
      </c>
      <c r="B97" s="14" t="s">
        <v>115</v>
      </c>
      <c r="C97" s="14" t="s">
        <v>540</v>
      </c>
      <c r="D97" s="14" t="s">
        <v>503</v>
      </c>
      <c r="E97" s="14">
        <v>710270</v>
      </c>
      <c r="F97" s="14" t="s">
        <v>538</v>
      </c>
      <c r="G97" s="14" t="s">
        <v>539</v>
      </c>
    </row>
    <row r="98" spans="1:7" ht="15.7" x14ac:dyDescent="0.55000000000000004">
      <c r="A98" s="4">
        <v>1903</v>
      </c>
      <c r="B98" s="14" t="s">
        <v>290</v>
      </c>
      <c r="C98" s="14" t="s">
        <v>154</v>
      </c>
      <c r="D98" s="14" t="s">
        <v>373</v>
      </c>
      <c r="E98" s="14" t="s">
        <v>373</v>
      </c>
      <c r="F98" s="14" t="s">
        <v>373</v>
      </c>
      <c r="G98" s="14" t="s">
        <v>373</v>
      </c>
    </row>
    <row r="99" spans="1:7" ht="15.7" x14ac:dyDescent="0.55000000000000004">
      <c r="A99" s="4">
        <v>1103</v>
      </c>
      <c r="B99" s="14" t="s">
        <v>176</v>
      </c>
      <c r="C99" s="14" t="s">
        <v>545</v>
      </c>
      <c r="D99" s="14" t="s">
        <v>546</v>
      </c>
      <c r="E99" s="14">
        <v>710290</v>
      </c>
      <c r="F99" s="14" t="s">
        <v>547</v>
      </c>
      <c r="G99" s="14" t="s">
        <v>177</v>
      </c>
    </row>
    <row r="100" spans="1:7" ht="15.7" x14ac:dyDescent="0.55000000000000004">
      <c r="A100" s="4">
        <v>1103</v>
      </c>
      <c r="B100" s="14" t="s">
        <v>179</v>
      </c>
      <c r="C100" s="14" t="s">
        <v>545</v>
      </c>
      <c r="D100" s="14" t="s">
        <v>546</v>
      </c>
      <c r="E100" s="14">
        <v>710290</v>
      </c>
      <c r="F100" s="14" t="s">
        <v>547</v>
      </c>
      <c r="G100" s="14" t="s">
        <v>177</v>
      </c>
    </row>
    <row r="101" spans="1:7" ht="15.7" x14ac:dyDescent="0.55000000000000004">
      <c r="A101" s="4">
        <v>1925</v>
      </c>
      <c r="B101" s="14" t="s">
        <v>203</v>
      </c>
      <c r="C101" s="14" t="s">
        <v>548</v>
      </c>
      <c r="D101" s="14" t="s">
        <v>549</v>
      </c>
      <c r="E101" s="14">
        <v>710370</v>
      </c>
      <c r="F101" s="14" t="s">
        <v>550</v>
      </c>
      <c r="G101" s="14" t="s">
        <v>551</v>
      </c>
    </row>
    <row r="102" spans="1:7" ht="15.7" x14ac:dyDescent="0.55000000000000004">
      <c r="A102" s="4">
        <v>1925</v>
      </c>
      <c r="B102" s="14" t="s">
        <v>209</v>
      </c>
      <c r="C102" s="14" t="s">
        <v>548</v>
      </c>
      <c r="D102" s="14" t="s">
        <v>549</v>
      </c>
      <c r="E102" s="14">
        <v>710370</v>
      </c>
      <c r="F102" s="14" t="s">
        <v>550</v>
      </c>
      <c r="G102" s="14" t="s">
        <v>551</v>
      </c>
    </row>
    <row r="103" spans="1:7" ht="15.7" x14ac:dyDescent="0.55000000000000004">
      <c r="A103" s="4">
        <v>1924</v>
      </c>
      <c r="B103" s="14" t="s">
        <v>210</v>
      </c>
      <c r="C103" s="14" t="s">
        <v>552</v>
      </c>
      <c r="D103" s="14" t="s">
        <v>549</v>
      </c>
      <c r="E103" s="14">
        <v>710370</v>
      </c>
      <c r="F103" s="14" t="s">
        <v>550</v>
      </c>
      <c r="G103" s="14" t="s">
        <v>551</v>
      </c>
    </row>
    <row r="104" spans="1:7" ht="15.7" x14ac:dyDescent="0.55000000000000004">
      <c r="A104" s="4">
        <v>1925</v>
      </c>
      <c r="B104" s="14" t="s">
        <v>215</v>
      </c>
      <c r="C104" s="14" t="s">
        <v>548</v>
      </c>
      <c r="D104" s="14" t="s">
        <v>549</v>
      </c>
      <c r="E104" s="14">
        <v>710370</v>
      </c>
      <c r="F104" s="14" t="s">
        <v>550</v>
      </c>
      <c r="G104" s="14" t="s">
        <v>551</v>
      </c>
    </row>
    <row r="105" spans="1:7" ht="15.7" x14ac:dyDescent="0.55000000000000004">
      <c r="A105" s="4">
        <v>1925</v>
      </c>
      <c r="B105" s="14" t="s">
        <v>216</v>
      </c>
      <c r="C105" s="14" t="s">
        <v>548</v>
      </c>
      <c r="D105" s="14" t="s">
        <v>549</v>
      </c>
      <c r="E105" s="14">
        <v>710370</v>
      </c>
      <c r="F105" s="14" t="s">
        <v>550</v>
      </c>
      <c r="G105" s="14" t="s">
        <v>551</v>
      </c>
    </row>
    <row r="106" spans="1:7" ht="15.7" x14ac:dyDescent="0.55000000000000004">
      <c r="A106" s="4">
        <v>1924</v>
      </c>
      <c r="B106" s="14" t="s">
        <v>221</v>
      </c>
      <c r="C106" s="14" t="s">
        <v>552</v>
      </c>
      <c r="D106" s="14" t="s">
        <v>549</v>
      </c>
      <c r="E106" s="14">
        <v>710370</v>
      </c>
      <c r="F106" s="14" t="s">
        <v>550</v>
      </c>
      <c r="G106" s="14" t="s">
        <v>551</v>
      </c>
    </row>
    <row r="107" spans="1:7" ht="15.7" x14ac:dyDescent="0.55000000000000004">
      <c r="A107" s="4">
        <v>1928</v>
      </c>
      <c r="B107" s="14" t="s">
        <v>62</v>
      </c>
      <c r="C107" s="14" t="s">
        <v>553</v>
      </c>
      <c r="D107" s="14" t="s">
        <v>497</v>
      </c>
      <c r="E107" s="14">
        <v>210390</v>
      </c>
      <c r="F107" s="14" t="s">
        <v>554</v>
      </c>
      <c r="G107" s="14" t="s">
        <v>499</v>
      </c>
    </row>
    <row r="108" spans="1:7" ht="15.7" x14ac:dyDescent="0.55000000000000004">
      <c r="A108" s="4">
        <v>1928</v>
      </c>
      <c r="B108" s="14" t="s">
        <v>555</v>
      </c>
      <c r="C108" s="14" t="s">
        <v>553</v>
      </c>
      <c r="D108" s="14" t="s">
        <v>497</v>
      </c>
      <c r="E108" s="14">
        <v>210390</v>
      </c>
      <c r="F108" s="14" t="s">
        <v>554</v>
      </c>
      <c r="G108" s="14" t="s">
        <v>499</v>
      </c>
    </row>
    <row r="109" spans="1:7" ht="15.7" x14ac:dyDescent="0.55000000000000004">
      <c r="A109" s="4">
        <v>1915</v>
      </c>
      <c r="B109" s="14" t="s">
        <v>64</v>
      </c>
      <c r="C109" s="14" t="s">
        <v>556</v>
      </c>
      <c r="D109" s="14" t="s">
        <v>373</v>
      </c>
      <c r="E109" s="14" t="s">
        <v>373</v>
      </c>
      <c r="F109" s="14" t="s">
        <v>373</v>
      </c>
      <c r="G109" s="14" t="s">
        <v>373</v>
      </c>
    </row>
    <row r="110" spans="1:7" ht="15.7" x14ac:dyDescent="0.55000000000000004">
      <c r="A110" s="15">
        <v>1928</v>
      </c>
      <c r="B110" s="16" t="s">
        <v>227</v>
      </c>
      <c r="C110" s="16" t="s">
        <v>553</v>
      </c>
      <c r="D110" s="16" t="s">
        <v>497</v>
      </c>
      <c r="E110" s="16">
        <v>210390</v>
      </c>
      <c r="F110" s="16" t="s">
        <v>554</v>
      </c>
      <c r="G110" s="16" t="s">
        <v>499</v>
      </c>
    </row>
    <row r="111" spans="1:7" ht="15.7" x14ac:dyDescent="0.55000000000000004">
      <c r="A111" s="4">
        <v>1924</v>
      </c>
      <c r="B111" s="14" t="s">
        <v>229</v>
      </c>
      <c r="C111" s="14" t="s">
        <v>552</v>
      </c>
      <c r="D111" s="14" t="s">
        <v>549</v>
      </c>
      <c r="E111" s="14">
        <v>710370</v>
      </c>
      <c r="F111" s="14" t="s">
        <v>550</v>
      </c>
      <c r="G111" s="14" t="s">
        <v>551</v>
      </c>
    </row>
    <row r="112" spans="1:7" ht="15.7" x14ac:dyDescent="0.55000000000000004">
      <c r="A112" s="4">
        <v>1928</v>
      </c>
      <c r="B112" s="14" t="s">
        <v>66</v>
      </c>
      <c r="C112" s="14" t="s">
        <v>553</v>
      </c>
      <c r="D112" s="14" t="s">
        <v>497</v>
      </c>
      <c r="E112" s="14">
        <v>210390</v>
      </c>
      <c r="F112" s="14" t="s">
        <v>554</v>
      </c>
      <c r="G112" s="14" t="s">
        <v>499</v>
      </c>
    </row>
    <row r="113" spans="1:7" ht="15.7" x14ac:dyDescent="0.55000000000000004">
      <c r="A113" s="4">
        <v>1928</v>
      </c>
      <c r="B113" s="14" t="s">
        <v>71</v>
      </c>
      <c r="C113" s="14" t="s">
        <v>553</v>
      </c>
      <c r="D113" s="14" t="s">
        <v>497</v>
      </c>
      <c r="E113" s="14">
        <v>210390</v>
      </c>
      <c r="F113" s="14" t="s">
        <v>554</v>
      </c>
      <c r="G113" s="14" t="s">
        <v>499</v>
      </c>
    </row>
    <row r="114" spans="1:7" ht="15.7" x14ac:dyDescent="0.55000000000000004">
      <c r="A114" s="4">
        <v>2206</v>
      </c>
      <c r="B114" s="14" t="s">
        <v>289</v>
      </c>
      <c r="C114" s="14" t="s">
        <v>472</v>
      </c>
      <c r="D114" s="14" t="s">
        <v>473</v>
      </c>
      <c r="E114" s="14">
        <v>711740</v>
      </c>
      <c r="F114" s="14" t="s">
        <v>474</v>
      </c>
      <c r="G114" s="14" t="s">
        <v>475</v>
      </c>
    </row>
    <row r="115" spans="1:7" ht="15.7" x14ac:dyDescent="0.55000000000000004">
      <c r="A115" s="4">
        <v>1925</v>
      </c>
      <c r="B115" s="14" t="s">
        <v>234</v>
      </c>
      <c r="C115" s="14" t="s">
        <v>548</v>
      </c>
      <c r="D115" s="14" t="s">
        <v>549</v>
      </c>
      <c r="E115" s="14">
        <v>710370</v>
      </c>
      <c r="F115" s="14" t="s">
        <v>550</v>
      </c>
      <c r="G115" s="14" t="s">
        <v>551</v>
      </c>
    </row>
    <row r="116" spans="1:7" ht="15.7" x14ac:dyDescent="0.55000000000000004">
      <c r="A116" s="4">
        <v>1925</v>
      </c>
      <c r="B116" s="14" t="s">
        <v>235</v>
      </c>
      <c r="C116" s="14" t="s">
        <v>548</v>
      </c>
      <c r="D116" s="14" t="s">
        <v>549</v>
      </c>
      <c r="E116" s="14">
        <v>710370</v>
      </c>
      <c r="F116" s="14" t="s">
        <v>550</v>
      </c>
      <c r="G116" s="14" t="s">
        <v>551</v>
      </c>
    </row>
    <row r="117" spans="1:7" ht="15.7" x14ac:dyDescent="0.55000000000000004">
      <c r="A117" s="4">
        <v>1923</v>
      </c>
      <c r="B117" s="14" t="s">
        <v>237</v>
      </c>
      <c r="C117" s="14" t="s">
        <v>557</v>
      </c>
      <c r="D117" s="14" t="s">
        <v>549</v>
      </c>
      <c r="E117" s="14">
        <v>710370</v>
      </c>
      <c r="F117" s="14" t="s">
        <v>558</v>
      </c>
      <c r="G117" s="14" t="s">
        <v>559</v>
      </c>
    </row>
    <row r="118" spans="1:7" ht="15.7" x14ac:dyDescent="0.55000000000000004">
      <c r="A118" s="4">
        <v>1923</v>
      </c>
      <c r="B118" s="14" t="s">
        <v>238</v>
      </c>
      <c r="C118" s="14" t="s">
        <v>557</v>
      </c>
      <c r="D118" s="14" t="s">
        <v>549</v>
      </c>
      <c r="E118" s="14">
        <v>710370</v>
      </c>
      <c r="F118" s="14" t="s">
        <v>558</v>
      </c>
      <c r="G118" s="14" t="s">
        <v>559</v>
      </c>
    </row>
    <row r="119" spans="1:7" ht="15.7" x14ac:dyDescent="0.55000000000000004">
      <c r="A119" s="15">
        <v>1928</v>
      </c>
      <c r="B119" s="16" t="s">
        <v>37</v>
      </c>
      <c r="C119" s="16" t="s">
        <v>553</v>
      </c>
      <c r="D119" s="16" t="s">
        <v>497</v>
      </c>
      <c r="E119" s="16">
        <v>210390</v>
      </c>
      <c r="F119" s="16" t="s">
        <v>554</v>
      </c>
      <c r="G119" s="16" t="s">
        <v>499</v>
      </c>
    </row>
    <row r="120" spans="1:7" ht="15.7" x14ac:dyDescent="0.55000000000000004">
      <c r="A120" s="4">
        <v>1928</v>
      </c>
      <c r="B120" s="14" t="s">
        <v>40</v>
      </c>
      <c r="C120" s="14" t="s">
        <v>553</v>
      </c>
      <c r="D120" s="14" t="s">
        <v>497</v>
      </c>
      <c r="E120" s="14">
        <v>210390</v>
      </c>
      <c r="F120" s="14" t="s">
        <v>554</v>
      </c>
      <c r="G120" s="14" t="s">
        <v>499</v>
      </c>
    </row>
    <row r="121" spans="1:7" ht="15.7" x14ac:dyDescent="0.55000000000000004">
      <c r="A121" s="4">
        <v>1928</v>
      </c>
      <c r="B121" s="14" t="s">
        <v>42</v>
      </c>
      <c r="C121" s="14" t="s">
        <v>553</v>
      </c>
      <c r="D121" s="14" t="s">
        <v>497</v>
      </c>
      <c r="E121" s="14">
        <v>210390</v>
      </c>
      <c r="F121" s="14" t="s">
        <v>554</v>
      </c>
      <c r="G121" s="14" t="s">
        <v>499</v>
      </c>
    </row>
    <row r="122" spans="1:7" ht="15.7" x14ac:dyDescent="0.55000000000000004">
      <c r="A122" s="4">
        <v>1924</v>
      </c>
      <c r="B122" s="14" t="s">
        <v>239</v>
      </c>
      <c r="C122" s="14" t="s">
        <v>552</v>
      </c>
      <c r="D122" s="14" t="s">
        <v>549</v>
      </c>
      <c r="E122" s="14">
        <v>710370</v>
      </c>
      <c r="F122" s="14" t="s">
        <v>550</v>
      </c>
      <c r="G122" s="14" t="s">
        <v>551</v>
      </c>
    </row>
    <row r="123" spans="1:7" ht="15.7" x14ac:dyDescent="0.55000000000000004">
      <c r="A123" s="15">
        <v>1924</v>
      </c>
      <c r="B123" s="16" t="s">
        <v>240</v>
      </c>
      <c r="C123" s="16" t="s">
        <v>552</v>
      </c>
      <c r="D123" s="16" t="s">
        <v>549</v>
      </c>
      <c r="E123" s="16">
        <v>710370</v>
      </c>
      <c r="F123" s="16" t="s">
        <v>550</v>
      </c>
      <c r="G123" s="16" t="s">
        <v>551</v>
      </c>
    </row>
    <row r="124" spans="1:7" ht="15.7" x14ac:dyDescent="0.55000000000000004">
      <c r="A124" s="4">
        <v>2311</v>
      </c>
      <c r="B124" s="14" t="s">
        <v>243</v>
      </c>
      <c r="C124" s="14" t="s">
        <v>560</v>
      </c>
      <c r="D124" s="14" t="s">
        <v>561</v>
      </c>
      <c r="E124" s="14">
        <v>710412</v>
      </c>
      <c r="F124" s="14" t="s">
        <v>562</v>
      </c>
      <c r="G124" s="17" t="s">
        <v>563</v>
      </c>
    </row>
    <row r="125" spans="1:7" ht="15.7" x14ac:dyDescent="0.55000000000000004">
      <c r="A125" s="4">
        <v>2311</v>
      </c>
      <c r="B125" s="14" t="s">
        <v>247</v>
      </c>
      <c r="C125" s="14" t="s">
        <v>560</v>
      </c>
      <c r="D125" s="14" t="s">
        <v>561</v>
      </c>
      <c r="E125" s="14">
        <v>710412</v>
      </c>
      <c r="F125" s="14" t="s">
        <v>562</v>
      </c>
      <c r="G125" s="14" t="s">
        <v>563</v>
      </c>
    </row>
    <row r="126" spans="1:7" ht="15.7" x14ac:dyDescent="0.55000000000000004">
      <c r="A126" s="4">
        <v>2301</v>
      </c>
      <c r="B126" s="14" t="s">
        <v>250</v>
      </c>
      <c r="C126" s="14" t="s">
        <v>564</v>
      </c>
      <c r="D126" s="14" t="s">
        <v>561</v>
      </c>
      <c r="E126" s="14">
        <v>710412</v>
      </c>
      <c r="F126" s="14" t="s">
        <v>562</v>
      </c>
      <c r="G126" s="14" t="s">
        <v>563</v>
      </c>
    </row>
    <row r="127" spans="1:7" ht="15.7" x14ac:dyDescent="0.55000000000000004">
      <c r="A127" s="4">
        <v>2311</v>
      </c>
      <c r="B127" s="14" t="s">
        <v>252</v>
      </c>
      <c r="C127" s="14" t="s">
        <v>560</v>
      </c>
      <c r="D127" s="14" t="s">
        <v>561</v>
      </c>
      <c r="E127" s="14">
        <v>710412</v>
      </c>
      <c r="F127" s="14" t="s">
        <v>562</v>
      </c>
      <c r="G127" s="14" t="s">
        <v>563</v>
      </c>
    </row>
    <row r="128" spans="1:7" ht="15.7" x14ac:dyDescent="0.55000000000000004">
      <c r="A128" s="4">
        <v>2302</v>
      </c>
      <c r="B128" s="14" t="s">
        <v>256</v>
      </c>
      <c r="C128" s="14" t="s">
        <v>565</v>
      </c>
      <c r="D128" s="14" t="s">
        <v>561</v>
      </c>
      <c r="E128" s="14">
        <v>710412</v>
      </c>
      <c r="F128" s="14" t="s">
        <v>562</v>
      </c>
      <c r="G128" s="14" t="s">
        <v>563</v>
      </c>
    </row>
    <row r="129" spans="1:7" ht="15.7" x14ac:dyDescent="0.55000000000000004">
      <c r="A129" s="4">
        <v>2311</v>
      </c>
      <c r="B129" s="14" t="s">
        <v>259</v>
      </c>
      <c r="C129" s="14" t="s">
        <v>560</v>
      </c>
      <c r="D129" s="14" t="s">
        <v>561</v>
      </c>
      <c r="E129" s="14">
        <v>710412</v>
      </c>
      <c r="F129" s="14" t="s">
        <v>562</v>
      </c>
      <c r="G129" s="14" t="s">
        <v>563</v>
      </c>
    </row>
    <row r="130" spans="1:7" ht="15.7" x14ac:dyDescent="0.55000000000000004">
      <c r="A130" s="4">
        <v>2301</v>
      </c>
      <c r="B130" s="14" t="s">
        <v>260</v>
      </c>
      <c r="C130" s="14" t="s">
        <v>564</v>
      </c>
      <c r="D130" s="14" t="s">
        <v>561</v>
      </c>
      <c r="E130" s="14">
        <v>710412</v>
      </c>
      <c r="F130" s="14" t="s">
        <v>562</v>
      </c>
      <c r="G130" s="14" t="s">
        <v>563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selection activeCell="A3" activeCellId="2" sqref="A13 A5:A6 A2:A3"/>
    </sheetView>
  </sheetViews>
  <sheetFormatPr defaultRowHeight="14.35" x14ac:dyDescent="0.5"/>
  <cols>
    <col min="1" max="1" width="10.1171875" customWidth="1"/>
    <col min="2" max="2" width="74.87890625" bestFit="1" customWidth="1"/>
    <col min="3" max="3" width="17.703125" bestFit="1" customWidth="1"/>
  </cols>
  <sheetData>
    <row r="1" spans="1:10" x14ac:dyDescent="0.5">
      <c r="A1" t="s">
        <v>403</v>
      </c>
      <c r="B1" t="s">
        <v>566</v>
      </c>
      <c r="C1" t="s">
        <v>567</v>
      </c>
    </row>
    <row r="2" spans="1:10" x14ac:dyDescent="0.5">
      <c r="A2">
        <v>10210</v>
      </c>
      <c r="B2" t="s">
        <v>77</v>
      </c>
      <c r="C2" t="s">
        <v>568</v>
      </c>
      <c r="J2" s="19"/>
    </row>
    <row r="3" spans="1:10" x14ac:dyDescent="0.5">
      <c r="A3">
        <v>10270</v>
      </c>
      <c r="B3" t="s">
        <v>87</v>
      </c>
      <c r="C3" t="s">
        <v>568</v>
      </c>
      <c r="J3" s="19"/>
    </row>
    <row r="4" spans="1:10" x14ac:dyDescent="0.5">
      <c r="A4">
        <v>10280</v>
      </c>
      <c r="B4" t="s">
        <v>118</v>
      </c>
      <c r="J4" s="19"/>
    </row>
    <row r="5" spans="1:10" x14ac:dyDescent="0.5">
      <c r="A5">
        <v>10290</v>
      </c>
      <c r="B5" t="s">
        <v>178</v>
      </c>
      <c r="C5" t="s">
        <v>568</v>
      </c>
      <c r="J5" s="19"/>
    </row>
    <row r="6" spans="1:10" x14ac:dyDescent="0.5">
      <c r="A6">
        <v>10300</v>
      </c>
      <c r="B6" t="s">
        <v>569</v>
      </c>
      <c r="C6" t="s">
        <v>568</v>
      </c>
      <c r="J6" s="19"/>
    </row>
    <row r="7" spans="1:10" x14ac:dyDescent="0.5">
      <c r="A7">
        <v>103010</v>
      </c>
      <c r="B7" t="s">
        <v>570</v>
      </c>
      <c r="J7" s="19"/>
    </row>
    <row r="8" spans="1:10" x14ac:dyDescent="0.5">
      <c r="A8">
        <v>10320</v>
      </c>
      <c r="B8" t="s">
        <v>182</v>
      </c>
      <c r="J8" s="19"/>
    </row>
    <row r="9" spans="1:10" x14ac:dyDescent="0.5">
      <c r="A9">
        <v>10321</v>
      </c>
      <c r="B9" t="s">
        <v>571</v>
      </c>
    </row>
    <row r="10" spans="1:10" x14ac:dyDescent="0.5">
      <c r="A10">
        <v>10370</v>
      </c>
      <c r="B10" t="s">
        <v>205</v>
      </c>
    </row>
    <row r="11" spans="1:10" x14ac:dyDescent="0.5">
      <c r="A11">
        <v>10390</v>
      </c>
      <c r="B11" t="s">
        <v>44</v>
      </c>
    </row>
    <row r="12" spans="1:10" x14ac:dyDescent="0.5">
      <c r="A12">
        <v>10412</v>
      </c>
      <c r="B12" t="s">
        <v>242</v>
      </c>
    </row>
    <row r="13" spans="1:10" x14ac:dyDescent="0.5">
      <c r="A13">
        <v>10431</v>
      </c>
      <c r="B13" t="s">
        <v>11</v>
      </c>
      <c r="C13" t="s">
        <v>568</v>
      </c>
    </row>
    <row r="14" spans="1:10" x14ac:dyDescent="0.5">
      <c r="A14">
        <v>10432</v>
      </c>
      <c r="B14" t="s">
        <v>26</v>
      </c>
    </row>
    <row r="15" spans="1:10" x14ac:dyDescent="0.5">
      <c r="A15">
        <v>10531</v>
      </c>
      <c r="B15" t="s">
        <v>264</v>
      </c>
    </row>
    <row r="16" spans="1:10" x14ac:dyDescent="0.5">
      <c r="A16">
        <v>10580</v>
      </c>
      <c r="B16" t="s">
        <v>272</v>
      </c>
    </row>
    <row r="17" spans="1:2" x14ac:dyDescent="0.5">
      <c r="A17">
        <v>11740</v>
      </c>
      <c r="B17" t="s">
        <v>281</v>
      </c>
    </row>
  </sheetData>
  <sortState xmlns:xlrd2="http://schemas.microsoft.com/office/spreadsheetml/2017/richdata2" ref="J2:J9">
    <sortCondition ref="J2:J9"/>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51"/>
  <sheetViews>
    <sheetView workbookViewId="0">
      <selection activeCell="A77" sqref="A77"/>
    </sheetView>
  </sheetViews>
  <sheetFormatPr defaultRowHeight="14.35" x14ac:dyDescent="0.5"/>
  <cols>
    <col min="1" max="1" width="17.5859375" bestFit="1" customWidth="1"/>
    <col min="5" max="5" width="18" bestFit="1" customWidth="1"/>
  </cols>
  <sheetData>
    <row r="1" spans="1:5" x14ac:dyDescent="0.5">
      <c r="A1" s="5" t="s">
        <v>572</v>
      </c>
      <c r="B1" s="6" t="s">
        <v>573</v>
      </c>
      <c r="C1" s="6" t="s">
        <v>574</v>
      </c>
      <c r="D1" s="6" t="s">
        <v>575</v>
      </c>
      <c r="E1" s="6" t="s">
        <v>576</v>
      </c>
    </row>
    <row r="2" spans="1:5" x14ac:dyDescent="0.5">
      <c r="A2" s="7">
        <v>110010</v>
      </c>
      <c r="B2" s="8" t="s">
        <v>577</v>
      </c>
      <c r="C2" s="8">
        <v>100</v>
      </c>
      <c r="D2" s="8" t="s">
        <v>578</v>
      </c>
      <c r="E2" s="8" t="s">
        <v>579</v>
      </c>
    </row>
    <row r="3" spans="1:5" x14ac:dyDescent="0.5">
      <c r="A3" s="7">
        <v>110030</v>
      </c>
      <c r="B3" s="8" t="s">
        <v>580</v>
      </c>
      <c r="C3" s="8">
        <v>100</v>
      </c>
      <c r="D3" s="8" t="s">
        <v>578</v>
      </c>
      <c r="E3" s="8" t="s">
        <v>579</v>
      </c>
    </row>
    <row r="4" spans="1:5" x14ac:dyDescent="0.5">
      <c r="A4" s="7">
        <v>110060</v>
      </c>
      <c r="B4" s="8" t="s">
        <v>581</v>
      </c>
      <c r="C4" s="8">
        <v>100</v>
      </c>
      <c r="D4" s="8" t="s">
        <v>578</v>
      </c>
      <c r="E4" s="8" t="s">
        <v>579</v>
      </c>
    </row>
    <row r="5" spans="1:5" x14ac:dyDescent="0.5">
      <c r="A5" s="7">
        <v>110080</v>
      </c>
      <c r="B5" s="8" t="s">
        <v>582</v>
      </c>
      <c r="C5" s="8">
        <v>118</v>
      </c>
      <c r="D5" s="8" t="s">
        <v>583</v>
      </c>
      <c r="E5" s="8">
        <v>610290</v>
      </c>
    </row>
    <row r="6" spans="1:5" x14ac:dyDescent="0.5">
      <c r="A6" s="7">
        <v>110180</v>
      </c>
      <c r="B6" s="8" t="s">
        <v>584</v>
      </c>
      <c r="C6" s="8">
        <v>109</v>
      </c>
      <c r="D6" s="8" t="s">
        <v>585</v>
      </c>
      <c r="E6" s="8">
        <v>110180</v>
      </c>
    </row>
    <row r="7" spans="1:5" x14ac:dyDescent="0.5">
      <c r="A7" s="7">
        <v>110350</v>
      </c>
      <c r="B7" s="8" t="s">
        <v>586</v>
      </c>
      <c r="C7" s="8">
        <v>125</v>
      </c>
      <c r="D7" s="8" t="s">
        <v>587</v>
      </c>
      <c r="E7" s="8">
        <v>210350</v>
      </c>
    </row>
    <row r="8" spans="1:5" x14ac:dyDescent="0.5">
      <c r="A8" s="7">
        <v>110360</v>
      </c>
      <c r="B8" s="8" t="s">
        <v>588</v>
      </c>
      <c r="C8" s="8">
        <v>126</v>
      </c>
      <c r="D8" s="8" t="s">
        <v>589</v>
      </c>
      <c r="E8" s="8">
        <v>110360</v>
      </c>
    </row>
    <row r="9" spans="1:5" x14ac:dyDescent="0.5">
      <c r="A9" s="7">
        <v>110370</v>
      </c>
      <c r="B9" s="8" t="s">
        <v>205</v>
      </c>
      <c r="C9" s="8">
        <v>127</v>
      </c>
      <c r="D9" s="8" t="s">
        <v>590</v>
      </c>
      <c r="E9" s="8">
        <v>110370</v>
      </c>
    </row>
    <row r="10" spans="1:5" x14ac:dyDescent="0.5">
      <c r="A10" s="7">
        <v>110380</v>
      </c>
      <c r="B10" s="8" t="s">
        <v>591</v>
      </c>
      <c r="C10" s="8">
        <v>128</v>
      </c>
      <c r="D10" s="8" t="s">
        <v>592</v>
      </c>
      <c r="E10" s="8">
        <v>110380</v>
      </c>
    </row>
    <row r="11" spans="1:5" x14ac:dyDescent="0.5">
      <c r="A11" s="7">
        <v>110390</v>
      </c>
      <c r="B11" s="8" t="s">
        <v>44</v>
      </c>
      <c r="C11" s="8">
        <v>129</v>
      </c>
      <c r="D11" s="8" t="s">
        <v>593</v>
      </c>
      <c r="E11" s="8">
        <v>110390</v>
      </c>
    </row>
    <row r="12" spans="1:5" x14ac:dyDescent="0.5">
      <c r="A12" s="7">
        <v>110411</v>
      </c>
      <c r="B12" s="8" t="s">
        <v>594</v>
      </c>
      <c r="C12" s="8">
        <v>130</v>
      </c>
      <c r="D12" s="8" t="s">
        <v>595</v>
      </c>
      <c r="E12" s="8">
        <v>110411</v>
      </c>
    </row>
    <row r="13" spans="1:5" x14ac:dyDescent="0.5">
      <c r="A13" s="7">
        <v>110412</v>
      </c>
      <c r="B13" s="8" t="s">
        <v>242</v>
      </c>
      <c r="C13" s="8">
        <v>131</v>
      </c>
      <c r="D13" s="8" t="s">
        <v>596</v>
      </c>
      <c r="E13" s="8">
        <v>710412</v>
      </c>
    </row>
    <row r="14" spans="1:5" x14ac:dyDescent="0.5">
      <c r="A14" s="7">
        <v>110420</v>
      </c>
      <c r="B14" s="8" t="s">
        <v>597</v>
      </c>
      <c r="C14" s="8">
        <v>132</v>
      </c>
      <c r="D14" s="8" t="s">
        <v>598</v>
      </c>
      <c r="E14" s="8">
        <v>110420</v>
      </c>
    </row>
    <row r="15" spans="1:5" x14ac:dyDescent="0.5">
      <c r="A15" s="7">
        <v>110450</v>
      </c>
      <c r="B15" s="8" t="s">
        <v>599</v>
      </c>
      <c r="C15" s="8">
        <v>135</v>
      </c>
      <c r="D15" s="8" t="s">
        <v>600</v>
      </c>
      <c r="E15" s="8">
        <v>910450</v>
      </c>
    </row>
    <row r="16" spans="1:5" x14ac:dyDescent="0.5">
      <c r="A16" s="7">
        <v>110460</v>
      </c>
      <c r="B16" s="8" t="s">
        <v>601</v>
      </c>
      <c r="C16" s="8">
        <v>139</v>
      </c>
      <c r="D16" s="8" t="s">
        <v>602</v>
      </c>
      <c r="E16" s="8">
        <v>2110460</v>
      </c>
    </row>
    <row r="17" spans="1:5" x14ac:dyDescent="0.5">
      <c r="A17" s="7">
        <v>110531</v>
      </c>
      <c r="B17" s="8" t="s">
        <v>264</v>
      </c>
      <c r="C17" s="8">
        <v>150</v>
      </c>
      <c r="D17" s="8" t="s">
        <v>603</v>
      </c>
      <c r="E17" s="8">
        <v>2910540</v>
      </c>
    </row>
    <row r="18" spans="1:5" x14ac:dyDescent="0.5">
      <c r="A18" s="7">
        <v>110550</v>
      </c>
      <c r="B18" s="8" t="s">
        <v>604</v>
      </c>
      <c r="C18" s="8">
        <v>151</v>
      </c>
      <c r="D18" s="8" t="s">
        <v>605</v>
      </c>
      <c r="E18" s="8">
        <v>2010550</v>
      </c>
    </row>
    <row r="19" spans="1:5" x14ac:dyDescent="0.5">
      <c r="A19" s="7">
        <v>110560</v>
      </c>
      <c r="B19" s="8" t="s">
        <v>606</v>
      </c>
      <c r="C19" s="8">
        <v>154</v>
      </c>
      <c r="D19" s="8" t="s">
        <v>607</v>
      </c>
      <c r="E19" s="8">
        <v>110560</v>
      </c>
    </row>
    <row r="20" spans="1:5" x14ac:dyDescent="0.5">
      <c r="A20" s="7">
        <v>110600</v>
      </c>
      <c r="B20" s="8" t="s">
        <v>608</v>
      </c>
      <c r="C20" s="8">
        <v>162</v>
      </c>
      <c r="D20" s="8" t="s">
        <v>609</v>
      </c>
      <c r="E20" s="8">
        <v>710600</v>
      </c>
    </row>
    <row r="21" spans="1:5" x14ac:dyDescent="0.5">
      <c r="A21" s="7">
        <v>110630</v>
      </c>
      <c r="B21" s="8" t="s">
        <v>610</v>
      </c>
      <c r="C21" s="8">
        <v>165</v>
      </c>
      <c r="D21" s="8" t="s">
        <v>611</v>
      </c>
      <c r="E21" s="8">
        <v>110630</v>
      </c>
    </row>
    <row r="22" spans="1:5" x14ac:dyDescent="0.5">
      <c r="A22" s="7">
        <v>110650</v>
      </c>
      <c r="B22" s="8" t="s">
        <v>612</v>
      </c>
      <c r="C22" s="8">
        <v>167</v>
      </c>
      <c r="D22" s="8" t="s">
        <v>613</v>
      </c>
      <c r="E22" s="8">
        <v>810650</v>
      </c>
    </row>
    <row r="23" spans="1:5" x14ac:dyDescent="0.5">
      <c r="A23" s="7">
        <v>110680</v>
      </c>
      <c r="B23" s="8" t="s">
        <v>614</v>
      </c>
      <c r="C23" s="8">
        <v>169</v>
      </c>
      <c r="D23" s="8" t="s">
        <v>615</v>
      </c>
      <c r="E23" s="8">
        <v>110680</v>
      </c>
    </row>
    <row r="24" spans="1:5" x14ac:dyDescent="0.5">
      <c r="A24" s="7">
        <v>110800</v>
      </c>
      <c r="B24" s="8" t="s">
        <v>616</v>
      </c>
      <c r="C24" s="8">
        <v>178</v>
      </c>
      <c r="D24" s="8" t="s">
        <v>617</v>
      </c>
      <c r="E24" s="8">
        <v>910800</v>
      </c>
    </row>
    <row r="25" spans="1:5" x14ac:dyDescent="0.5">
      <c r="A25" s="7">
        <v>110830</v>
      </c>
      <c r="B25" s="8" t="s">
        <v>618</v>
      </c>
      <c r="C25" s="8">
        <v>185</v>
      </c>
      <c r="D25" s="8" t="s">
        <v>619</v>
      </c>
      <c r="E25" s="8">
        <v>110830</v>
      </c>
    </row>
    <row r="26" spans="1:5" x14ac:dyDescent="0.5">
      <c r="A26" s="7">
        <v>110840</v>
      </c>
      <c r="B26" s="8" t="s">
        <v>620</v>
      </c>
      <c r="C26" s="8">
        <v>186</v>
      </c>
      <c r="D26" s="8" t="s">
        <v>621</v>
      </c>
      <c r="E26" s="8">
        <v>110840</v>
      </c>
    </row>
    <row r="27" spans="1:5" x14ac:dyDescent="0.5">
      <c r="A27" s="7">
        <v>111060</v>
      </c>
      <c r="B27" s="8" t="s">
        <v>622</v>
      </c>
      <c r="C27" s="8">
        <v>204</v>
      </c>
      <c r="D27" s="8" t="s">
        <v>623</v>
      </c>
      <c r="E27" s="8">
        <v>911060</v>
      </c>
    </row>
    <row r="28" spans="1:5" x14ac:dyDescent="0.5">
      <c r="A28" s="7">
        <v>111200</v>
      </c>
      <c r="B28" s="8" t="s">
        <v>624</v>
      </c>
      <c r="C28" s="8">
        <v>118</v>
      </c>
      <c r="D28" s="8" t="s">
        <v>583</v>
      </c>
      <c r="E28" s="8">
        <v>610290</v>
      </c>
    </row>
    <row r="29" spans="1:5" x14ac:dyDescent="0.5">
      <c r="A29" s="7">
        <v>111230</v>
      </c>
      <c r="B29" s="8" t="s">
        <v>625</v>
      </c>
      <c r="C29" s="8">
        <v>218</v>
      </c>
      <c r="D29" s="8" t="s">
        <v>626</v>
      </c>
      <c r="E29" s="8">
        <v>811230</v>
      </c>
    </row>
    <row r="30" spans="1:5" x14ac:dyDescent="0.5">
      <c r="A30" s="7">
        <v>111240</v>
      </c>
      <c r="B30" s="8" t="s">
        <v>627</v>
      </c>
      <c r="C30" s="8">
        <v>219</v>
      </c>
      <c r="D30" s="8" t="s">
        <v>628</v>
      </c>
      <c r="E30" s="8">
        <v>1811240</v>
      </c>
    </row>
    <row r="31" spans="1:5" x14ac:dyDescent="0.5">
      <c r="A31" s="7">
        <v>111250</v>
      </c>
      <c r="B31" s="8" t="s">
        <v>629</v>
      </c>
      <c r="C31" s="8">
        <v>220</v>
      </c>
      <c r="D31" s="8" t="s">
        <v>630</v>
      </c>
      <c r="E31" s="8">
        <v>1011250</v>
      </c>
    </row>
    <row r="32" spans="1:5" x14ac:dyDescent="0.5">
      <c r="A32" s="7">
        <v>111260</v>
      </c>
      <c r="B32" s="8" t="s">
        <v>631</v>
      </c>
      <c r="C32" s="8">
        <v>222</v>
      </c>
      <c r="D32" s="8" t="s">
        <v>632</v>
      </c>
      <c r="E32" s="8">
        <v>2111260</v>
      </c>
    </row>
    <row r="33" spans="1:5" x14ac:dyDescent="0.5">
      <c r="A33" s="7">
        <v>111380</v>
      </c>
      <c r="B33" s="8" t="s">
        <v>633</v>
      </c>
      <c r="C33" s="8">
        <v>235</v>
      </c>
      <c r="D33" s="8" t="s">
        <v>634</v>
      </c>
      <c r="E33" s="8">
        <v>611380</v>
      </c>
    </row>
    <row r="34" spans="1:5" x14ac:dyDescent="0.5">
      <c r="A34" s="7">
        <v>111540</v>
      </c>
      <c r="B34" s="8" t="s">
        <v>635</v>
      </c>
      <c r="C34" s="8">
        <v>259</v>
      </c>
      <c r="D34" s="8" t="s">
        <v>636</v>
      </c>
      <c r="E34" s="8">
        <v>2811590</v>
      </c>
    </row>
    <row r="35" spans="1:5" x14ac:dyDescent="0.5">
      <c r="A35" s="7">
        <v>111560</v>
      </c>
      <c r="B35" s="8" t="s">
        <v>637</v>
      </c>
      <c r="C35" s="8">
        <v>255</v>
      </c>
      <c r="D35" s="8" t="s">
        <v>638</v>
      </c>
      <c r="E35" s="8">
        <v>111560</v>
      </c>
    </row>
    <row r="36" spans="1:5" x14ac:dyDescent="0.5">
      <c r="A36" s="7">
        <v>111570</v>
      </c>
      <c r="B36" s="8" t="s">
        <v>639</v>
      </c>
      <c r="C36" s="8">
        <v>256</v>
      </c>
      <c r="D36" s="8" t="s">
        <v>640</v>
      </c>
      <c r="E36" s="8">
        <v>211570</v>
      </c>
    </row>
    <row r="37" spans="1:5" x14ac:dyDescent="0.5">
      <c r="A37" s="7">
        <v>111581</v>
      </c>
      <c r="B37" s="8" t="s">
        <v>641</v>
      </c>
      <c r="C37" s="8">
        <v>257</v>
      </c>
      <c r="D37" s="8" t="s">
        <v>642</v>
      </c>
      <c r="E37" s="8">
        <v>111581</v>
      </c>
    </row>
    <row r="38" spans="1:5" x14ac:dyDescent="0.5">
      <c r="A38" s="7">
        <v>111582</v>
      </c>
      <c r="B38" s="8" t="s">
        <v>643</v>
      </c>
      <c r="C38" s="8">
        <v>258</v>
      </c>
      <c r="D38" s="8" t="s">
        <v>644</v>
      </c>
      <c r="E38" s="8">
        <v>711582</v>
      </c>
    </row>
    <row r="39" spans="1:5" x14ac:dyDescent="0.5">
      <c r="A39" s="7">
        <v>111650</v>
      </c>
      <c r="B39" s="8" t="s">
        <v>645</v>
      </c>
      <c r="C39" s="8">
        <v>150</v>
      </c>
      <c r="D39" s="8" t="s">
        <v>603</v>
      </c>
      <c r="E39" s="8">
        <v>2910540</v>
      </c>
    </row>
    <row r="40" spans="1:5" x14ac:dyDescent="0.5">
      <c r="A40" s="7">
        <v>111670</v>
      </c>
      <c r="B40" s="8" t="s">
        <v>646</v>
      </c>
      <c r="C40" s="8">
        <v>266</v>
      </c>
      <c r="D40" s="8" t="s">
        <v>647</v>
      </c>
      <c r="E40" s="8">
        <v>711670</v>
      </c>
    </row>
    <row r="41" spans="1:5" x14ac:dyDescent="0.5">
      <c r="A41" s="7">
        <v>111710</v>
      </c>
      <c r="B41" s="8" t="s">
        <v>648</v>
      </c>
      <c r="C41" s="8">
        <v>269</v>
      </c>
      <c r="D41" s="8" t="s">
        <v>649</v>
      </c>
      <c r="E41" s="8">
        <v>111710</v>
      </c>
    </row>
    <row r="42" spans="1:5" x14ac:dyDescent="0.5">
      <c r="A42" s="7">
        <v>111730</v>
      </c>
      <c r="B42" s="8" t="s">
        <v>650</v>
      </c>
      <c r="C42" s="8">
        <v>271</v>
      </c>
      <c r="D42" s="8" t="s">
        <v>651</v>
      </c>
      <c r="E42" s="8">
        <v>111730</v>
      </c>
    </row>
    <row r="43" spans="1:5" x14ac:dyDescent="0.5">
      <c r="A43" s="7">
        <v>111740</v>
      </c>
      <c r="B43" s="8" t="s">
        <v>281</v>
      </c>
      <c r="C43" s="8">
        <v>272</v>
      </c>
      <c r="D43" s="8" t="s">
        <v>652</v>
      </c>
      <c r="E43" s="8">
        <v>711740</v>
      </c>
    </row>
    <row r="44" spans="1:5" x14ac:dyDescent="0.5">
      <c r="A44" s="7">
        <v>111780</v>
      </c>
      <c r="B44" s="8" t="s">
        <v>653</v>
      </c>
      <c r="C44" s="8">
        <v>274</v>
      </c>
      <c r="D44" s="8" t="s">
        <v>654</v>
      </c>
      <c r="E44" s="8">
        <v>111780</v>
      </c>
    </row>
    <row r="45" spans="1:5" x14ac:dyDescent="0.5">
      <c r="A45" s="7">
        <v>210080</v>
      </c>
      <c r="B45" s="8" t="s">
        <v>582</v>
      </c>
      <c r="C45" s="8">
        <v>118</v>
      </c>
      <c r="D45" s="8" t="s">
        <v>583</v>
      </c>
      <c r="E45" s="8">
        <v>610290</v>
      </c>
    </row>
    <row r="46" spans="1:5" x14ac:dyDescent="0.5">
      <c r="A46" s="7">
        <v>210150</v>
      </c>
      <c r="B46" s="8" t="s">
        <v>655</v>
      </c>
      <c r="C46" s="8">
        <v>106</v>
      </c>
      <c r="D46" s="8" t="s">
        <v>656</v>
      </c>
      <c r="E46" s="8">
        <v>410150</v>
      </c>
    </row>
    <row r="47" spans="1:5" x14ac:dyDescent="0.5">
      <c r="A47" s="7">
        <v>210210</v>
      </c>
      <c r="B47" s="8" t="s">
        <v>77</v>
      </c>
      <c r="C47" s="8">
        <v>112</v>
      </c>
      <c r="D47" s="8" t="s">
        <v>657</v>
      </c>
      <c r="E47" s="8">
        <v>210210</v>
      </c>
    </row>
    <row r="48" spans="1:5" x14ac:dyDescent="0.5">
      <c r="A48" s="7">
        <v>210220</v>
      </c>
      <c r="B48" s="8" t="s">
        <v>658</v>
      </c>
      <c r="C48" s="8">
        <v>112</v>
      </c>
      <c r="D48" s="8" t="s">
        <v>657</v>
      </c>
      <c r="E48" s="8">
        <v>210210</v>
      </c>
    </row>
    <row r="49" spans="1:5" x14ac:dyDescent="0.5">
      <c r="A49" s="7">
        <v>210270</v>
      </c>
      <c r="B49" s="8" t="s">
        <v>87</v>
      </c>
      <c r="C49" s="8">
        <v>116</v>
      </c>
      <c r="D49" s="8" t="s">
        <v>659</v>
      </c>
      <c r="E49" s="8">
        <v>410270</v>
      </c>
    </row>
    <row r="50" spans="1:5" x14ac:dyDescent="0.5">
      <c r="A50" s="7">
        <v>210280</v>
      </c>
      <c r="B50" s="8" t="s">
        <v>118</v>
      </c>
      <c r="C50" s="8">
        <v>117</v>
      </c>
      <c r="D50" s="8" t="s">
        <v>660</v>
      </c>
      <c r="E50" s="8">
        <v>410280</v>
      </c>
    </row>
    <row r="51" spans="1:5" x14ac:dyDescent="0.5">
      <c r="A51" s="7">
        <v>210290</v>
      </c>
      <c r="B51" s="8" t="s">
        <v>178</v>
      </c>
      <c r="C51" s="8">
        <v>118</v>
      </c>
      <c r="D51" s="8" t="s">
        <v>583</v>
      </c>
      <c r="E51" s="8">
        <v>610290</v>
      </c>
    </row>
    <row r="52" spans="1:5" x14ac:dyDescent="0.5">
      <c r="A52" s="7">
        <v>210300</v>
      </c>
      <c r="B52" s="8" t="s">
        <v>569</v>
      </c>
      <c r="C52" s="8">
        <v>119</v>
      </c>
      <c r="D52" s="8" t="s">
        <v>661</v>
      </c>
      <c r="E52" s="8">
        <v>710300</v>
      </c>
    </row>
    <row r="53" spans="1:5" x14ac:dyDescent="0.5">
      <c r="A53" s="7">
        <v>210310</v>
      </c>
      <c r="B53" s="8" t="s">
        <v>662</v>
      </c>
      <c r="C53" s="8">
        <v>120</v>
      </c>
      <c r="D53" s="8" t="s">
        <v>663</v>
      </c>
      <c r="E53" s="8">
        <v>210310</v>
      </c>
    </row>
    <row r="54" spans="1:5" x14ac:dyDescent="0.5">
      <c r="A54" s="7">
        <v>210320</v>
      </c>
      <c r="B54" s="8" t="s">
        <v>182</v>
      </c>
      <c r="C54" s="8">
        <v>121</v>
      </c>
      <c r="D54" s="8" t="s">
        <v>664</v>
      </c>
      <c r="E54" s="8">
        <v>710320</v>
      </c>
    </row>
    <row r="55" spans="1:5" x14ac:dyDescent="0.5">
      <c r="A55" s="7">
        <v>210350</v>
      </c>
      <c r="B55" s="8" t="s">
        <v>586</v>
      </c>
      <c r="C55" s="8">
        <v>125</v>
      </c>
      <c r="D55" s="8" t="s">
        <v>587</v>
      </c>
      <c r="E55" s="8">
        <v>210350</v>
      </c>
    </row>
    <row r="56" spans="1:5" x14ac:dyDescent="0.5">
      <c r="A56" s="7">
        <v>210360</v>
      </c>
      <c r="B56" s="8" t="s">
        <v>588</v>
      </c>
      <c r="C56" s="8">
        <v>126</v>
      </c>
      <c r="D56" s="8" t="s">
        <v>589</v>
      </c>
      <c r="E56" s="8">
        <v>110360</v>
      </c>
    </row>
    <row r="57" spans="1:5" x14ac:dyDescent="0.5">
      <c r="A57" s="7">
        <v>210370</v>
      </c>
      <c r="B57" s="8" t="s">
        <v>205</v>
      </c>
      <c r="C57" s="8">
        <v>127</v>
      </c>
      <c r="D57" s="8" t="s">
        <v>590</v>
      </c>
      <c r="E57" s="8">
        <v>110370</v>
      </c>
    </row>
    <row r="58" spans="1:5" x14ac:dyDescent="0.5">
      <c r="A58" s="7">
        <v>210390</v>
      </c>
      <c r="B58" s="8" t="s">
        <v>44</v>
      </c>
      <c r="C58" s="8">
        <v>129</v>
      </c>
      <c r="D58" s="8" t="s">
        <v>593</v>
      </c>
      <c r="E58" s="8">
        <v>110390</v>
      </c>
    </row>
    <row r="59" spans="1:5" x14ac:dyDescent="0.5">
      <c r="A59" s="7">
        <v>210430</v>
      </c>
      <c r="B59" s="8" t="s">
        <v>665</v>
      </c>
      <c r="C59" s="8">
        <v>133</v>
      </c>
      <c r="D59" s="8" t="s">
        <v>666</v>
      </c>
      <c r="E59" s="8">
        <v>310430</v>
      </c>
    </row>
    <row r="60" spans="1:5" x14ac:dyDescent="0.5">
      <c r="A60" s="7">
        <v>210600</v>
      </c>
      <c r="B60" s="8" t="s">
        <v>608</v>
      </c>
      <c r="C60" s="8">
        <v>162</v>
      </c>
      <c r="D60" s="8" t="s">
        <v>609</v>
      </c>
      <c r="E60" s="8">
        <v>710600</v>
      </c>
    </row>
    <row r="61" spans="1:5" x14ac:dyDescent="0.5">
      <c r="A61" s="7">
        <v>210630</v>
      </c>
      <c r="B61" s="8" t="s">
        <v>610</v>
      </c>
      <c r="C61" s="8">
        <v>165</v>
      </c>
      <c r="D61" s="8" t="s">
        <v>611</v>
      </c>
      <c r="E61" s="8">
        <v>110630</v>
      </c>
    </row>
    <row r="62" spans="1:5" x14ac:dyDescent="0.5">
      <c r="A62" s="7">
        <v>211200</v>
      </c>
      <c r="B62" s="8" t="s">
        <v>624</v>
      </c>
      <c r="C62" s="8">
        <v>118</v>
      </c>
      <c r="D62" s="8" t="s">
        <v>583</v>
      </c>
      <c r="E62" s="8">
        <v>610290</v>
      </c>
    </row>
    <row r="63" spans="1:5" x14ac:dyDescent="0.5">
      <c r="A63" s="7">
        <v>211280</v>
      </c>
      <c r="B63" s="8" t="s">
        <v>667</v>
      </c>
      <c r="C63" s="8">
        <v>226</v>
      </c>
      <c r="D63" s="8" t="s">
        <v>668</v>
      </c>
      <c r="E63" s="8">
        <v>411280</v>
      </c>
    </row>
    <row r="64" spans="1:5" x14ac:dyDescent="0.5">
      <c r="A64" s="7">
        <v>211310</v>
      </c>
      <c r="B64" s="8" t="s">
        <v>669</v>
      </c>
      <c r="C64" s="8">
        <v>229</v>
      </c>
      <c r="D64" s="8" t="s">
        <v>670</v>
      </c>
      <c r="E64" s="8">
        <v>411310</v>
      </c>
    </row>
    <row r="65" spans="1:5" x14ac:dyDescent="0.5">
      <c r="A65" s="7">
        <v>211520</v>
      </c>
      <c r="B65" s="8" t="s">
        <v>671</v>
      </c>
      <c r="C65" s="8">
        <v>249</v>
      </c>
      <c r="D65" s="8" t="s">
        <v>672</v>
      </c>
      <c r="E65" s="8">
        <v>411520</v>
      </c>
    </row>
    <row r="66" spans="1:5" x14ac:dyDescent="0.5">
      <c r="A66" s="7">
        <v>211560</v>
      </c>
      <c r="B66" s="8" t="s">
        <v>637</v>
      </c>
      <c r="C66" s="8">
        <v>255</v>
      </c>
      <c r="D66" s="8" t="s">
        <v>638</v>
      </c>
      <c r="E66" s="8">
        <v>111560</v>
      </c>
    </row>
    <row r="67" spans="1:5" x14ac:dyDescent="0.5">
      <c r="A67" s="7">
        <v>211570</v>
      </c>
      <c r="B67" s="8" t="s">
        <v>639</v>
      </c>
      <c r="C67" s="8">
        <v>256</v>
      </c>
      <c r="D67" s="8" t="s">
        <v>640</v>
      </c>
      <c r="E67" s="8">
        <v>211570</v>
      </c>
    </row>
    <row r="68" spans="1:5" x14ac:dyDescent="0.5">
      <c r="A68" s="7">
        <v>211581</v>
      </c>
      <c r="B68" s="8" t="s">
        <v>641</v>
      </c>
      <c r="C68" s="8">
        <v>257</v>
      </c>
      <c r="D68" s="8" t="s">
        <v>642</v>
      </c>
      <c r="E68" s="8">
        <v>111581</v>
      </c>
    </row>
    <row r="69" spans="1:5" x14ac:dyDescent="0.5">
      <c r="A69" s="7">
        <v>211582</v>
      </c>
      <c r="B69" s="8" t="s">
        <v>643</v>
      </c>
      <c r="C69" s="8">
        <v>258</v>
      </c>
      <c r="D69" s="8" t="s">
        <v>644</v>
      </c>
      <c r="E69" s="8">
        <v>711582</v>
      </c>
    </row>
    <row r="70" spans="1:5" x14ac:dyDescent="0.5">
      <c r="A70" s="7">
        <v>211700</v>
      </c>
      <c r="B70" s="8" t="s">
        <v>673</v>
      </c>
      <c r="C70" s="8">
        <v>268</v>
      </c>
      <c r="D70" s="8" t="s">
        <v>674</v>
      </c>
      <c r="E70" s="8">
        <v>311700</v>
      </c>
    </row>
    <row r="71" spans="1:5" x14ac:dyDescent="0.5">
      <c r="A71" s="7">
        <v>211780</v>
      </c>
      <c r="B71" s="8" t="s">
        <v>653</v>
      </c>
      <c r="C71" s="8">
        <v>274</v>
      </c>
      <c r="D71" s="8" t="s">
        <v>654</v>
      </c>
      <c r="E71" s="8">
        <v>111780</v>
      </c>
    </row>
    <row r="72" spans="1:5" x14ac:dyDescent="0.5">
      <c r="A72" s="7">
        <v>310080</v>
      </c>
      <c r="B72" s="8" t="s">
        <v>582</v>
      </c>
      <c r="C72" s="8">
        <v>118</v>
      </c>
      <c r="D72" s="8" t="s">
        <v>583</v>
      </c>
      <c r="E72" s="8">
        <v>610290</v>
      </c>
    </row>
    <row r="73" spans="1:5" x14ac:dyDescent="0.5">
      <c r="A73" s="7">
        <v>310150</v>
      </c>
      <c r="B73" s="8" t="s">
        <v>655</v>
      </c>
      <c r="C73" s="8">
        <v>106</v>
      </c>
      <c r="D73" s="8" t="s">
        <v>656</v>
      </c>
      <c r="E73" s="8">
        <v>410150</v>
      </c>
    </row>
    <row r="74" spans="1:5" x14ac:dyDescent="0.5">
      <c r="A74" s="7">
        <v>310210</v>
      </c>
      <c r="B74" s="8" t="s">
        <v>77</v>
      </c>
      <c r="C74" s="8">
        <v>112</v>
      </c>
      <c r="D74" s="8" t="s">
        <v>657</v>
      </c>
      <c r="E74" s="8">
        <v>210210</v>
      </c>
    </row>
    <row r="75" spans="1:5" x14ac:dyDescent="0.5">
      <c r="A75" s="7">
        <v>310220</v>
      </c>
      <c r="B75" s="8" t="s">
        <v>658</v>
      </c>
      <c r="C75" s="8">
        <v>112</v>
      </c>
      <c r="D75" s="8" t="s">
        <v>657</v>
      </c>
      <c r="E75" s="8">
        <v>210210</v>
      </c>
    </row>
    <row r="76" spans="1:5" x14ac:dyDescent="0.5">
      <c r="A76" s="7">
        <v>310270</v>
      </c>
      <c r="B76" s="8" t="s">
        <v>87</v>
      </c>
      <c r="C76" s="8">
        <v>116</v>
      </c>
      <c r="D76" s="8" t="s">
        <v>659</v>
      </c>
      <c r="E76" s="8">
        <v>410270</v>
      </c>
    </row>
    <row r="77" spans="1:5" x14ac:dyDescent="0.5">
      <c r="A77" s="7">
        <v>310280</v>
      </c>
      <c r="B77" s="8" t="s">
        <v>118</v>
      </c>
      <c r="C77" s="8">
        <v>117</v>
      </c>
      <c r="D77" s="8" t="s">
        <v>660</v>
      </c>
      <c r="E77" s="8">
        <v>410280</v>
      </c>
    </row>
    <row r="78" spans="1:5" x14ac:dyDescent="0.5">
      <c r="A78" s="7">
        <v>310290</v>
      </c>
      <c r="B78" s="8" t="s">
        <v>178</v>
      </c>
      <c r="C78" s="8">
        <v>118</v>
      </c>
      <c r="D78" s="8" t="s">
        <v>583</v>
      </c>
      <c r="E78" s="8">
        <v>610290</v>
      </c>
    </row>
    <row r="79" spans="1:5" x14ac:dyDescent="0.5">
      <c r="A79" s="7">
        <v>310300</v>
      </c>
      <c r="B79" s="8" t="s">
        <v>569</v>
      </c>
      <c r="C79" s="8">
        <v>119</v>
      </c>
      <c r="D79" s="8" t="s">
        <v>661</v>
      </c>
      <c r="E79" s="8">
        <v>710300</v>
      </c>
    </row>
    <row r="80" spans="1:5" x14ac:dyDescent="0.5">
      <c r="A80" s="7">
        <v>310310</v>
      </c>
      <c r="B80" s="8" t="s">
        <v>662</v>
      </c>
      <c r="C80" s="8">
        <v>120</v>
      </c>
      <c r="D80" s="8" t="s">
        <v>663</v>
      </c>
      <c r="E80" s="8">
        <v>210310</v>
      </c>
    </row>
    <row r="81" spans="1:5" x14ac:dyDescent="0.5">
      <c r="A81" s="7">
        <v>310320</v>
      </c>
      <c r="B81" s="8" t="s">
        <v>182</v>
      </c>
      <c r="C81" s="8">
        <v>121</v>
      </c>
      <c r="D81" s="8" t="s">
        <v>664</v>
      </c>
      <c r="E81" s="8">
        <v>710320</v>
      </c>
    </row>
    <row r="82" spans="1:5" x14ac:dyDescent="0.5">
      <c r="A82" s="7">
        <v>310330</v>
      </c>
      <c r="B82" s="8" t="s">
        <v>675</v>
      </c>
      <c r="C82" s="8">
        <v>139</v>
      </c>
      <c r="D82" s="8" t="s">
        <v>602</v>
      </c>
      <c r="E82" s="8">
        <v>2110460</v>
      </c>
    </row>
    <row r="83" spans="1:5" x14ac:dyDescent="0.5">
      <c r="A83" s="7">
        <v>310390</v>
      </c>
      <c r="B83" s="8" t="s">
        <v>44</v>
      </c>
      <c r="C83" s="8">
        <v>129</v>
      </c>
      <c r="D83" s="8" t="s">
        <v>593</v>
      </c>
      <c r="E83" s="8">
        <v>110390</v>
      </c>
    </row>
    <row r="84" spans="1:5" x14ac:dyDescent="0.5">
      <c r="A84" s="7">
        <v>310430</v>
      </c>
      <c r="B84" s="8" t="s">
        <v>665</v>
      </c>
      <c r="C84" s="8">
        <v>133</v>
      </c>
      <c r="D84" s="8" t="s">
        <v>666</v>
      </c>
      <c r="E84" s="8">
        <v>310430</v>
      </c>
    </row>
    <row r="85" spans="1:5" x14ac:dyDescent="0.5">
      <c r="A85" s="7">
        <v>310440</v>
      </c>
      <c r="B85" s="8" t="s">
        <v>676</v>
      </c>
      <c r="C85" s="8">
        <v>134</v>
      </c>
      <c r="D85" s="8" t="s">
        <v>677</v>
      </c>
      <c r="E85" s="8">
        <v>310440</v>
      </c>
    </row>
    <row r="86" spans="1:5" x14ac:dyDescent="0.5">
      <c r="A86" s="7">
        <v>310960</v>
      </c>
      <c r="B86" s="8" t="s">
        <v>678</v>
      </c>
      <c r="C86" s="8">
        <v>199</v>
      </c>
      <c r="D86" s="8" t="s">
        <v>679</v>
      </c>
      <c r="E86" s="8">
        <v>410960</v>
      </c>
    </row>
    <row r="87" spans="1:5" x14ac:dyDescent="0.5">
      <c r="A87" s="7">
        <v>310970</v>
      </c>
      <c r="B87" s="8" t="s">
        <v>680</v>
      </c>
      <c r="C87" s="8">
        <v>200</v>
      </c>
      <c r="D87" s="8" t="s">
        <v>681</v>
      </c>
      <c r="E87" s="8">
        <v>410970</v>
      </c>
    </row>
    <row r="88" spans="1:5" x14ac:dyDescent="0.5">
      <c r="A88" s="7">
        <v>310980</v>
      </c>
      <c r="B88" s="8" t="s">
        <v>682</v>
      </c>
      <c r="C88" s="8">
        <v>201</v>
      </c>
      <c r="D88" s="8" t="s">
        <v>683</v>
      </c>
      <c r="E88" s="8">
        <v>410980</v>
      </c>
    </row>
    <row r="89" spans="1:5" x14ac:dyDescent="0.5">
      <c r="A89" s="7">
        <v>310990</v>
      </c>
      <c r="B89" s="8" t="s">
        <v>684</v>
      </c>
      <c r="C89" s="8">
        <v>200</v>
      </c>
      <c r="D89" s="8" t="s">
        <v>681</v>
      </c>
      <c r="E89" s="8">
        <v>410970</v>
      </c>
    </row>
    <row r="90" spans="1:5" x14ac:dyDescent="0.5">
      <c r="A90" s="7">
        <v>311050</v>
      </c>
      <c r="B90" s="8" t="s">
        <v>685</v>
      </c>
      <c r="C90" s="8">
        <v>208</v>
      </c>
      <c r="D90" s="8" t="s">
        <v>686</v>
      </c>
      <c r="E90" s="8">
        <v>411100</v>
      </c>
    </row>
    <row r="91" spans="1:5" x14ac:dyDescent="0.5">
      <c r="A91" s="7">
        <v>311130</v>
      </c>
      <c r="B91" s="8" t="s">
        <v>687</v>
      </c>
      <c r="C91" s="8">
        <v>213</v>
      </c>
      <c r="D91" s="8" t="s">
        <v>688</v>
      </c>
      <c r="E91" s="8">
        <v>411180</v>
      </c>
    </row>
    <row r="92" spans="1:5" x14ac:dyDescent="0.5">
      <c r="A92" s="7">
        <v>311140</v>
      </c>
      <c r="B92" s="8" t="s">
        <v>689</v>
      </c>
      <c r="C92" s="8">
        <v>211</v>
      </c>
      <c r="D92" s="8" t="s">
        <v>690</v>
      </c>
      <c r="E92" s="8">
        <v>511140</v>
      </c>
    </row>
    <row r="93" spans="1:5" x14ac:dyDescent="0.5">
      <c r="A93" s="7">
        <v>311280</v>
      </c>
      <c r="B93" s="8" t="s">
        <v>667</v>
      </c>
      <c r="C93" s="8">
        <v>226</v>
      </c>
      <c r="D93" s="8" t="s">
        <v>668</v>
      </c>
      <c r="E93" s="8">
        <v>411280</v>
      </c>
    </row>
    <row r="94" spans="1:5" x14ac:dyDescent="0.5">
      <c r="A94" s="7">
        <v>311300</v>
      </c>
      <c r="B94" s="8" t="s">
        <v>691</v>
      </c>
      <c r="C94" s="8">
        <v>228</v>
      </c>
      <c r="D94" s="8" t="s">
        <v>692</v>
      </c>
      <c r="E94" s="8">
        <v>311300</v>
      </c>
    </row>
    <row r="95" spans="1:5" x14ac:dyDescent="0.5">
      <c r="A95" s="7">
        <v>311310</v>
      </c>
      <c r="B95" s="8" t="s">
        <v>669</v>
      </c>
      <c r="C95" s="8">
        <v>229</v>
      </c>
      <c r="D95" s="8" t="s">
        <v>670</v>
      </c>
      <c r="E95" s="8">
        <v>411310</v>
      </c>
    </row>
    <row r="96" spans="1:5" x14ac:dyDescent="0.5">
      <c r="A96" s="7">
        <v>311370</v>
      </c>
      <c r="B96" s="8" t="s">
        <v>693</v>
      </c>
      <c r="C96" s="8">
        <v>234</v>
      </c>
      <c r="D96" s="8" t="s">
        <v>694</v>
      </c>
      <c r="E96" s="8">
        <v>611370</v>
      </c>
    </row>
    <row r="97" spans="1:5" x14ac:dyDescent="0.5">
      <c r="A97" s="7">
        <v>311380</v>
      </c>
      <c r="B97" s="8" t="s">
        <v>633</v>
      </c>
      <c r="C97" s="8">
        <v>235</v>
      </c>
      <c r="D97" s="8" t="s">
        <v>634</v>
      </c>
      <c r="E97" s="8">
        <v>611380</v>
      </c>
    </row>
    <row r="98" spans="1:5" x14ac:dyDescent="0.5">
      <c r="A98" s="7">
        <v>311520</v>
      </c>
      <c r="B98" s="8" t="s">
        <v>671</v>
      </c>
      <c r="C98" s="8">
        <v>249</v>
      </c>
      <c r="D98" s="8" t="s">
        <v>672</v>
      </c>
      <c r="E98" s="8">
        <v>411520</v>
      </c>
    </row>
    <row r="99" spans="1:5" x14ac:dyDescent="0.5">
      <c r="A99" s="7">
        <v>311630</v>
      </c>
      <c r="B99" s="8" t="s">
        <v>695</v>
      </c>
      <c r="C99" s="8">
        <v>263</v>
      </c>
      <c r="D99" s="8" t="s">
        <v>696</v>
      </c>
      <c r="E99" s="8">
        <v>411630</v>
      </c>
    </row>
    <row r="100" spans="1:5" x14ac:dyDescent="0.5">
      <c r="A100" s="7">
        <v>311700</v>
      </c>
      <c r="B100" s="8" t="s">
        <v>673</v>
      </c>
      <c r="C100" s="8">
        <v>268</v>
      </c>
      <c r="D100" s="8" t="s">
        <v>674</v>
      </c>
      <c r="E100" s="8">
        <v>311700</v>
      </c>
    </row>
    <row r="101" spans="1:5" x14ac:dyDescent="0.5">
      <c r="A101" s="7">
        <v>311770</v>
      </c>
      <c r="B101" s="8" t="s">
        <v>697</v>
      </c>
      <c r="C101" s="8">
        <v>273</v>
      </c>
      <c r="D101" s="8" t="s">
        <v>698</v>
      </c>
      <c r="E101" s="8">
        <v>411770</v>
      </c>
    </row>
    <row r="102" spans="1:5" x14ac:dyDescent="0.5">
      <c r="A102" s="7">
        <v>410040</v>
      </c>
      <c r="B102" s="8" t="s">
        <v>699</v>
      </c>
      <c r="C102" s="8">
        <v>100</v>
      </c>
      <c r="D102" s="8" t="s">
        <v>578</v>
      </c>
      <c r="E102" s="8" t="s">
        <v>579</v>
      </c>
    </row>
    <row r="103" spans="1:5" x14ac:dyDescent="0.5">
      <c r="A103" s="7">
        <v>410140</v>
      </c>
      <c r="B103" s="8" t="s">
        <v>700</v>
      </c>
      <c r="C103" s="8">
        <v>105</v>
      </c>
      <c r="D103" s="8" t="s">
        <v>701</v>
      </c>
      <c r="E103" s="8">
        <v>410140</v>
      </c>
    </row>
    <row r="104" spans="1:5" x14ac:dyDescent="0.5">
      <c r="A104" s="7">
        <v>410150</v>
      </c>
      <c r="B104" s="8" t="s">
        <v>655</v>
      </c>
      <c r="C104" s="8">
        <v>106</v>
      </c>
      <c r="D104" s="8" t="s">
        <v>656</v>
      </c>
      <c r="E104" s="8">
        <v>410150</v>
      </c>
    </row>
    <row r="105" spans="1:5" x14ac:dyDescent="0.5">
      <c r="A105" s="7">
        <v>410190</v>
      </c>
      <c r="B105" s="8" t="s">
        <v>702</v>
      </c>
      <c r="C105" s="8">
        <v>110</v>
      </c>
      <c r="D105" s="8" t="s">
        <v>703</v>
      </c>
      <c r="E105" s="8">
        <v>1210190</v>
      </c>
    </row>
    <row r="106" spans="1:5" x14ac:dyDescent="0.5">
      <c r="A106" s="7">
        <v>410270</v>
      </c>
      <c r="B106" s="8" t="s">
        <v>87</v>
      </c>
      <c r="C106" s="8">
        <v>116</v>
      </c>
      <c r="D106" s="8" t="s">
        <v>659</v>
      </c>
      <c r="E106" s="8">
        <v>410270</v>
      </c>
    </row>
    <row r="107" spans="1:5" x14ac:dyDescent="0.5">
      <c r="A107" s="7">
        <v>410280</v>
      </c>
      <c r="B107" s="8" t="s">
        <v>118</v>
      </c>
      <c r="C107" s="8">
        <v>117</v>
      </c>
      <c r="D107" s="8" t="s">
        <v>660</v>
      </c>
      <c r="E107" s="8">
        <v>410280</v>
      </c>
    </row>
    <row r="108" spans="1:5" x14ac:dyDescent="0.5">
      <c r="A108" s="7">
        <v>410290</v>
      </c>
      <c r="B108" s="8" t="s">
        <v>178</v>
      </c>
      <c r="C108" s="8">
        <v>118</v>
      </c>
      <c r="D108" s="8" t="s">
        <v>583</v>
      </c>
      <c r="E108" s="8">
        <v>610290</v>
      </c>
    </row>
    <row r="109" spans="1:5" x14ac:dyDescent="0.5">
      <c r="A109" s="7">
        <v>410300</v>
      </c>
      <c r="B109" s="8" t="s">
        <v>569</v>
      </c>
      <c r="C109" s="8">
        <v>119</v>
      </c>
      <c r="D109" s="8" t="s">
        <v>661</v>
      </c>
      <c r="E109" s="8">
        <v>710300</v>
      </c>
    </row>
    <row r="110" spans="1:5" x14ac:dyDescent="0.5">
      <c r="A110" s="7">
        <v>410310</v>
      </c>
      <c r="B110" s="8" t="s">
        <v>662</v>
      </c>
      <c r="C110" s="8">
        <v>120</v>
      </c>
      <c r="D110" s="8" t="s">
        <v>663</v>
      </c>
      <c r="E110" s="8">
        <v>210310</v>
      </c>
    </row>
    <row r="111" spans="1:5" x14ac:dyDescent="0.5">
      <c r="A111" s="7">
        <v>410340</v>
      </c>
      <c r="B111" s="8" t="s">
        <v>704</v>
      </c>
      <c r="C111" s="8">
        <v>124</v>
      </c>
      <c r="D111" s="8" t="s">
        <v>705</v>
      </c>
      <c r="E111" s="8">
        <v>610340</v>
      </c>
    </row>
    <row r="112" spans="1:5" x14ac:dyDescent="0.5">
      <c r="A112" s="7">
        <v>410580</v>
      </c>
      <c r="B112" s="8" t="s">
        <v>272</v>
      </c>
      <c r="C112" s="8">
        <v>158</v>
      </c>
      <c r="D112" s="8" t="s">
        <v>706</v>
      </c>
      <c r="E112" s="8">
        <v>410580</v>
      </c>
    </row>
    <row r="113" spans="1:5" x14ac:dyDescent="0.5">
      <c r="A113" s="7">
        <v>410820</v>
      </c>
      <c r="B113" s="8" t="s">
        <v>707</v>
      </c>
      <c r="C113" s="8">
        <v>184</v>
      </c>
      <c r="D113" s="8" t="s">
        <v>708</v>
      </c>
      <c r="E113" s="8">
        <v>1310820</v>
      </c>
    </row>
    <row r="114" spans="1:5" x14ac:dyDescent="0.5">
      <c r="A114" s="7">
        <v>410870</v>
      </c>
      <c r="B114" s="8" t="s">
        <v>709</v>
      </c>
      <c r="C114" s="8">
        <v>192</v>
      </c>
      <c r="D114" s="8" t="s">
        <v>710</v>
      </c>
      <c r="E114" s="8">
        <v>1310870</v>
      </c>
    </row>
    <row r="115" spans="1:5" x14ac:dyDescent="0.5">
      <c r="A115" s="7">
        <v>410880</v>
      </c>
      <c r="B115" s="8" t="s">
        <v>711</v>
      </c>
      <c r="C115" s="8">
        <v>183</v>
      </c>
      <c r="D115" s="8" t="s">
        <v>712</v>
      </c>
      <c r="E115" s="8">
        <v>1210810</v>
      </c>
    </row>
    <row r="116" spans="1:5" x14ac:dyDescent="0.5">
      <c r="A116" s="7">
        <v>410920</v>
      </c>
      <c r="B116" s="8" t="s">
        <v>713</v>
      </c>
      <c r="C116" s="8">
        <v>195</v>
      </c>
      <c r="D116" s="8" t="s">
        <v>714</v>
      </c>
      <c r="E116" s="8">
        <v>410920</v>
      </c>
    </row>
    <row r="117" spans="1:5" x14ac:dyDescent="0.5">
      <c r="A117" s="7">
        <v>410960</v>
      </c>
      <c r="B117" s="8" t="s">
        <v>678</v>
      </c>
      <c r="C117" s="8">
        <v>199</v>
      </c>
      <c r="D117" s="8" t="s">
        <v>679</v>
      </c>
      <c r="E117" s="8">
        <v>410960</v>
      </c>
    </row>
    <row r="118" spans="1:5" x14ac:dyDescent="0.5">
      <c r="A118" s="7">
        <v>410970</v>
      </c>
      <c r="B118" s="8" t="s">
        <v>680</v>
      </c>
      <c r="C118" s="8">
        <v>200</v>
      </c>
      <c r="D118" s="8" t="s">
        <v>681</v>
      </c>
      <c r="E118" s="8">
        <v>410970</v>
      </c>
    </row>
    <row r="119" spans="1:5" x14ac:dyDescent="0.5">
      <c r="A119" s="7">
        <v>410980</v>
      </c>
      <c r="B119" s="8" t="s">
        <v>682</v>
      </c>
      <c r="C119" s="8">
        <v>201</v>
      </c>
      <c r="D119" s="8" t="s">
        <v>683</v>
      </c>
      <c r="E119" s="8">
        <v>410980</v>
      </c>
    </row>
    <row r="120" spans="1:5" x14ac:dyDescent="0.5">
      <c r="A120" s="7">
        <v>410990</v>
      </c>
      <c r="B120" s="8" t="s">
        <v>684</v>
      </c>
      <c r="C120" s="8">
        <v>200</v>
      </c>
      <c r="D120" s="8" t="s">
        <v>681</v>
      </c>
      <c r="E120" s="8">
        <v>410970</v>
      </c>
    </row>
    <row r="121" spans="1:5" x14ac:dyDescent="0.5">
      <c r="A121" s="7">
        <v>411050</v>
      </c>
      <c r="B121" s="8" t="s">
        <v>685</v>
      </c>
      <c r="C121" s="8">
        <v>208</v>
      </c>
      <c r="D121" s="8" t="s">
        <v>686</v>
      </c>
      <c r="E121" s="8">
        <v>411100</v>
      </c>
    </row>
    <row r="122" spans="1:5" x14ac:dyDescent="0.5">
      <c r="A122" s="7">
        <v>411080</v>
      </c>
      <c r="B122" s="8" t="s">
        <v>715</v>
      </c>
      <c r="C122" s="8">
        <v>203</v>
      </c>
      <c r="D122" s="8" t="s">
        <v>716</v>
      </c>
      <c r="E122" s="8">
        <v>1611030</v>
      </c>
    </row>
    <row r="123" spans="1:5" x14ac:dyDescent="0.5">
      <c r="A123" s="7">
        <v>411090</v>
      </c>
      <c r="B123" s="8" t="s">
        <v>717</v>
      </c>
      <c r="C123" s="8">
        <v>207</v>
      </c>
      <c r="D123" s="8" t="s">
        <v>718</v>
      </c>
      <c r="E123" s="8">
        <v>1411090</v>
      </c>
    </row>
    <row r="124" spans="1:5" x14ac:dyDescent="0.5">
      <c r="A124" s="7">
        <v>411100</v>
      </c>
      <c r="B124" s="8" t="s">
        <v>719</v>
      </c>
      <c r="C124" s="8">
        <v>208</v>
      </c>
      <c r="D124" s="8" t="s">
        <v>686</v>
      </c>
      <c r="E124" s="8">
        <v>411100</v>
      </c>
    </row>
    <row r="125" spans="1:5" x14ac:dyDescent="0.5">
      <c r="A125" s="7">
        <v>411120</v>
      </c>
      <c r="B125" s="8" t="s">
        <v>720</v>
      </c>
      <c r="C125" s="8">
        <v>210</v>
      </c>
      <c r="D125" s="8" t="s">
        <v>721</v>
      </c>
      <c r="E125" s="8">
        <v>511120</v>
      </c>
    </row>
    <row r="126" spans="1:5" x14ac:dyDescent="0.5">
      <c r="A126" s="7">
        <v>411130</v>
      </c>
      <c r="B126" s="8" t="s">
        <v>687</v>
      </c>
      <c r="C126" s="8">
        <v>213</v>
      </c>
      <c r="D126" s="8" t="s">
        <v>688</v>
      </c>
      <c r="E126" s="8">
        <v>411180</v>
      </c>
    </row>
    <row r="127" spans="1:5" x14ac:dyDescent="0.5">
      <c r="A127" s="7">
        <v>411140</v>
      </c>
      <c r="B127" s="8" t="s">
        <v>689</v>
      </c>
      <c r="C127" s="8">
        <v>211</v>
      </c>
      <c r="D127" s="8" t="s">
        <v>690</v>
      </c>
      <c r="E127" s="8">
        <v>511140</v>
      </c>
    </row>
    <row r="128" spans="1:5" x14ac:dyDescent="0.5">
      <c r="A128" s="7">
        <v>411180</v>
      </c>
      <c r="B128" s="8" t="s">
        <v>722</v>
      </c>
      <c r="C128" s="8">
        <v>213</v>
      </c>
      <c r="D128" s="8" t="s">
        <v>688</v>
      </c>
      <c r="E128" s="8">
        <v>411180</v>
      </c>
    </row>
    <row r="129" spans="1:5" x14ac:dyDescent="0.5">
      <c r="A129" s="7">
        <v>411280</v>
      </c>
      <c r="B129" s="8" t="s">
        <v>667</v>
      </c>
      <c r="C129" s="8">
        <v>226</v>
      </c>
      <c r="D129" s="8" t="s">
        <v>668</v>
      </c>
      <c r="E129" s="8">
        <v>411280</v>
      </c>
    </row>
    <row r="130" spans="1:5" x14ac:dyDescent="0.5">
      <c r="A130" s="7">
        <v>411290</v>
      </c>
      <c r="B130" s="8" t="s">
        <v>723</v>
      </c>
      <c r="C130" s="8">
        <v>227</v>
      </c>
      <c r="D130" s="8" t="s">
        <v>724</v>
      </c>
      <c r="E130" s="8">
        <v>411290</v>
      </c>
    </row>
    <row r="131" spans="1:5" x14ac:dyDescent="0.5">
      <c r="A131" s="7">
        <v>411300</v>
      </c>
      <c r="B131" s="8" t="s">
        <v>691</v>
      </c>
      <c r="C131" s="8">
        <v>228</v>
      </c>
      <c r="D131" s="8" t="s">
        <v>692</v>
      </c>
      <c r="E131" s="8">
        <v>311300</v>
      </c>
    </row>
    <row r="132" spans="1:5" x14ac:dyDescent="0.5">
      <c r="A132" s="7">
        <v>411310</v>
      </c>
      <c r="B132" s="8" t="s">
        <v>669</v>
      </c>
      <c r="C132" s="8">
        <v>229</v>
      </c>
      <c r="D132" s="8" t="s">
        <v>670</v>
      </c>
      <c r="E132" s="8">
        <v>411310</v>
      </c>
    </row>
    <row r="133" spans="1:5" x14ac:dyDescent="0.5">
      <c r="A133" s="7">
        <v>411510</v>
      </c>
      <c r="B133" s="8" t="s">
        <v>725</v>
      </c>
      <c r="C133" s="8">
        <v>248</v>
      </c>
      <c r="D133" s="8" t="s">
        <v>726</v>
      </c>
      <c r="E133" s="8">
        <v>511510</v>
      </c>
    </row>
    <row r="134" spans="1:5" x14ac:dyDescent="0.5">
      <c r="A134" s="7">
        <v>411520</v>
      </c>
      <c r="B134" s="8" t="s">
        <v>671</v>
      </c>
      <c r="C134" s="8">
        <v>249</v>
      </c>
      <c r="D134" s="8" t="s">
        <v>672</v>
      </c>
      <c r="E134" s="8">
        <v>411520</v>
      </c>
    </row>
    <row r="135" spans="1:5" x14ac:dyDescent="0.5">
      <c r="A135" s="7">
        <v>411550</v>
      </c>
      <c r="B135" s="8" t="s">
        <v>727</v>
      </c>
      <c r="C135" s="8">
        <v>252</v>
      </c>
      <c r="D135" s="8" t="s">
        <v>728</v>
      </c>
      <c r="E135" s="8">
        <v>1311551</v>
      </c>
    </row>
    <row r="136" spans="1:5" x14ac:dyDescent="0.5">
      <c r="A136" s="7">
        <v>411630</v>
      </c>
      <c r="B136" s="8" t="s">
        <v>695</v>
      </c>
      <c r="C136" s="8">
        <v>263</v>
      </c>
      <c r="D136" s="8" t="s">
        <v>696</v>
      </c>
      <c r="E136" s="8">
        <v>411630</v>
      </c>
    </row>
    <row r="137" spans="1:5" x14ac:dyDescent="0.5">
      <c r="A137" s="7">
        <v>411770</v>
      </c>
      <c r="B137" s="8" t="s">
        <v>697</v>
      </c>
      <c r="C137" s="8">
        <v>273</v>
      </c>
      <c r="D137" s="8" t="s">
        <v>698</v>
      </c>
      <c r="E137" s="8">
        <v>411770</v>
      </c>
    </row>
    <row r="138" spans="1:5" x14ac:dyDescent="0.5">
      <c r="A138" s="7">
        <v>510010</v>
      </c>
      <c r="B138" s="8" t="s">
        <v>577</v>
      </c>
      <c r="C138" s="8">
        <v>100</v>
      </c>
      <c r="D138" s="8" t="s">
        <v>578</v>
      </c>
      <c r="E138" s="8" t="s">
        <v>579</v>
      </c>
    </row>
    <row r="139" spans="1:5" x14ac:dyDescent="0.5">
      <c r="A139" s="7">
        <v>510020</v>
      </c>
      <c r="B139" s="8" t="s">
        <v>729</v>
      </c>
      <c r="C139" s="8">
        <v>100</v>
      </c>
      <c r="D139" s="8" t="s">
        <v>578</v>
      </c>
      <c r="E139" s="8" t="s">
        <v>579</v>
      </c>
    </row>
    <row r="140" spans="1:5" x14ac:dyDescent="0.5">
      <c r="A140" s="7">
        <v>510140</v>
      </c>
      <c r="B140" s="8" t="s">
        <v>700</v>
      </c>
      <c r="C140" s="8">
        <v>105</v>
      </c>
      <c r="D140" s="8" t="s">
        <v>701</v>
      </c>
      <c r="E140" s="8">
        <v>410140</v>
      </c>
    </row>
    <row r="141" spans="1:5" x14ac:dyDescent="0.5">
      <c r="A141" s="7">
        <v>510270</v>
      </c>
      <c r="B141" s="8" t="s">
        <v>87</v>
      </c>
      <c r="C141" s="8">
        <v>116</v>
      </c>
      <c r="D141" s="8" t="s">
        <v>659</v>
      </c>
      <c r="E141" s="8">
        <v>410270</v>
      </c>
    </row>
    <row r="142" spans="1:5" x14ac:dyDescent="0.5">
      <c r="A142" s="7">
        <v>510290</v>
      </c>
      <c r="B142" s="8" t="s">
        <v>178</v>
      </c>
      <c r="C142" s="8">
        <v>118</v>
      </c>
      <c r="D142" s="8" t="s">
        <v>583</v>
      </c>
      <c r="E142" s="8">
        <v>610290</v>
      </c>
    </row>
    <row r="143" spans="1:5" x14ac:dyDescent="0.5">
      <c r="A143" s="7">
        <v>510300</v>
      </c>
      <c r="B143" s="8" t="s">
        <v>569</v>
      </c>
      <c r="C143" s="8">
        <v>119</v>
      </c>
      <c r="D143" s="8" t="s">
        <v>661</v>
      </c>
      <c r="E143" s="8">
        <v>710300</v>
      </c>
    </row>
    <row r="144" spans="1:5" x14ac:dyDescent="0.5">
      <c r="A144" s="7">
        <v>510310</v>
      </c>
      <c r="B144" s="8" t="s">
        <v>662</v>
      </c>
      <c r="C144" s="8">
        <v>120</v>
      </c>
      <c r="D144" s="8" t="s">
        <v>663</v>
      </c>
      <c r="E144" s="8">
        <v>210310</v>
      </c>
    </row>
    <row r="145" spans="1:5" x14ac:dyDescent="0.5">
      <c r="A145" s="7">
        <v>510430</v>
      </c>
      <c r="B145" s="8" t="s">
        <v>665</v>
      </c>
      <c r="C145" s="8">
        <v>133</v>
      </c>
      <c r="D145" s="8" t="s">
        <v>666</v>
      </c>
      <c r="E145" s="8">
        <v>310430</v>
      </c>
    </row>
    <row r="146" spans="1:5" x14ac:dyDescent="0.5">
      <c r="A146" s="7">
        <v>510880</v>
      </c>
      <c r="B146" s="8" t="s">
        <v>711</v>
      </c>
      <c r="C146" s="8">
        <v>183</v>
      </c>
      <c r="D146" s="8" t="s">
        <v>712</v>
      </c>
      <c r="E146" s="8">
        <v>1210810</v>
      </c>
    </row>
    <row r="147" spans="1:5" x14ac:dyDescent="0.5">
      <c r="A147" s="7">
        <v>510970</v>
      </c>
      <c r="B147" s="8" t="s">
        <v>680</v>
      </c>
      <c r="C147" s="8">
        <v>200</v>
      </c>
      <c r="D147" s="8" t="s">
        <v>681</v>
      </c>
      <c r="E147" s="8">
        <v>410970</v>
      </c>
    </row>
    <row r="148" spans="1:5" x14ac:dyDescent="0.5">
      <c r="A148" s="7">
        <v>511050</v>
      </c>
      <c r="B148" s="8" t="s">
        <v>685</v>
      </c>
      <c r="C148" s="8">
        <v>208</v>
      </c>
      <c r="D148" s="8" t="s">
        <v>686</v>
      </c>
      <c r="E148" s="8">
        <v>411100</v>
      </c>
    </row>
    <row r="149" spans="1:5" x14ac:dyDescent="0.5">
      <c r="A149" s="7">
        <v>511080</v>
      </c>
      <c r="B149" s="8" t="s">
        <v>715</v>
      </c>
      <c r="C149" s="8">
        <v>203</v>
      </c>
      <c r="D149" s="8" t="s">
        <v>716</v>
      </c>
      <c r="E149" s="8">
        <v>1611030</v>
      </c>
    </row>
    <row r="150" spans="1:5" x14ac:dyDescent="0.5">
      <c r="A150" s="7">
        <v>511120</v>
      </c>
      <c r="B150" s="8" t="s">
        <v>720</v>
      </c>
      <c r="C150" s="8">
        <v>210</v>
      </c>
      <c r="D150" s="8" t="s">
        <v>721</v>
      </c>
      <c r="E150" s="8">
        <v>511120</v>
      </c>
    </row>
    <row r="151" spans="1:5" x14ac:dyDescent="0.5">
      <c r="A151" s="7">
        <v>511140</v>
      </c>
      <c r="B151" s="8" t="s">
        <v>689</v>
      </c>
      <c r="C151" s="8">
        <v>211</v>
      </c>
      <c r="D151" s="8" t="s">
        <v>690</v>
      </c>
      <c r="E151" s="8">
        <v>511140</v>
      </c>
    </row>
    <row r="152" spans="1:5" x14ac:dyDescent="0.5">
      <c r="A152" s="7">
        <v>511290</v>
      </c>
      <c r="B152" s="8" t="s">
        <v>723</v>
      </c>
      <c r="C152" s="8">
        <v>227</v>
      </c>
      <c r="D152" s="8" t="s">
        <v>724</v>
      </c>
      <c r="E152" s="8">
        <v>411290</v>
      </c>
    </row>
    <row r="153" spans="1:5" x14ac:dyDescent="0.5">
      <c r="A153" s="7">
        <v>511380</v>
      </c>
      <c r="B153" s="8" t="s">
        <v>633</v>
      </c>
      <c r="C153" s="8">
        <v>235</v>
      </c>
      <c r="D153" s="8" t="s">
        <v>634</v>
      </c>
      <c r="E153" s="8">
        <v>611380</v>
      </c>
    </row>
    <row r="154" spans="1:5" x14ac:dyDescent="0.5">
      <c r="A154" s="7">
        <v>511510</v>
      </c>
      <c r="B154" s="8" t="s">
        <v>725</v>
      </c>
      <c r="C154" s="8">
        <v>248</v>
      </c>
      <c r="D154" s="8" t="s">
        <v>726</v>
      </c>
      <c r="E154" s="8">
        <v>511510</v>
      </c>
    </row>
    <row r="155" spans="1:5" x14ac:dyDescent="0.5">
      <c r="A155" s="7">
        <v>511520</v>
      </c>
      <c r="B155" s="8" t="s">
        <v>671</v>
      </c>
      <c r="C155" s="8">
        <v>249</v>
      </c>
      <c r="D155" s="8" t="s">
        <v>672</v>
      </c>
      <c r="E155" s="8">
        <v>411520</v>
      </c>
    </row>
    <row r="156" spans="1:5" x14ac:dyDescent="0.5">
      <c r="A156" s="7">
        <v>511630</v>
      </c>
      <c r="B156" s="8" t="s">
        <v>695</v>
      </c>
      <c r="C156" s="8">
        <v>263</v>
      </c>
      <c r="D156" s="8" t="s">
        <v>696</v>
      </c>
      <c r="E156" s="8">
        <v>411630</v>
      </c>
    </row>
    <row r="157" spans="1:5" x14ac:dyDescent="0.5">
      <c r="A157" s="7">
        <v>610010</v>
      </c>
      <c r="B157" s="8" t="s">
        <v>577</v>
      </c>
      <c r="C157" s="8">
        <v>100</v>
      </c>
      <c r="D157" s="8" t="s">
        <v>578</v>
      </c>
      <c r="E157" s="8" t="s">
        <v>579</v>
      </c>
    </row>
    <row r="158" spans="1:5" x14ac:dyDescent="0.5">
      <c r="A158" s="7">
        <v>610020</v>
      </c>
      <c r="B158" s="8" t="s">
        <v>729</v>
      </c>
      <c r="C158" s="8">
        <v>100</v>
      </c>
      <c r="D158" s="8" t="s">
        <v>578</v>
      </c>
      <c r="E158" s="8" t="s">
        <v>579</v>
      </c>
    </row>
    <row r="159" spans="1:5" x14ac:dyDescent="0.5">
      <c r="A159" s="7">
        <v>610110</v>
      </c>
      <c r="B159" s="8" t="s">
        <v>730</v>
      </c>
      <c r="C159" s="8">
        <v>102</v>
      </c>
      <c r="D159" s="8" t="s">
        <v>731</v>
      </c>
      <c r="E159" s="8">
        <v>2010110</v>
      </c>
    </row>
    <row r="160" spans="1:5" x14ac:dyDescent="0.5">
      <c r="A160" s="7">
        <v>610170</v>
      </c>
      <c r="B160" s="8" t="s">
        <v>732</v>
      </c>
      <c r="C160" s="8">
        <v>108</v>
      </c>
      <c r="D160" s="8" t="s">
        <v>733</v>
      </c>
      <c r="E160" s="8">
        <v>1810170</v>
      </c>
    </row>
    <row r="161" spans="1:5" x14ac:dyDescent="0.5">
      <c r="A161" s="7">
        <v>610190</v>
      </c>
      <c r="B161" s="8" t="s">
        <v>702</v>
      </c>
      <c r="C161" s="8">
        <v>110</v>
      </c>
      <c r="D161" s="8" t="s">
        <v>703</v>
      </c>
      <c r="E161" s="8">
        <v>1210190</v>
      </c>
    </row>
    <row r="162" spans="1:5" x14ac:dyDescent="0.5">
      <c r="A162" s="7">
        <v>610200</v>
      </c>
      <c r="B162" s="8" t="s">
        <v>734</v>
      </c>
      <c r="C162" s="8">
        <v>111</v>
      </c>
      <c r="D162" s="8" t="s">
        <v>735</v>
      </c>
      <c r="E162" s="8">
        <v>1210200</v>
      </c>
    </row>
    <row r="163" spans="1:5" x14ac:dyDescent="0.5">
      <c r="A163" s="7">
        <v>610210</v>
      </c>
      <c r="B163" s="8" t="s">
        <v>77</v>
      </c>
      <c r="C163" s="8">
        <v>112</v>
      </c>
      <c r="D163" s="8" t="s">
        <v>657</v>
      </c>
      <c r="E163" s="8">
        <v>210210</v>
      </c>
    </row>
    <row r="164" spans="1:5" x14ac:dyDescent="0.5">
      <c r="A164" s="7">
        <v>610270</v>
      </c>
      <c r="B164" s="8" t="s">
        <v>87</v>
      </c>
      <c r="C164" s="8">
        <v>116</v>
      </c>
      <c r="D164" s="8" t="s">
        <v>659</v>
      </c>
      <c r="E164" s="8">
        <v>410270</v>
      </c>
    </row>
    <row r="165" spans="1:5" x14ac:dyDescent="0.5">
      <c r="A165" s="7">
        <v>610280</v>
      </c>
      <c r="B165" s="8" t="s">
        <v>118</v>
      </c>
      <c r="C165" s="8">
        <v>117</v>
      </c>
      <c r="D165" s="8" t="s">
        <v>660</v>
      </c>
      <c r="E165" s="8">
        <v>410280</v>
      </c>
    </row>
    <row r="166" spans="1:5" x14ac:dyDescent="0.5">
      <c r="A166" s="7">
        <v>610290</v>
      </c>
      <c r="B166" s="8" t="s">
        <v>178</v>
      </c>
      <c r="C166" s="8">
        <v>118</v>
      </c>
      <c r="D166" s="8" t="s">
        <v>583</v>
      </c>
      <c r="E166" s="8">
        <v>610290</v>
      </c>
    </row>
    <row r="167" spans="1:5" x14ac:dyDescent="0.5">
      <c r="A167" s="7">
        <v>610300</v>
      </c>
      <c r="B167" s="8" t="s">
        <v>569</v>
      </c>
      <c r="C167" s="8">
        <v>119</v>
      </c>
      <c r="D167" s="8" t="s">
        <v>661</v>
      </c>
      <c r="E167" s="8">
        <v>710300</v>
      </c>
    </row>
    <row r="168" spans="1:5" x14ac:dyDescent="0.5">
      <c r="A168" s="7">
        <v>610310</v>
      </c>
      <c r="B168" s="8" t="s">
        <v>662</v>
      </c>
      <c r="C168" s="8">
        <v>120</v>
      </c>
      <c r="D168" s="8" t="s">
        <v>663</v>
      </c>
      <c r="E168" s="8">
        <v>210310</v>
      </c>
    </row>
    <row r="169" spans="1:5" x14ac:dyDescent="0.5">
      <c r="A169" s="7">
        <v>610321</v>
      </c>
      <c r="B169" s="8" t="s">
        <v>736</v>
      </c>
      <c r="C169" s="8">
        <v>122</v>
      </c>
      <c r="D169" s="8" t="s">
        <v>737</v>
      </c>
      <c r="E169" s="8">
        <v>610321</v>
      </c>
    </row>
    <row r="170" spans="1:5" x14ac:dyDescent="0.5">
      <c r="A170" s="7">
        <v>610322</v>
      </c>
      <c r="B170" s="8" t="s">
        <v>738</v>
      </c>
      <c r="C170" s="8">
        <v>123</v>
      </c>
      <c r="D170" s="8" t="s">
        <v>739</v>
      </c>
      <c r="E170" s="8">
        <v>610322</v>
      </c>
    </row>
    <row r="171" spans="1:5" x14ac:dyDescent="0.5">
      <c r="A171" s="7">
        <v>610330</v>
      </c>
      <c r="B171" s="8" t="s">
        <v>675</v>
      </c>
      <c r="C171" s="8">
        <v>139</v>
      </c>
      <c r="D171" s="8" t="s">
        <v>602</v>
      </c>
      <c r="E171" s="8">
        <v>2110460</v>
      </c>
    </row>
    <row r="172" spans="1:5" x14ac:dyDescent="0.5">
      <c r="A172" s="7">
        <v>610340</v>
      </c>
      <c r="B172" s="8" t="s">
        <v>704</v>
      </c>
      <c r="C172" s="8">
        <v>124</v>
      </c>
      <c r="D172" s="8" t="s">
        <v>705</v>
      </c>
      <c r="E172" s="8">
        <v>610340</v>
      </c>
    </row>
    <row r="173" spans="1:5" x14ac:dyDescent="0.5">
      <c r="A173" s="7">
        <v>610430</v>
      </c>
      <c r="B173" s="8" t="s">
        <v>665</v>
      </c>
      <c r="C173" s="8">
        <v>133</v>
      </c>
      <c r="D173" s="8" t="s">
        <v>666</v>
      </c>
      <c r="E173" s="8">
        <v>310430</v>
      </c>
    </row>
    <row r="174" spans="1:5" x14ac:dyDescent="0.5">
      <c r="A174" s="7">
        <v>610440</v>
      </c>
      <c r="B174" s="8" t="s">
        <v>676</v>
      </c>
      <c r="C174" s="8">
        <v>134</v>
      </c>
      <c r="D174" s="8" t="s">
        <v>677</v>
      </c>
      <c r="E174" s="8">
        <v>310440</v>
      </c>
    </row>
    <row r="175" spans="1:5" x14ac:dyDescent="0.5">
      <c r="A175" s="7">
        <v>610510</v>
      </c>
      <c r="B175" s="8" t="s">
        <v>740</v>
      </c>
      <c r="C175" s="8">
        <v>146</v>
      </c>
      <c r="D175" s="8" t="s">
        <v>741</v>
      </c>
      <c r="E175" s="8">
        <v>2810510</v>
      </c>
    </row>
    <row r="176" spans="1:5" x14ac:dyDescent="0.5">
      <c r="A176" s="7">
        <v>610581</v>
      </c>
      <c r="B176" s="8" t="s">
        <v>742</v>
      </c>
      <c r="C176" s="8">
        <v>159</v>
      </c>
      <c r="D176" s="8" t="s">
        <v>743</v>
      </c>
      <c r="E176" s="8">
        <v>610581</v>
      </c>
    </row>
    <row r="177" spans="1:5" x14ac:dyDescent="0.5">
      <c r="A177" s="7">
        <v>610582</v>
      </c>
      <c r="B177" s="8" t="s">
        <v>744</v>
      </c>
      <c r="C177" s="8">
        <v>160</v>
      </c>
      <c r="D177" s="8" t="s">
        <v>745</v>
      </c>
      <c r="E177" s="8">
        <v>610582</v>
      </c>
    </row>
    <row r="178" spans="1:5" x14ac:dyDescent="0.5">
      <c r="A178" s="7">
        <v>610610</v>
      </c>
      <c r="B178" s="8" t="s">
        <v>746</v>
      </c>
      <c r="C178" s="8">
        <v>163</v>
      </c>
      <c r="D178" s="8" t="s">
        <v>747</v>
      </c>
      <c r="E178" s="8">
        <v>2910610</v>
      </c>
    </row>
    <row r="179" spans="1:5" x14ac:dyDescent="0.5">
      <c r="A179" s="7">
        <v>610620</v>
      </c>
      <c r="B179" s="8" t="s">
        <v>748</v>
      </c>
      <c r="C179" s="8">
        <v>164</v>
      </c>
      <c r="D179" s="8" t="s">
        <v>749</v>
      </c>
      <c r="E179" s="8">
        <v>1610620</v>
      </c>
    </row>
    <row r="180" spans="1:5" x14ac:dyDescent="0.5">
      <c r="A180" s="7">
        <v>610670</v>
      </c>
      <c r="B180" s="8" t="s">
        <v>750</v>
      </c>
      <c r="C180" s="8">
        <v>169</v>
      </c>
      <c r="D180" s="8" t="s">
        <v>615</v>
      </c>
      <c r="E180" s="8">
        <v>110680</v>
      </c>
    </row>
    <row r="181" spans="1:5" x14ac:dyDescent="0.5">
      <c r="A181" s="7">
        <v>610710</v>
      </c>
      <c r="B181" s="8" t="s">
        <v>751</v>
      </c>
      <c r="C181" s="8">
        <v>170</v>
      </c>
      <c r="D181" s="8" t="s">
        <v>752</v>
      </c>
      <c r="E181" s="8">
        <v>2110700</v>
      </c>
    </row>
    <row r="182" spans="1:5" x14ac:dyDescent="0.5">
      <c r="A182" s="7">
        <v>610790</v>
      </c>
      <c r="B182" s="8" t="s">
        <v>753</v>
      </c>
      <c r="C182" s="8">
        <v>177</v>
      </c>
      <c r="D182" s="8" t="s">
        <v>754</v>
      </c>
      <c r="E182" s="8">
        <v>1710790</v>
      </c>
    </row>
    <row r="183" spans="1:5" x14ac:dyDescent="0.5">
      <c r="A183" s="7">
        <v>610800</v>
      </c>
      <c r="B183" s="8" t="s">
        <v>616</v>
      </c>
      <c r="C183" s="8">
        <v>182</v>
      </c>
      <c r="D183" s="8" t="s">
        <v>755</v>
      </c>
      <c r="E183" s="8">
        <v>3110800</v>
      </c>
    </row>
    <row r="184" spans="1:5" x14ac:dyDescent="0.5">
      <c r="A184" s="7">
        <v>610810</v>
      </c>
      <c r="B184" s="8" t="s">
        <v>756</v>
      </c>
      <c r="C184" s="8">
        <v>183</v>
      </c>
      <c r="D184" s="8" t="s">
        <v>712</v>
      </c>
      <c r="E184" s="8">
        <v>1210810</v>
      </c>
    </row>
    <row r="185" spans="1:5" x14ac:dyDescent="0.5">
      <c r="A185" s="7">
        <v>610820</v>
      </c>
      <c r="B185" s="8" t="s">
        <v>707</v>
      </c>
      <c r="C185" s="8">
        <v>184</v>
      </c>
      <c r="D185" s="8" t="s">
        <v>708</v>
      </c>
      <c r="E185" s="8">
        <v>1310820</v>
      </c>
    </row>
    <row r="186" spans="1:5" x14ac:dyDescent="0.5">
      <c r="A186" s="7">
        <v>610870</v>
      </c>
      <c r="B186" s="8" t="s">
        <v>709</v>
      </c>
      <c r="C186" s="8">
        <v>192</v>
      </c>
      <c r="D186" s="8" t="s">
        <v>710</v>
      </c>
      <c r="E186" s="8">
        <v>1310870</v>
      </c>
    </row>
    <row r="187" spans="1:5" x14ac:dyDescent="0.5">
      <c r="A187" s="7">
        <v>610970</v>
      </c>
      <c r="B187" s="8" t="s">
        <v>680</v>
      </c>
      <c r="C187" s="8">
        <v>200</v>
      </c>
      <c r="D187" s="8" t="s">
        <v>681</v>
      </c>
      <c r="E187" s="8">
        <v>410970</v>
      </c>
    </row>
    <row r="188" spans="1:5" x14ac:dyDescent="0.5">
      <c r="A188" s="7">
        <v>610980</v>
      </c>
      <c r="B188" s="8" t="s">
        <v>682</v>
      </c>
      <c r="C188" s="8">
        <v>201</v>
      </c>
      <c r="D188" s="8" t="s">
        <v>683</v>
      </c>
      <c r="E188" s="8">
        <v>410980</v>
      </c>
    </row>
    <row r="189" spans="1:5" x14ac:dyDescent="0.5">
      <c r="A189" s="7">
        <v>611030</v>
      </c>
      <c r="B189" s="8" t="s">
        <v>757</v>
      </c>
      <c r="C189" s="8">
        <v>203</v>
      </c>
      <c r="D189" s="8" t="s">
        <v>716</v>
      </c>
      <c r="E189" s="8">
        <v>1611030</v>
      </c>
    </row>
    <row r="190" spans="1:5" x14ac:dyDescent="0.5">
      <c r="A190" s="7">
        <v>611050</v>
      </c>
      <c r="B190" s="8" t="s">
        <v>685</v>
      </c>
      <c r="C190" s="8">
        <v>208</v>
      </c>
      <c r="D190" s="8" t="s">
        <v>686</v>
      </c>
      <c r="E190" s="8">
        <v>411100</v>
      </c>
    </row>
    <row r="191" spans="1:5" x14ac:dyDescent="0.5">
      <c r="A191" s="7">
        <v>611140</v>
      </c>
      <c r="B191" s="8" t="s">
        <v>689</v>
      </c>
      <c r="C191" s="8">
        <v>211</v>
      </c>
      <c r="D191" s="8" t="s">
        <v>690</v>
      </c>
      <c r="E191" s="8">
        <v>511140</v>
      </c>
    </row>
    <row r="192" spans="1:5" x14ac:dyDescent="0.5">
      <c r="A192" s="7">
        <v>611250</v>
      </c>
      <c r="B192" s="8" t="s">
        <v>629</v>
      </c>
      <c r="C192" s="8">
        <v>221</v>
      </c>
      <c r="D192" s="8" t="s">
        <v>758</v>
      </c>
      <c r="E192" s="8">
        <v>2911250</v>
      </c>
    </row>
    <row r="193" spans="1:5" x14ac:dyDescent="0.5">
      <c r="A193" s="7">
        <v>611260</v>
      </c>
      <c r="B193" s="8" t="s">
        <v>631</v>
      </c>
      <c r="C193" s="8">
        <v>222</v>
      </c>
      <c r="D193" s="8" t="s">
        <v>632</v>
      </c>
      <c r="E193" s="8">
        <v>2111260</v>
      </c>
    </row>
    <row r="194" spans="1:5" x14ac:dyDescent="0.5">
      <c r="A194" s="7">
        <v>611360</v>
      </c>
      <c r="B194" s="8" t="s">
        <v>759</v>
      </c>
      <c r="C194" s="8">
        <v>233</v>
      </c>
      <c r="D194" s="8" t="s">
        <v>760</v>
      </c>
      <c r="E194" s="8">
        <v>611360</v>
      </c>
    </row>
    <row r="195" spans="1:5" x14ac:dyDescent="0.5">
      <c r="A195" s="7">
        <v>611370</v>
      </c>
      <c r="B195" s="8" t="s">
        <v>693</v>
      </c>
      <c r="C195" s="8">
        <v>234</v>
      </c>
      <c r="D195" s="8" t="s">
        <v>694</v>
      </c>
      <c r="E195" s="8">
        <v>611370</v>
      </c>
    </row>
    <row r="196" spans="1:5" x14ac:dyDescent="0.5">
      <c r="A196" s="7">
        <v>611380</v>
      </c>
      <c r="B196" s="8" t="s">
        <v>633</v>
      </c>
      <c r="C196" s="8">
        <v>235</v>
      </c>
      <c r="D196" s="8" t="s">
        <v>634</v>
      </c>
      <c r="E196" s="8">
        <v>611380</v>
      </c>
    </row>
    <row r="197" spans="1:5" x14ac:dyDescent="0.5">
      <c r="A197" s="7">
        <v>611520</v>
      </c>
      <c r="B197" s="8" t="s">
        <v>671</v>
      </c>
      <c r="C197" s="8">
        <v>249</v>
      </c>
      <c r="D197" s="8" t="s">
        <v>672</v>
      </c>
      <c r="E197" s="8">
        <v>411520</v>
      </c>
    </row>
    <row r="198" spans="1:5" x14ac:dyDescent="0.5">
      <c r="A198" s="7">
        <v>611530</v>
      </c>
      <c r="B198" s="8" t="s">
        <v>761</v>
      </c>
      <c r="C198" s="8">
        <v>250</v>
      </c>
      <c r="D198" s="8" t="s">
        <v>762</v>
      </c>
      <c r="E198" s="8">
        <v>1211530</v>
      </c>
    </row>
    <row r="199" spans="1:5" x14ac:dyDescent="0.5">
      <c r="A199" s="7">
        <v>611540</v>
      </c>
      <c r="B199" s="8" t="s">
        <v>635</v>
      </c>
      <c r="C199" s="8">
        <v>259</v>
      </c>
      <c r="D199" s="8" t="s">
        <v>636</v>
      </c>
      <c r="E199" s="8">
        <v>2811590</v>
      </c>
    </row>
    <row r="200" spans="1:5" x14ac:dyDescent="0.5">
      <c r="A200" s="7">
        <v>710010</v>
      </c>
      <c r="B200" s="8" t="s">
        <v>577</v>
      </c>
      <c r="C200" s="8">
        <v>100</v>
      </c>
      <c r="D200" s="8" t="s">
        <v>578</v>
      </c>
      <c r="E200" s="8" t="s">
        <v>579</v>
      </c>
    </row>
    <row r="201" spans="1:5" x14ac:dyDescent="0.5">
      <c r="A201" s="7">
        <v>710020</v>
      </c>
      <c r="B201" s="8" t="s">
        <v>729</v>
      </c>
      <c r="C201" s="8">
        <v>100</v>
      </c>
      <c r="D201" s="8" t="s">
        <v>578</v>
      </c>
      <c r="E201" s="8" t="s">
        <v>579</v>
      </c>
    </row>
    <row r="202" spans="1:5" x14ac:dyDescent="0.5">
      <c r="A202" s="7">
        <v>710030</v>
      </c>
      <c r="B202" s="8" t="s">
        <v>580</v>
      </c>
      <c r="C202" s="8">
        <v>100</v>
      </c>
      <c r="D202" s="8" t="s">
        <v>578</v>
      </c>
      <c r="E202" s="8" t="s">
        <v>579</v>
      </c>
    </row>
    <row r="203" spans="1:5" x14ac:dyDescent="0.5">
      <c r="A203" s="7">
        <v>710080</v>
      </c>
      <c r="B203" s="8" t="s">
        <v>582</v>
      </c>
      <c r="C203" s="8">
        <v>118</v>
      </c>
      <c r="D203" s="8" t="s">
        <v>583</v>
      </c>
      <c r="E203" s="8">
        <v>610290</v>
      </c>
    </row>
    <row r="204" spans="1:5" x14ac:dyDescent="0.5">
      <c r="A204" s="7">
        <v>710110</v>
      </c>
      <c r="B204" s="8" t="s">
        <v>730</v>
      </c>
      <c r="C204" s="8">
        <v>102</v>
      </c>
      <c r="D204" s="8" t="s">
        <v>731</v>
      </c>
      <c r="E204" s="8">
        <v>2010110</v>
      </c>
    </row>
    <row r="205" spans="1:5" x14ac:dyDescent="0.5">
      <c r="A205" s="7">
        <v>710170</v>
      </c>
      <c r="B205" s="8" t="s">
        <v>732</v>
      </c>
      <c r="C205" s="8">
        <v>108</v>
      </c>
      <c r="D205" s="8" t="s">
        <v>733</v>
      </c>
      <c r="E205" s="8">
        <v>1810170</v>
      </c>
    </row>
    <row r="206" spans="1:5" x14ac:dyDescent="0.5">
      <c r="A206" s="7">
        <v>710180</v>
      </c>
      <c r="B206" s="8" t="s">
        <v>584</v>
      </c>
      <c r="C206" s="8">
        <v>109</v>
      </c>
      <c r="D206" s="8" t="s">
        <v>585</v>
      </c>
      <c r="E206" s="8">
        <v>110180</v>
      </c>
    </row>
    <row r="207" spans="1:5" x14ac:dyDescent="0.5">
      <c r="A207" s="7">
        <v>710190</v>
      </c>
      <c r="B207" s="8" t="s">
        <v>702</v>
      </c>
      <c r="C207" s="8">
        <v>110</v>
      </c>
      <c r="D207" s="8" t="s">
        <v>703</v>
      </c>
      <c r="E207" s="8">
        <v>1210190</v>
      </c>
    </row>
    <row r="208" spans="1:5" x14ac:dyDescent="0.5">
      <c r="A208" s="7">
        <v>710210</v>
      </c>
      <c r="B208" s="8" t="s">
        <v>77</v>
      </c>
      <c r="C208" s="8">
        <v>112</v>
      </c>
      <c r="D208" s="8" t="s">
        <v>657</v>
      </c>
      <c r="E208" s="8">
        <v>210210</v>
      </c>
    </row>
    <row r="209" spans="1:5" x14ac:dyDescent="0.5">
      <c r="A209" s="7">
        <v>710220</v>
      </c>
      <c r="B209" s="8" t="s">
        <v>658</v>
      </c>
      <c r="C209" s="8">
        <v>112</v>
      </c>
      <c r="D209" s="8" t="s">
        <v>657</v>
      </c>
      <c r="E209" s="8">
        <v>210210</v>
      </c>
    </row>
    <row r="210" spans="1:5" x14ac:dyDescent="0.5">
      <c r="A210" s="7">
        <v>710270</v>
      </c>
      <c r="B210" s="8" t="s">
        <v>87</v>
      </c>
      <c r="C210" s="8">
        <v>116</v>
      </c>
      <c r="D210" s="8" t="s">
        <v>659</v>
      </c>
      <c r="E210" s="8">
        <v>410270</v>
      </c>
    </row>
    <row r="211" spans="1:5" x14ac:dyDescent="0.5">
      <c r="A211" s="7">
        <v>710280</v>
      </c>
      <c r="B211" s="8" t="s">
        <v>118</v>
      </c>
      <c r="C211" s="8">
        <v>117</v>
      </c>
      <c r="D211" s="8" t="s">
        <v>660</v>
      </c>
      <c r="E211" s="8">
        <v>410280</v>
      </c>
    </row>
    <row r="212" spans="1:5" x14ac:dyDescent="0.5">
      <c r="A212" s="7">
        <v>710290</v>
      </c>
      <c r="B212" s="8" t="s">
        <v>178</v>
      </c>
      <c r="C212" s="8">
        <v>118</v>
      </c>
      <c r="D212" s="8" t="s">
        <v>583</v>
      </c>
      <c r="E212" s="8">
        <v>610290</v>
      </c>
    </row>
    <row r="213" spans="1:5" x14ac:dyDescent="0.5">
      <c r="A213" s="7">
        <v>710300</v>
      </c>
      <c r="B213" s="8" t="s">
        <v>569</v>
      </c>
      <c r="C213" s="8">
        <v>119</v>
      </c>
      <c r="D213" s="8" t="s">
        <v>661</v>
      </c>
      <c r="E213" s="8">
        <v>710300</v>
      </c>
    </row>
    <row r="214" spans="1:5" x14ac:dyDescent="0.5">
      <c r="A214" s="7">
        <v>710310</v>
      </c>
      <c r="B214" s="8" t="s">
        <v>662</v>
      </c>
      <c r="C214" s="8">
        <v>120</v>
      </c>
      <c r="D214" s="8" t="s">
        <v>663</v>
      </c>
      <c r="E214" s="8">
        <v>210310</v>
      </c>
    </row>
    <row r="215" spans="1:5" x14ac:dyDescent="0.5">
      <c r="A215" s="7">
        <v>710320</v>
      </c>
      <c r="B215" s="8" t="s">
        <v>182</v>
      </c>
      <c r="C215" s="8">
        <v>121</v>
      </c>
      <c r="D215" s="8" t="s">
        <v>664</v>
      </c>
      <c r="E215" s="8">
        <v>710320</v>
      </c>
    </row>
    <row r="216" spans="1:5" x14ac:dyDescent="0.5">
      <c r="A216" s="7">
        <v>710330</v>
      </c>
      <c r="B216" s="8" t="s">
        <v>675</v>
      </c>
      <c r="C216" s="8">
        <v>139</v>
      </c>
      <c r="D216" s="8" t="s">
        <v>602</v>
      </c>
      <c r="E216" s="8">
        <v>2110460</v>
      </c>
    </row>
    <row r="217" spans="1:5" x14ac:dyDescent="0.5">
      <c r="A217" s="7">
        <v>710340</v>
      </c>
      <c r="B217" s="8" t="s">
        <v>704</v>
      </c>
      <c r="C217" s="8">
        <v>124</v>
      </c>
      <c r="D217" s="8" t="s">
        <v>705</v>
      </c>
      <c r="E217" s="8">
        <v>610340</v>
      </c>
    </row>
    <row r="218" spans="1:5" x14ac:dyDescent="0.5">
      <c r="A218" s="7">
        <v>710350</v>
      </c>
      <c r="B218" s="8" t="s">
        <v>586</v>
      </c>
      <c r="C218" s="8">
        <v>125</v>
      </c>
      <c r="D218" s="8" t="s">
        <v>587</v>
      </c>
      <c r="E218" s="8">
        <v>210350</v>
      </c>
    </row>
    <row r="219" spans="1:5" x14ac:dyDescent="0.5">
      <c r="A219" s="7">
        <v>710370</v>
      </c>
      <c r="B219" s="8" t="s">
        <v>205</v>
      </c>
      <c r="C219" s="8">
        <v>127</v>
      </c>
      <c r="D219" s="8" t="s">
        <v>590</v>
      </c>
      <c r="E219" s="8">
        <v>110370</v>
      </c>
    </row>
    <row r="220" spans="1:5" x14ac:dyDescent="0.5">
      <c r="A220" s="7">
        <v>710380</v>
      </c>
      <c r="B220" s="8" t="s">
        <v>591</v>
      </c>
      <c r="C220" s="8">
        <v>128</v>
      </c>
      <c r="D220" s="8" t="s">
        <v>592</v>
      </c>
      <c r="E220" s="8">
        <v>110380</v>
      </c>
    </row>
    <row r="221" spans="1:5" x14ac:dyDescent="0.5">
      <c r="A221" s="7">
        <v>710390</v>
      </c>
      <c r="B221" s="8" t="s">
        <v>44</v>
      </c>
      <c r="C221" s="8">
        <v>129</v>
      </c>
      <c r="D221" s="8" t="s">
        <v>593</v>
      </c>
      <c r="E221" s="8">
        <v>110390</v>
      </c>
    </row>
    <row r="222" spans="1:5" x14ac:dyDescent="0.5">
      <c r="A222" s="7">
        <v>710411</v>
      </c>
      <c r="B222" s="8" t="s">
        <v>594</v>
      </c>
      <c r="C222" s="8">
        <v>130</v>
      </c>
      <c r="D222" s="8" t="s">
        <v>595</v>
      </c>
      <c r="E222" s="8">
        <v>110411</v>
      </c>
    </row>
    <row r="223" spans="1:5" x14ac:dyDescent="0.5">
      <c r="A223" s="7">
        <v>710412</v>
      </c>
      <c r="B223" s="8" t="s">
        <v>242</v>
      </c>
      <c r="C223" s="8">
        <v>131</v>
      </c>
      <c r="D223" s="8" t="s">
        <v>596</v>
      </c>
      <c r="E223" s="8">
        <v>710412</v>
      </c>
    </row>
    <row r="224" spans="1:5" x14ac:dyDescent="0.5">
      <c r="A224" s="7">
        <v>710420</v>
      </c>
      <c r="B224" s="8" t="s">
        <v>597</v>
      </c>
      <c r="C224" s="8">
        <v>132</v>
      </c>
      <c r="D224" s="8" t="s">
        <v>598</v>
      </c>
      <c r="E224" s="8">
        <v>110420</v>
      </c>
    </row>
    <row r="225" spans="1:5" x14ac:dyDescent="0.5">
      <c r="A225" s="7">
        <v>710430</v>
      </c>
      <c r="B225" s="8" t="s">
        <v>665</v>
      </c>
      <c r="C225" s="8">
        <v>133</v>
      </c>
      <c r="D225" s="8" t="s">
        <v>666</v>
      </c>
      <c r="E225" s="8">
        <v>310430</v>
      </c>
    </row>
    <row r="226" spans="1:5" x14ac:dyDescent="0.5">
      <c r="A226" s="7">
        <v>710440</v>
      </c>
      <c r="B226" s="8" t="s">
        <v>676</v>
      </c>
      <c r="C226" s="8">
        <v>134</v>
      </c>
      <c r="D226" s="8" t="s">
        <v>677</v>
      </c>
      <c r="E226" s="8">
        <v>310440</v>
      </c>
    </row>
    <row r="227" spans="1:5" x14ac:dyDescent="0.5">
      <c r="A227" s="7">
        <v>710450</v>
      </c>
      <c r="B227" s="8" t="s">
        <v>599</v>
      </c>
      <c r="C227" s="8">
        <v>135</v>
      </c>
      <c r="D227" s="8" t="s">
        <v>600</v>
      </c>
      <c r="E227" s="8">
        <v>910450</v>
      </c>
    </row>
    <row r="228" spans="1:5" x14ac:dyDescent="0.5">
      <c r="A228" s="7">
        <v>710460</v>
      </c>
      <c r="B228" s="8" t="s">
        <v>601</v>
      </c>
      <c r="C228" s="8">
        <v>139</v>
      </c>
      <c r="D228" s="8" t="s">
        <v>602</v>
      </c>
      <c r="E228" s="8">
        <v>2110460</v>
      </c>
    </row>
    <row r="229" spans="1:5" x14ac:dyDescent="0.5">
      <c r="A229" s="7">
        <v>710531</v>
      </c>
      <c r="B229" s="8" t="s">
        <v>264</v>
      </c>
      <c r="C229" s="8">
        <v>150</v>
      </c>
      <c r="D229" s="8" t="s">
        <v>603</v>
      </c>
      <c r="E229" s="8">
        <v>2910540</v>
      </c>
    </row>
    <row r="230" spans="1:5" x14ac:dyDescent="0.5">
      <c r="A230" s="7">
        <v>710532</v>
      </c>
      <c r="B230" s="8" t="s">
        <v>763</v>
      </c>
      <c r="C230" s="8">
        <v>149</v>
      </c>
      <c r="D230" s="8" t="s">
        <v>764</v>
      </c>
      <c r="E230" s="8">
        <v>2810540</v>
      </c>
    </row>
    <row r="231" spans="1:5" x14ac:dyDescent="0.5">
      <c r="A231" s="7">
        <v>710560</v>
      </c>
      <c r="B231" s="8" t="s">
        <v>606</v>
      </c>
      <c r="C231" s="8">
        <v>154</v>
      </c>
      <c r="D231" s="8" t="s">
        <v>607</v>
      </c>
      <c r="E231" s="8">
        <v>110560</v>
      </c>
    </row>
    <row r="232" spans="1:5" x14ac:dyDescent="0.5">
      <c r="A232" s="7">
        <v>710580</v>
      </c>
      <c r="B232" s="8" t="s">
        <v>272</v>
      </c>
      <c r="C232" s="8">
        <v>158</v>
      </c>
      <c r="D232" s="8" t="s">
        <v>706</v>
      </c>
      <c r="E232" s="8">
        <v>410580</v>
      </c>
    </row>
    <row r="233" spans="1:5" x14ac:dyDescent="0.5">
      <c r="A233" s="7">
        <v>710600</v>
      </c>
      <c r="B233" s="8" t="s">
        <v>608</v>
      </c>
      <c r="C233" s="8">
        <v>162</v>
      </c>
      <c r="D233" s="8" t="s">
        <v>609</v>
      </c>
      <c r="E233" s="8">
        <v>710600</v>
      </c>
    </row>
    <row r="234" spans="1:5" x14ac:dyDescent="0.5">
      <c r="A234" s="7">
        <v>710620</v>
      </c>
      <c r="B234" s="8" t="s">
        <v>748</v>
      </c>
      <c r="C234" s="8">
        <v>164</v>
      </c>
      <c r="D234" s="8" t="s">
        <v>749</v>
      </c>
      <c r="E234" s="8">
        <v>1610620</v>
      </c>
    </row>
    <row r="235" spans="1:5" x14ac:dyDescent="0.5">
      <c r="A235" s="7">
        <v>710630</v>
      </c>
      <c r="B235" s="8" t="s">
        <v>610</v>
      </c>
      <c r="C235" s="8">
        <v>165</v>
      </c>
      <c r="D235" s="8" t="s">
        <v>611</v>
      </c>
      <c r="E235" s="8">
        <v>110630</v>
      </c>
    </row>
    <row r="236" spans="1:5" x14ac:dyDescent="0.5">
      <c r="A236" s="7">
        <v>710680</v>
      </c>
      <c r="B236" s="8" t="s">
        <v>614</v>
      </c>
      <c r="C236" s="8">
        <v>169</v>
      </c>
      <c r="D236" s="8" t="s">
        <v>615</v>
      </c>
      <c r="E236" s="8">
        <v>110680</v>
      </c>
    </row>
    <row r="237" spans="1:5" x14ac:dyDescent="0.5">
      <c r="A237" s="7">
        <v>710800</v>
      </c>
      <c r="B237" s="8" t="s">
        <v>616</v>
      </c>
      <c r="C237" s="8">
        <v>178</v>
      </c>
      <c r="D237" s="8" t="s">
        <v>617</v>
      </c>
      <c r="E237" s="8">
        <v>910800</v>
      </c>
    </row>
    <row r="238" spans="1:5" x14ac:dyDescent="0.5">
      <c r="A238" s="7">
        <v>710810</v>
      </c>
      <c r="B238" s="8" t="s">
        <v>756</v>
      </c>
      <c r="C238" s="8">
        <v>183</v>
      </c>
      <c r="D238" s="8" t="s">
        <v>712</v>
      </c>
      <c r="E238" s="8">
        <v>1210810</v>
      </c>
    </row>
    <row r="239" spans="1:5" x14ac:dyDescent="0.5">
      <c r="A239" s="7">
        <v>710970</v>
      </c>
      <c r="B239" s="8" t="s">
        <v>680</v>
      </c>
      <c r="C239" s="8">
        <v>200</v>
      </c>
      <c r="D239" s="8" t="s">
        <v>681</v>
      </c>
      <c r="E239" s="8">
        <v>410970</v>
      </c>
    </row>
    <row r="240" spans="1:5" x14ac:dyDescent="0.5">
      <c r="A240" s="7">
        <v>710980</v>
      </c>
      <c r="B240" s="8" t="s">
        <v>682</v>
      </c>
      <c r="C240" s="8">
        <v>201</v>
      </c>
      <c r="D240" s="8" t="s">
        <v>683</v>
      </c>
      <c r="E240" s="8">
        <v>410980</v>
      </c>
    </row>
    <row r="241" spans="1:5" x14ac:dyDescent="0.5">
      <c r="A241" s="7">
        <v>711030</v>
      </c>
      <c r="B241" s="8" t="s">
        <v>757</v>
      </c>
      <c r="C241" s="8">
        <v>203</v>
      </c>
      <c r="D241" s="8" t="s">
        <v>716</v>
      </c>
      <c r="E241" s="8">
        <v>1611030</v>
      </c>
    </row>
    <row r="242" spans="1:5" x14ac:dyDescent="0.5">
      <c r="A242" s="7">
        <v>711050</v>
      </c>
      <c r="B242" s="8" t="s">
        <v>685</v>
      </c>
      <c r="C242" s="8">
        <v>208</v>
      </c>
      <c r="D242" s="8" t="s">
        <v>686</v>
      </c>
      <c r="E242" s="8">
        <v>411100</v>
      </c>
    </row>
    <row r="243" spans="1:5" x14ac:dyDescent="0.5">
      <c r="A243" s="7">
        <v>711140</v>
      </c>
      <c r="B243" s="8" t="s">
        <v>689</v>
      </c>
      <c r="C243" s="8">
        <v>211</v>
      </c>
      <c r="D243" s="8" t="s">
        <v>690</v>
      </c>
      <c r="E243" s="8">
        <v>511140</v>
      </c>
    </row>
    <row r="244" spans="1:5" x14ac:dyDescent="0.5">
      <c r="A244" s="7">
        <v>711200</v>
      </c>
      <c r="B244" s="8" t="s">
        <v>624</v>
      </c>
      <c r="C244" s="8">
        <v>118</v>
      </c>
      <c r="D244" s="8" t="s">
        <v>583</v>
      </c>
      <c r="E244" s="8">
        <v>610290</v>
      </c>
    </row>
    <row r="245" spans="1:5" x14ac:dyDescent="0.5">
      <c r="A245" s="7">
        <v>711230</v>
      </c>
      <c r="B245" s="8" t="s">
        <v>625</v>
      </c>
      <c r="C245" s="8">
        <v>218</v>
      </c>
      <c r="D245" s="8" t="s">
        <v>626</v>
      </c>
      <c r="E245" s="8">
        <v>811230</v>
      </c>
    </row>
    <row r="246" spans="1:5" x14ac:dyDescent="0.5">
      <c r="A246" s="7">
        <v>711240</v>
      </c>
      <c r="B246" s="8" t="s">
        <v>627</v>
      </c>
      <c r="C246" s="8">
        <v>219</v>
      </c>
      <c r="D246" s="8" t="s">
        <v>628</v>
      </c>
      <c r="E246" s="8">
        <v>1811240</v>
      </c>
    </row>
    <row r="247" spans="1:5" x14ac:dyDescent="0.5">
      <c r="A247" s="7">
        <v>711250</v>
      </c>
      <c r="B247" s="8" t="s">
        <v>629</v>
      </c>
      <c r="C247" s="8">
        <v>220</v>
      </c>
      <c r="D247" s="8" t="s">
        <v>630</v>
      </c>
      <c r="E247" s="8">
        <v>1011250</v>
      </c>
    </row>
    <row r="248" spans="1:5" x14ac:dyDescent="0.5">
      <c r="A248" s="7">
        <v>711260</v>
      </c>
      <c r="B248" s="8" t="s">
        <v>631</v>
      </c>
      <c r="C248" s="8">
        <v>222</v>
      </c>
      <c r="D248" s="8" t="s">
        <v>632</v>
      </c>
      <c r="E248" s="8">
        <v>2111260</v>
      </c>
    </row>
    <row r="249" spans="1:5" x14ac:dyDescent="0.5">
      <c r="A249" s="7">
        <v>711270</v>
      </c>
      <c r="B249" s="8" t="s">
        <v>765</v>
      </c>
      <c r="C249" s="8">
        <v>224</v>
      </c>
      <c r="D249" s="8" t="s">
        <v>766</v>
      </c>
      <c r="E249" s="8">
        <v>1711270</v>
      </c>
    </row>
    <row r="250" spans="1:5" x14ac:dyDescent="0.5">
      <c r="A250" s="7">
        <v>711350</v>
      </c>
      <c r="B250" s="8" t="s">
        <v>767</v>
      </c>
      <c r="C250" s="8">
        <v>232</v>
      </c>
      <c r="D250" s="8" t="s">
        <v>768</v>
      </c>
      <c r="E250" s="8">
        <v>2411350</v>
      </c>
    </row>
    <row r="251" spans="1:5" x14ac:dyDescent="0.5">
      <c r="A251" s="7">
        <v>711520</v>
      </c>
      <c r="B251" s="8" t="s">
        <v>671</v>
      </c>
      <c r="C251" s="8">
        <v>249</v>
      </c>
      <c r="D251" s="8" t="s">
        <v>672</v>
      </c>
      <c r="E251" s="8">
        <v>411520</v>
      </c>
    </row>
    <row r="252" spans="1:5" x14ac:dyDescent="0.5">
      <c r="A252" s="7">
        <v>711530</v>
      </c>
      <c r="B252" s="8" t="s">
        <v>761</v>
      </c>
      <c r="C252" s="8">
        <v>250</v>
      </c>
      <c r="D252" s="8" t="s">
        <v>762</v>
      </c>
      <c r="E252" s="8">
        <v>1211530</v>
      </c>
    </row>
    <row r="253" spans="1:5" x14ac:dyDescent="0.5">
      <c r="A253" s="7">
        <v>711540</v>
      </c>
      <c r="B253" s="8" t="s">
        <v>635</v>
      </c>
      <c r="C253" s="8">
        <v>259</v>
      </c>
      <c r="D253" s="8" t="s">
        <v>636</v>
      </c>
      <c r="E253" s="8">
        <v>2811590</v>
      </c>
    </row>
    <row r="254" spans="1:5" x14ac:dyDescent="0.5">
      <c r="A254" s="7">
        <v>711560</v>
      </c>
      <c r="B254" s="8" t="s">
        <v>637</v>
      </c>
      <c r="C254" s="8">
        <v>255</v>
      </c>
      <c r="D254" s="8" t="s">
        <v>638</v>
      </c>
      <c r="E254" s="8">
        <v>111560</v>
      </c>
    </row>
    <row r="255" spans="1:5" x14ac:dyDescent="0.5">
      <c r="A255" s="7">
        <v>711581</v>
      </c>
      <c r="B255" s="8" t="s">
        <v>641</v>
      </c>
      <c r="C255" s="8">
        <v>257</v>
      </c>
      <c r="D255" s="8" t="s">
        <v>642</v>
      </c>
      <c r="E255" s="8">
        <v>111581</v>
      </c>
    </row>
    <row r="256" spans="1:5" x14ac:dyDescent="0.5">
      <c r="A256" s="7">
        <v>711582</v>
      </c>
      <c r="B256" s="8" t="s">
        <v>643</v>
      </c>
      <c r="C256" s="8">
        <v>258</v>
      </c>
      <c r="D256" s="8" t="s">
        <v>644</v>
      </c>
      <c r="E256" s="8">
        <v>711582</v>
      </c>
    </row>
    <row r="257" spans="1:5" x14ac:dyDescent="0.5">
      <c r="A257" s="7">
        <v>711650</v>
      </c>
      <c r="B257" s="8" t="s">
        <v>645</v>
      </c>
      <c r="C257" s="8">
        <v>150</v>
      </c>
      <c r="D257" s="8" t="s">
        <v>603</v>
      </c>
      <c r="E257" s="8">
        <v>2910540</v>
      </c>
    </row>
    <row r="258" spans="1:5" x14ac:dyDescent="0.5">
      <c r="A258" s="7">
        <v>711670</v>
      </c>
      <c r="B258" s="8" t="s">
        <v>646</v>
      </c>
      <c r="C258" s="8">
        <v>266</v>
      </c>
      <c r="D258" s="8" t="s">
        <v>647</v>
      </c>
      <c r="E258" s="8">
        <v>711670</v>
      </c>
    </row>
    <row r="259" spans="1:5" x14ac:dyDescent="0.5">
      <c r="A259" s="7">
        <v>711700</v>
      </c>
      <c r="B259" s="8" t="s">
        <v>673</v>
      </c>
      <c r="C259" s="8">
        <v>268</v>
      </c>
      <c r="D259" s="8" t="s">
        <v>674</v>
      </c>
      <c r="E259" s="8">
        <v>311700</v>
      </c>
    </row>
    <row r="260" spans="1:5" x14ac:dyDescent="0.5">
      <c r="A260" s="7">
        <v>711710</v>
      </c>
      <c r="B260" s="8" t="s">
        <v>648</v>
      </c>
      <c r="C260" s="8">
        <v>269</v>
      </c>
      <c r="D260" s="8" t="s">
        <v>649</v>
      </c>
      <c r="E260" s="8">
        <v>111710</v>
      </c>
    </row>
    <row r="261" spans="1:5" x14ac:dyDescent="0.5">
      <c r="A261" s="7">
        <v>711720</v>
      </c>
      <c r="B261" s="8" t="s">
        <v>769</v>
      </c>
      <c r="C261" s="8">
        <v>270</v>
      </c>
      <c r="D261" s="8" t="s">
        <v>770</v>
      </c>
      <c r="E261" s="8">
        <v>711720</v>
      </c>
    </row>
    <row r="262" spans="1:5" x14ac:dyDescent="0.5">
      <c r="A262" s="7">
        <v>711730</v>
      </c>
      <c r="B262" s="8" t="s">
        <v>650</v>
      </c>
      <c r="C262" s="8">
        <v>271</v>
      </c>
      <c r="D262" s="8" t="s">
        <v>651</v>
      </c>
      <c r="E262" s="8">
        <v>111730</v>
      </c>
    </row>
    <row r="263" spans="1:5" x14ac:dyDescent="0.5">
      <c r="A263" s="7">
        <v>711740</v>
      </c>
      <c r="B263" s="8" t="s">
        <v>281</v>
      </c>
      <c r="C263" s="8">
        <v>272</v>
      </c>
      <c r="D263" s="8" t="s">
        <v>652</v>
      </c>
      <c r="E263" s="8">
        <v>711740</v>
      </c>
    </row>
    <row r="264" spans="1:5" x14ac:dyDescent="0.5">
      <c r="A264" s="7">
        <v>711780</v>
      </c>
      <c r="B264" s="8" t="s">
        <v>653</v>
      </c>
      <c r="C264" s="8">
        <v>274</v>
      </c>
      <c r="D264" s="8" t="s">
        <v>654</v>
      </c>
      <c r="E264" s="8">
        <v>111780</v>
      </c>
    </row>
    <row r="265" spans="1:5" x14ac:dyDescent="0.5">
      <c r="A265" s="7">
        <v>810010</v>
      </c>
      <c r="B265" s="8" t="s">
        <v>577</v>
      </c>
      <c r="C265" s="8">
        <v>100</v>
      </c>
      <c r="D265" s="8" t="s">
        <v>578</v>
      </c>
      <c r="E265" s="8" t="s">
        <v>579</v>
      </c>
    </row>
    <row r="266" spans="1:5" x14ac:dyDescent="0.5">
      <c r="A266" s="7">
        <v>810170</v>
      </c>
      <c r="B266" s="8" t="s">
        <v>732</v>
      </c>
      <c r="C266" s="8">
        <v>108</v>
      </c>
      <c r="D266" s="8" t="s">
        <v>733</v>
      </c>
      <c r="E266" s="8">
        <v>1810170</v>
      </c>
    </row>
    <row r="267" spans="1:5" x14ac:dyDescent="0.5">
      <c r="A267" s="7">
        <v>810450</v>
      </c>
      <c r="B267" s="8" t="s">
        <v>599</v>
      </c>
      <c r="C267" s="8">
        <v>135</v>
      </c>
      <c r="D267" s="8" t="s">
        <v>600</v>
      </c>
      <c r="E267" s="8">
        <v>910450</v>
      </c>
    </row>
    <row r="268" spans="1:5" x14ac:dyDescent="0.5">
      <c r="A268" s="7">
        <v>810470</v>
      </c>
      <c r="B268" s="8" t="s">
        <v>771</v>
      </c>
      <c r="C268" s="8">
        <v>140</v>
      </c>
      <c r="D268" s="8" t="s">
        <v>772</v>
      </c>
      <c r="E268" s="8">
        <v>910470</v>
      </c>
    </row>
    <row r="269" spans="1:5" x14ac:dyDescent="0.5">
      <c r="A269" s="7">
        <v>810531</v>
      </c>
      <c r="B269" s="8" t="s">
        <v>264</v>
      </c>
      <c r="C269" s="8">
        <v>150</v>
      </c>
      <c r="D269" s="8" t="s">
        <v>603</v>
      </c>
      <c r="E269" s="8">
        <v>2910540</v>
      </c>
    </row>
    <row r="270" spans="1:5" x14ac:dyDescent="0.5">
      <c r="A270" s="7">
        <v>810550</v>
      </c>
      <c r="B270" s="8" t="s">
        <v>604</v>
      </c>
      <c r="C270" s="8">
        <v>151</v>
      </c>
      <c r="D270" s="8" t="s">
        <v>605</v>
      </c>
      <c r="E270" s="8">
        <v>2010550</v>
      </c>
    </row>
    <row r="271" spans="1:5" x14ac:dyDescent="0.5">
      <c r="A271" s="7">
        <v>810560</v>
      </c>
      <c r="B271" s="8" t="s">
        <v>606</v>
      </c>
      <c r="C271" s="8">
        <v>154</v>
      </c>
      <c r="D271" s="8" t="s">
        <v>607</v>
      </c>
      <c r="E271" s="8">
        <v>110560</v>
      </c>
    </row>
    <row r="272" spans="1:5" x14ac:dyDescent="0.5">
      <c r="A272" s="7">
        <v>810610</v>
      </c>
      <c r="B272" s="8" t="s">
        <v>746</v>
      </c>
      <c r="C272" s="8">
        <v>163</v>
      </c>
      <c r="D272" s="8" t="s">
        <v>747</v>
      </c>
      <c r="E272" s="8">
        <v>2910610</v>
      </c>
    </row>
    <row r="273" spans="1:5" x14ac:dyDescent="0.5">
      <c r="A273" s="7">
        <v>810650</v>
      </c>
      <c r="B273" s="8" t="s">
        <v>612</v>
      </c>
      <c r="C273" s="8">
        <v>167</v>
      </c>
      <c r="D273" s="8" t="s">
        <v>613</v>
      </c>
      <c r="E273" s="8">
        <v>810650</v>
      </c>
    </row>
    <row r="274" spans="1:5" x14ac:dyDescent="0.5">
      <c r="A274" s="7">
        <v>810800</v>
      </c>
      <c r="B274" s="8" t="s">
        <v>616</v>
      </c>
      <c r="C274" s="8">
        <v>178</v>
      </c>
      <c r="D274" s="8" t="s">
        <v>617</v>
      </c>
      <c r="E274" s="8">
        <v>910800</v>
      </c>
    </row>
    <row r="275" spans="1:5" x14ac:dyDescent="0.5">
      <c r="A275" s="7">
        <v>810810</v>
      </c>
      <c r="B275" s="8" t="s">
        <v>756</v>
      </c>
      <c r="C275" s="8">
        <v>183</v>
      </c>
      <c r="D275" s="8" t="s">
        <v>712</v>
      </c>
      <c r="E275" s="8">
        <v>1210810</v>
      </c>
    </row>
    <row r="276" spans="1:5" x14ac:dyDescent="0.5">
      <c r="A276" s="7">
        <v>811060</v>
      </c>
      <c r="B276" s="8" t="s">
        <v>622</v>
      </c>
      <c r="C276" s="8">
        <v>204</v>
      </c>
      <c r="D276" s="8" t="s">
        <v>623</v>
      </c>
      <c r="E276" s="8">
        <v>911060</v>
      </c>
    </row>
    <row r="277" spans="1:5" x14ac:dyDescent="0.5">
      <c r="A277" s="7">
        <v>811230</v>
      </c>
      <c r="B277" s="8" t="s">
        <v>625</v>
      </c>
      <c r="C277" s="8">
        <v>218</v>
      </c>
      <c r="D277" s="8" t="s">
        <v>626</v>
      </c>
      <c r="E277" s="8">
        <v>811230</v>
      </c>
    </row>
    <row r="278" spans="1:5" x14ac:dyDescent="0.5">
      <c r="A278" s="7">
        <v>811240</v>
      </c>
      <c r="B278" s="8" t="s">
        <v>627</v>
      </c>
      <c r="C278" s="8">
        <v>219</v>
      </c>
      <c r="D278" s="8" t="s">
        <v>628</v>
      </c>
      <c r="E278" s="8">
        <v>1811240</v>
      </c>
    </row>
    <row r="279" spans="1:5" x14ac:dyDescent="0.5">
      <c r="A279" s="7">
        <v>811250</v>
      </c>
      <c r="B279" s="8" t="s">
        <v>629</v>
      </c>
      <c r="C279" s="8">
        <v>220</v>
      </c>
      <c r="D279" s="8" t="s">
        <v>630</v>
      </c>
      <c r="E279" s="8">
        <v>1011250</v>
      </c>
    </row>
    <row r="280" spans="1:5" x14ac:dyDescent="0.5">
      <c r="A280" s="7">
        <v>811260</v>
      </c>
      <c r="B280" s="8" t="s">
        <v>631</v>
      </c>
      <c r="C280" s="8">
        <v>222</v>
      </c>
      <c r="D280" s="8" t="s">
        <v>632</v>
      </c>
      <c r="E280" s="8">
        <v>2111260</v>
      </c>
    </row>
    <row r="281" spans="1:5" x14ac:dyDescent="0.5">
      <c r="A281" s="7">
        <v>811270</v>
      </c>
      <c r="B281" s="8" t="s">
        <v>765</v>
      </c>
      <c r="C281" s="8">
        <v>224</v>
      </c>
      <c r="D281" s="8" t="s">
        <v>766</v>
      </c>
      <c r="E281" s="8">
        <v>1711270</v>
      </c>
    </row>
    <row r="282" spans="1:5" x14ac:dyDescent="0.5">
      <c r="A282" s="7">
        <v>811340</v>
      </c>
      <c r="B282" s="8" t="s">
        <v>773</v>
      </c>
      <c r="C282" s="8">
        <v>231</v>
      </c>
      <c r="D282" s="8" t="s">
        <v>774</v>
      </c>
      <c r="E282" s="8">
        <v>811340</v>
      </c>
    </row>
    <row r="283" spans="1:5" x14ac:dyDescent="0.5">
      <c r="A283" s="7">
        <v>811350</v>
      </c>
      <c r="B283" s="8" t="s">
        <v>767</v>
      </c>
      <c r="C283" s="8">
        <v>232</v>
      </c>
      <c r="D283" s="8" t="s">
        <v>768</v>
      </c>
      <c r="E283" s="8">
        <v>2411350</v>
      </c>
    </row>
    <row r="284" spans="1:5" x14ac:dyDescent="0.5">
      <c r="A284" s="7">
        <v>811390</v>
      </c>
      <c r="B284" s="8" t="s">
        <v>775</v>
      </c>
      <c r="C284" s="8">
        <v>236</v>
      </c>
      <c r="D284" s="8" t="s">
        <v>776</v>
      </c>
      <c r="E284" s="8">
        <v>2011390</v>
      </c>
    </row>
    <row r="285" spans="1:5" x14ac:dyDescent="0.5">
      <c r="A285" s="7">
        <v>811420</v>
      </c>
      <c r="B285" s="8" t="s">
        <v>777</v>
      </c>
      <c r="C285" s="8">
        <v>240</v>
      </c>
      <c r="D285" s="8" t="s">
        <v>778</v>
      </c>
      <c r="E285" s="8">
        <v>811420</v>
      </c>
    </row>
    <row r="286" spans="1:5" x14ac:dyDescent="0.5">
      <c r="A286" s="7">
        <v>811530</v>
      </c>
      <c r="B286" s="8" t="s">
        <v>761</v>
      </c>
      <c r="C286" s="8">
        <v>250</v>
      </c>
      <c r="D286" s="8" t="s">
        <v>762</v>
      </c>
      <c r="E286" s="8">
        <v>1211530</v>
      </c>
    </row>
    <row r="287" spans="1:5" x14ac:dyDescent="0.5">
      <c r="A287" s="7">
        <v>811540</v>
      </c>
      <c r="B287" s="8" t="s">
        <v>635</v>
      </c>
      <c r="C287" s="8">
        <v>259</v>
      </c>
      <c r="D287" s="8" t="s">
        <v>636</v>
      </c>
      <c r="E287" s="8">
        <v>2811590</v>
      </c>
    </row>
    <row r="288" spans="1:5" x14ac:dyDescent="0.5">
      <c r="A288" s="7">
        <v>811590</v>
      </c>
      <c r="B288" s="8" t="s">
        <v>779</v>
      </c>
      <c r="C288" s="8">
        <v>259</v>
      </c>
      <c r="D288" s="8" t="s">
        <v>636</v>
      </c>
      <c r="E288" s="8">
        <v>2811590</v>
      </c>
    </row>
    <row r="289" spans="1:5" x14ac:dyDescent="0.5">
      <c r="A289" s="7">
        <v>811600</v>
      </c>
      <c r="B289" s="8" t="s">
        <v>780</v>
      </c>
      <c r="C289" s="8">
        <v>259</v>
      </c>
      <c r="D289" s="8" t="s">
        <v>636</v>
      </c>
      <c r="E289" s="8">
        <v>2811590</v>
      </c>
    </row>
    <row r="290" spans="1:5" x14ac:dyDescent="0.5">
      <c r="A290" s="7">
        <v>811650</v>
      </c>
      <c r="B290" s="8" t="s">
        <v>645</v>
      </c>
      <c r="C290" s="8">
        <v>150</v>
      </c>
      <c r="D290" s="8" t="s">
        <v>603</v>
      </c>
      <c r="E290" s="8">
        <v>2910540</v>
      </c>
    </row>
    <row r="291" spans="1:5" x14ac:dyDescent="0.5">
      <c r="A291" s="7">
        <v>910010</v>
      </c>
      <c r="B291" s="8" t="s">
        <v>577</v>
      </c>
      <c r="C291" s="8">
        <v>100</v>
      </c>
      <c r="D291" s="8" t="s">
        <v>578</v>
      </c>
      <c r="E291" s="8" t="s">
        <v>579</v>
      </c>
    </row>
    <row r="292" spans="1:5" x14ac:dyDescent="0.5">
      <c r="A292" s="7">
        <v>910060</v>
      </c>
      <c r="B292" s="8" t="s">
        <v>581</v>
      </c>
      <c r="C292" s="8">
        <v>100</v>
      </c>
      <c r="D292" s="8" t="s">
        <v>578</v>
      </c>
      <c r="E292" s="8" t="s">
        <v>579</v>
      </c>
    </row>
    <row r="293" spans="1:5" x14ac:dyDescent="0.5">
      <c r="A293" s="7">
        <v>910110</v>
      </c>
      <c r="B293" s="8" t="s">
        <v>730</v>
      </c>
      <c r="C293" s="8">
        <v>102</v>
      </c>
      <c r="D293" s="8" t="s">
        <v>731</v>
      </c>
      <c r="E293" s="8">
        <v>2010110</v>
      </c>
    </row>
    <row r="294" spans="1:5" x14ac:dyDescent="0.5">
      <c r="A294" s="7">
        <v>910170</v>
      </c>
      <c r="B294" s="8" t="s">
        <v>732</v>
      </c>
      <c r="C294" s="8">
        <v>108</v>
      </c>
      <c r="D294" s="8" t="s">
        <v>733</v>
      </c>
      <c r="E294" s="8">
        <v>1810170</v>
      </c>
    </row>
    <row r="295" spans="1:5" x14ac:dyDescent="0.5">
      <c r="A295" s="7">
        <v>910190</v>
      </c>
      <c r="B295" s="8" t="s">
        <v>702</v>
      </c>
      <c r="C295" s="8">
        <v>110</v>
      </c>
      <c r="D295" s="8" t="s">
        <v>703</v>
      </c>
      <c r="E295" s="8">
        <v>1210190</v>
      </c>
    </row>
    <row r="296" spans="1:5" x14ac:dyDescent="0.5">
      <c r="A296" s="7">
        <v>910200</v>
      </c>
      <c r="B296" s="8" t="s">
        <v>734</v>
      </c>
      <c r="C296" s="8">
        <v>111</v>
      </c>
      <c r="D296" s="8" t="s">
        <v>735</v>
      </c>
      <c r="E296" s="8">
        <v>1210200</v>
      </c>
    </row>
    <row r="297" spans="1:5" x14ac:dyDescent="0.5">
      <c r="A297" s="7">
        <v>910450</v>
      </c>
      <c r="B297" s="8" t="s">
        <v>599</v>
      </c>
      <c r="C297" s="8">
        <v>135</v>
      </c>
      <c r="D297" s="8" t="s">
        <v>600</v>
      </c>
      <c r="E297" s="8">
        <v>910450</v>
      </c>
    </row>
    <row r="298" spans="1:5" x14ac:dyDescent="0.5">
      <c r="A298" s="7">
        <v>910460</v>
      </c>
      <c r="B298" s="8" t="s">
        <v>601</v>
      </c>
      <c r="C298" s="8">
        <v>139</v>
      </c>
      <c r="D298" s="8" t="s">
        <v>602</v>
      </c>
      <c r="E298" s="8">
        <v>2110460</v>
      </c>
    </row>
    <row r="299" spans="1:5" x14ac:dyDescent="0.5">
      <c r="A299" s="7">
        <v>910470</v>
      </c>
      <c r="B299" s="8" t="s">
        <v>771</v>
      </c>
      <c r="C299" s="8">
        <v>140</v>
      </c>
      <c r="D299" s="8" t="s">
        <v>772</v>
      </c>
      <c r="E299" s="8">
        <v>910470</v>
      </c>
    </row>
    <row r="300" spans="1:5" x14ac:dyDescent="0.5">
      <c r="A300" s="7">
        <v>910531</v>
      </c>
      <c r="B300" s="8" t="s">
        <v>264</v>
      </c>
      <c r="C300" s="8">
        <v>150</v>
      </c>
      <c r="D300" s="8" t="s">
        <v>603</v>
      </c>
      <c r="E300" s="8">
        <v>2910540</v>
      </c>
    </row>
    <row r="301" spans="1:5" x14ac:dyDescent="0.5">
      <c r="A301" s="7">
        <v>910532</v>
      </c>
      <c r="B301" s="8" t="s">
        <v>763</v>
      </c>
      <c r="C301" s="8">
        <v>149</v>
      </c>
      <c r="D301" s="8" t="s">
        <v>764</v>
      </c>
      <c r="E301" s="8">
        <v>2810540</v>
      </c>
    </row>
    <row r="302" spans="1:5" x14ac:dyDescent="0.5">
      <c r="A302" s="7">
        <v>910550</v>
      </c>
      <c r="B302" s="8" t="s">
        <v>604</v>
      </c>
      <c r="C302" s="8">
        <v>151</v>
      </c>
      <c r="D302" s="8" t="s">
        <v>605</v>
      </c>
      <c r="E302" s="8">
        <v>2010550</v>
      </c>
    </row>
    <row r="303" spans="1:5" x14ac:dyDescent="0.5">
      <c r="A303" s="7">
        <v>910560</v>
      </c>
      <c r="B303" s="8" t="s">
        <v>606</v>
      </c>
      <c r="C303" s="8">
        <v>154</v>
      </c>
      <c r="D303" s="8" t="s">
        <v>607</v>
      </c>
      <c r="E303" s="8">
        <v>110560</v>
      </c>
    </row>
    <row r="304" spans="1:5" x14ac:dyDescent="0.5">
      <c r="A304" s="7">
        <v>910610</v>
      </c>
      <c r="B304" s="8" t="s">
        <v>746</v>
      </c>
      <c r="C304" s="8">
        <v>163</v>
      </c>
      <c r="D304" s="8" t="s">
        <v>747</v>
      </c>
      <c r="E304" s="8">
        <v>2910610</v>
      </c>
    </row>
    <row r="305" spans="1:5" x14ac:dyDescent="0.5">
      <c r="A305" s="7">
        <v>910620</v>
      </c>
      <c r="B305" s="8" t="s">
        <v>748</v>
      </c>
      <c r="C305" s="8">
        <v>164</v>
      </c>
      <c r="D305" s="8" t="s">
        <v>749</v>
      </c>
      <c r="E305" s="8">
        <v>1610620</v>
      </c>
    </row>
    <row r="306" spans="1:5" x14ac:dyDescent="0.5">
      <c r="A306" s="7">
        <v>910650</v>
      </c>
      <c r="B306" s="8" t="s">
        <v>612</v>
      </c>
      <c r="C306" s="8">
        <v>167</v>
      </c>
      <c r="D306" s="8" t="s">
        <v>613</v>
      </c>
      <c r="E306" s="8">
        <v>810650</v>
      </c>
    </row>
    <row r="307" spans="1:5" x14ac:dyDescent="0.5">
      <c r="A307" s="7">
        <v>910790</v>
      </c>
      <c r="B307" s="8" t="s">
        <v>753</v>
      </c>
      <c r="C307" s="8">
        <v>177</v>
      </c>
      <c r="D307" s="8" t="s">
        <v>754</v>
      </c>
      <c r="E307" s="8">
        <v>1710790</v>
      </c>
    </row>
    <row r="308" spans="1:5" x14ac:dyDescent="0.5">
      <c r="A308" s="7">
        <v>910800</v>
      </c>
      <c r="B308" s="8" t="s">
        <v>616</v>
      </c>
      <c r="C308" s="8">
        <v>178</v>
      </c>
      <c r="D308" s="8" t="s">
        <v>617</v>
      </c>
      <c r="E308" s="8">
        <v>910800</v>
      </c>
    </row>
    <row r="309" spans="1:5" x14ac:dyDescent="0.5">
      <c r="A309" s="7">
        <v>910810</v>
      </c>
      <c r="B309" s="8" t="s">
        <v>756</v>
      </c>
      <c r="C309" s="8">
        <v>183</v>
      </c>
      <c r="D309" s="8" t="s">
        <v>712</v>
      </c>
      <c r="E309" s="8">
        <v>1210810</v>
      </c>
    </row>
    <row r="310" spans="1:5" x14ac:dyDescent="0.5">
      <c r="A310" s="7">
        <v>911060</v>
      </c>
      <c r="B310" s="8" t="s">
        <v>622</v>
      </c>
      <c r="C310" s="8">
        <v>204</v>
      </c>
      <c r="D310" s="8" t="s">
        <v>623</v>
      </c>
      <c r="E310" s="8">
        <v>911060</v>
      </c>
    </row>
    <row r="311" spans="1:5" x14ac:dyDescent="0.5">
      <c r="A311" s="7">
        <v>911230</v>
      </c>
      <c r="B311" s="8" t="s">
        <v>625</v>
      </c>
      <c r="C311" s="8">
        <v>218</v>
      </c>
      <c r="D311" s="8" t="s">
        <v>626</v>
      </c>
      <c r="E311" s="8">
        <v>811230</v>
      </c>
    </row>
    <row r="312" spans="1:5" x14ac:dyDescent="0.5">
      <c r="A312" s="7">
        <v>911240</v>
      </c>
      <c r="B312" s="8" t="s">
        <v>627</v>
      </c>
      <c r="C312" s="8">
        <v>219</v>
      </c>
      <c r="D312" s="8" t="s">
        <v>628</v>
      </c>
      <c r="E312" s="8">
        <v>1811240</v>
      </c>
    </row>
    <row r="313" spans="1:5" x14ac:dyDescent="0.5">
      <c r="A313" s="7">
        <v>911250</v>
      </c>
      <c r="B313" s="8" t="s">
        <v>629</v>
      </c>
      <c r="C313" s="8">
        <v>220</v>
      </c>
      <c r="D313" s="8" t="s">
        <v>630</v>
      </c>
      <c r="E313" s="8">
        <v>1011250</v>
      </c>
    </row>
    <row r="314" spans="1:5" x14ac:dyDescent="0.5">
      <c r="A314" s="7">
        <v>911260</v>
      </c>
      <c r="B314" s="8" t="s">
        <v>631</v>
      </c>
      <c r="C314" s="8">
        <v>222</v>
      </c>
      <c r="D314" s="8" t="s">
        <v>632</v>
      </c>
      <c r="E314" s="8">
        <v>2111260</v>
      </c>
    </row>
    <row r="315" spans="1:5" x14ac:dyDescent="0.5">
      <c r="A315" s="7">
        <v>911270</v>
      </c>
      <c r="B315" s="8" t="s">
        <v>765</v>
      </c>
      <c r="C315" s="8">
        <v>224</v>
      </c>
      <c r="D315" s="8" t="s">
        <v>766</v>
      </c>
      <c r="E315" s="8">
        <v>1711270</v>
      </c>
    </row>
    <row r="316" spans="1:5" x14ac:dyDescent="0.5">
      <c r="A316" s="7">
        <v>911340</v>
      </c>
      <c r="B316" s="8" t="s">
        <v>773</v>
      </c>
      <c r="C316" s="8">
        <v>231</v>
      </c>
      <c r="D316" s="8" t="s">
        <v>774</v>
      </c>
      <c r="E316" s="8">
        <v>811340</v>
      </c>
    </row>
    <row r="317" spans="1:5" x14ac:dyDescent="0.5">
      <c r="A317" s="7">
        <v>911350</v>
      </c>
      <c r="B317" s="8" t="s">
        <v>767</v>
      </c>
      <c r="C317" s="8">
        <v>232</v>
      </c>
      <c r="D317" s="8" t="s">
        <v>768</v>
      </c>
      <c r="E317" s="8">
        <v>2411350</v>
      </c>
    </row>
    <row r="318" spans="1:5" x14ac:dyDescent="0.5">
      <c r="A318" s="7">
        <v>911390</v>
      </c>
      <c r="B318" s="8" t="s">
        <v>775</v>
      </c>
      <c r="C318" s="8">
        <v>236</v>
      </c>
      <c r="D318" s="8" t="s">
        <v>776</v>
      </c>
      <c r="E318" s="8">
        <v>2011390</v>
      </c>
    </row>
    <row r="319" spans="1:5" x14ac:dyDescent="0.5">
      <c r="A319" s="7">
        <v>911400</v>
      </c>
      <c r="B319" s="8" t="s">
        <v>781</v>
      </c>
      <c r="C319" s="8">
        <v>238</v>
      </c>
      <c r="D319" s="8" t="s">
        <v>782</v>
      </c>
      <c r="E319" s="8">
        <v>2911400</v>
      </c>
    </row>
    <row r="320" spans="1:5" x14ac:dyDescent="0.5">
      <c r="A320" s="7">
        <v>911420</v>
      </c>
      <c r="B320" s="8" t="s">
        <v>777</v>
      </c>
      <c r="C320" s="8">
        <v>240</v>
      </c>
      <c r="D320" s="8" t="s">
        <v>778</v>
      </c>
      <c r="E320" s="8">
        <v>811420</v>
      </c>
    </row>
    <row r="321" spans="1:5" x14ac:dyDescent="0.5">
      <c r="A321" s="7">
        <v>911430</v>
      </c>
      <c r="B321" s="8" t="s">
        <v>783</v>
      </c>
      <c r="C321" s="8">
        <v>241</v>
      </c>
      <c r="D321" s="8" t="s">
        <v>784</v>
      </c>
      <c r="E321" s="8">
        <v>2811430</v>
      </c>
    </row>
    <row r="322" spans="1:5" x14ac:dyDescent="0.5">
      <c r="A322" s="7">
        <v>911450</v>
      </c>
      <c r="B322" s="8" t="s">
        <v>785</v>
      </c>
      <c r="C322" s="8">
        <v>243</v>
      </c>
      <c r="D322" s="8" t="s">
        <v>786</v>
      </c>
      <c r="E322" s="8">
        <v>2911450</v>
      </c>
    </row>
    <row r="323" spans="1:5" x14ac:dyDescent="0.5">
      <c r="A323" s="7">
        <v>911530</v>
      </c>
      <c r="B323" s="8" t="s">
        <v>761</v>
      </c>
      <c r="C323" s="8">
        <v>250</v>
      </c>
      <c r="D323" s="8" t="s">
        <v>762</v>
      </c>
      <c r="E323" s="8">
        <v>1211530</v>
      </c>
    </row>
    <row r="324" spans="1:5" x14ac:dyDescent="0.5">
      <c r="A324" s="7">
        <v>911540</v>
      </c>
      <c r="B324" s="8" t="s">
        <v>635</v>
      </c>
      <c r="C324" s="8">
        <v>259</v>
      </c>
      <c r="D324" s="8" t="s">
        <v>636</v>
      </c>
      <c r="E324" s="8">
        <v>2811590</v>
      </c>
    </row>
    <row r="325" spans="1:5" x14ac:dyDescent="0.5">
      <c r="A325" s="7">
        <v>911590</v>
      </c>
      <c r="B325" s="8" t="s">
        <v>779</v>
      </c>
      <c r="C325" s="8">
        <v>259</v>
      </c>
      <c r="D325" s="8" t="s">
        <v>636</v>
      </c>
      <c r="E325" s="8">
        <v>2811590</v>
      </c>
    </row>
    <row r="326" spans="1:5" x14ac:dyDescent="0.5">
      <c r="A326" s="7">
        <v>911600</v>
      </c>
      <c r="B326" s="8" t="s">
        <v>780</v>
      </c>
      <c r="C326" s="8">
        <v>259</v>
      </c>
      <c r="D326" s="8" t="s">
        <v>636</v>
      </c>
      <c r="E326" s="8">
        <v>2811590</v>
      </c>
    </row>
    <row r="327" spans="1:5" x14ac:dyDescent="0.5">
      <c r="A327" s="7">
        <v>911610</v>
      </c>
      <c r="B327" s="8" t="s">
        <v>787</v>
      </c>
      <c r="C327" s="8">
        <v>260</v>
      </c>
      <c r="D327" s="8" t="s">
        <v>788</v>
      </c>
      <c r="E327" s="8">
        <v>1011610</v>
      </c>
    </row>
    <row r="328" spans="1:5" x14ac:dyDescent="0.5">
      <c r="A328" s="7">
        <v>911650</v>
      </c>
      <c r="B328" s="8" t="s">
        <v>645</v>
      </c>
      <c r="C328" s="8">
        <v>264</v>
      </c>
      <c r="D328" s="8" t="s">
        <v>789</v>
      </c>
      <c r="E328" s="8">
        <v>911650</v>
      </c>
    </row>
    <row r="329" spans="1:5" x14ac:dyDescent="0.5">
      <c r="A329" s="7">
        <v>911660</v>
      </c>
      <c r="B329" s="8" t="s">
        <v>790</v>
      </c>
      <c r="C329" s="8">
        <v>265</v>
      </c>
      <c r="D329" s="8" t="s">
        <v>791</v>
      </c>
      <c r="E329" s="8">
        <v>2111660</v>
      </c>
    </row>
    <row r="330" spans="1:5" x14ac:dyDescent="0.5">
      <c r="A330" s="7">
        <v>911670</v>
      </c>
      <c r="B330" s="8" t="s">
        <v>646</v>
      </c>
      <c r="C330" s="8">
        <v>266</v>
      </c>
      <c r="D330" s="8" t="s">
        <v>647</v>
      </c>
      <c r="E330" s="8">
        <v>711670</v>
      </c>
    </row>
    <row r="331" spans="1:5" x14ac:dyDescent="0.5">
      <c r="A331" s="7">
        <v>1010010</v>
      </c>
      <c r="B331" s="8" t="s">
        <v>577</v>
      </c>
      <c r="C331" s="8">
        <v>100</v>
      </c>
      <c r="D331" s="8" t="s">
        <v>578</v>
      </c>
      <c r="E331" s="8" t="s">
        <v>579</v>
      </c>
    </row>
    <row r="332" spans="1:5" x14ac:dyDescent="0.5">
      <c r="A332" s="7">
        <v>1010060</v>
      </c>
      <c r="B332" s="8" t="s">
        <v>581</v>
      </c>
      <c r="C332" s="8">
        <v>100</v>
      </c>
      <c r="D332" s="8" t="s">
        <v>578</v>
      </c>
      <c r="E332" s="8" t="s">
        <v>579</v>
      </c>
    </row>
    <row r="333" spans="1:5" x14ac:dyDescent="0.5">
      <c r="A333" s="7">
        <v>1010110</v>
      </c>
      <c r="B333" s="8" t="s">
        <v>730</v>
      </c>
      <c r="C333" s="8">
        <v>102</v>
      </c>
      <c r="D333" s="8" t="s">
        <v>731</v>
      </c>
      <c r="E333" s="8">
        <v>2010110</v>
      </c>
    </row>
    <row r="334" spans="1:5" x14ac:dyDescent="0.5">
      <c r="A334" s="7">
        <v>1010451</v>
      </c>
      <c r="B334" s="8" t="s">
        <v>792</v>
      </c>
      <c r="C334" s="8">
        <v>135</v>
      </c>
      <c r="D334" s="8" t="s">
        <v>600</v>
      </c>
      <c r="E334" s="8">
        <v>910450</v>
      </c>
    </row>
    <row r="335" spans="1:5" x14ac:dyDescent="0.5">
      <c r="A335" s="7">
        <v>1010452</v>
      </c>
      <c r="B335" s="8" t="s">
        <v>793</v>
      </c>
      <c r="C335" s="8">
        <v>136</v>
      </c>
      <c r="D335" s="8" t="s">
        <v>794</v>
      </c>
      <c r="E335" s="8">
        <v>1010452</v>
      </c>
    </row>
    <row r="336" spans="1:5" x14ac:dyDescent="0.5">
      <c r="A336" s="7">
        <v>1010453</v>
      </c>
      <c r="B336" s="8" t="s">
        <v>795</v>
      </c>
      <c r="C336" s="8">
        <v>137</v>
      </c>
      <c r="D336" s="8" t="s">
        <v>796</v>
      </c>
      <c r="E336" s="8">
        <v>1010453</v>
      </c>
    </row>
    <row r="337" spans="1:5" x14ac:dyDescent="0.5">
      <c r="A337" s="7">
        <v>1010460</v>
      </c>
      <c r="B337" s="8" t="s">
        <v>601</v>
      </c>
      <c r="C337" s="8">
        <v>139</v>
      </c>
      <c r="D337" s="8" t="s">
        <v>602</v>
      </c>
      <c r="E337" s="8">
        <v>2110460</v>
      </c>
    </row>
    <row r="338" spans="1:5" x14ac:dyDescent="0.5">
      <c r="A338" s="7">
        <v>1010471</v>
      </c>
      <c r="B338" s="8" t="s">
        <v>771</v>
      </c>
      <c r="C338" s="8">
        <v>141</v>
      </c>
      <c r="D338" s="8" t="s">
        <v>797</v>
      </c>
      <c r="E338" s="8">
        <v>1010471</v>
      </c>
    </row>
    <row r="339" spans="1:5" x14ac:dyDescent="0.5">
      <c r="A339" s="7">
        <v>1010472</v>
      </c>
      <c r="B339" s="8" t="s">
        <v>798</v>
      </c>
      <c r="C339" s="8">
        <v>142</v>
      </c>
      <c r="D339" s="8" t="s">
        <v>799</v>
      </c>
      <c r="E339" s="8">
        <v>1010472</v>
      </c>
    </row>
    <row r="340" spans="1:5" x14ac:dyDescent="0.5">
      <c r="A340" s="7">
        <v>1010530</v>
      </c>
      <c r="B340" s="8" t="s">
        <v>800</v>
      </c>
      <c r="C340" s="8">
        <v>150</v>
      </c>
      <c r="D340" s="8" t="s">
        <v>603</v>
      </c>
      <c r="E340" s="8">
        <v>2910540</v>
      </c>
    </row>
    <row r="341" spans="1:5" x14ac:dyDescent="0.5">
      <c r="A341" s="7">
        <v>1010550</v>
      </c>
      <c r="B341" s="8" t="s">
        <v>604</v>
      </c>
      <c r="C341" s="8">
        <v>153</v>
      </c>
      <c r="D341" s="8" t="s">
        <v>801</v>
      </c>
      <c r="E341" s="8">
        <v>2910550</v>
      </c>
    </row>
    <row r="342" spans="1:5" x14ac:dyDescent="0.5">
      <c r="A342" s="7">
        <v>1010560</v>
      </c>
      <c r="B342" s="8" t="s">
        <v>606</v>
      </c>
      <c r="C342" s="8">
        <v>155</v>
      </c>
      <c r="D342" s="8" t="s">
        <v>802</v>
      </c>
      <c r="E342" s="8">
        <v>1910560</v>
      </c>
    </row>
    <row r="343" spans="1:5" x14ac:dyDescent="0.5">
      <c r="A343" s="7">
        <v>1010620</v>
      </c>
      <c r="B343" s="8" t="s">
        <v>748</v>
      </c>
      <c r="C343" s="8">
        <v>164</v>
      </c>
      <c r="D343" s="8" t="s">
        <v>749</v>
      </c>
      <c r="E343" s="8">
        <v>1610620</v>
      </c>
    </row>
    <row r="344" spans="1:5" x14ac:dyDescent="0.5">
      <c r="A344" s="7">
        <v>1010650</v>
      </c>
      <c r="B344" s="8" t="s">
        <v>612</v>
      </c>
      <c r="C344" s="8">
        <v>167</v>
      </c>
      <c r="D344" s="8" t="s">
        <v>613</v>
      </c>
      <c r="E344" s="8">
        <v>810650</v>
      </c>
    </row>
    <row r="345" spans="1:5" x14ac:dyDescent="0.5">
      <c r="A345" s="7">
        <v>1010700</v>
      </c>
      <c r="B345" s="8" t="s">
        <v>803</v>
      </c>
      <c r="C345" s="8">
        <v>170</v>
      </c>
      <c r="D345" s="8" t="s">
        <v>752</v>
      </c>
      <c r="E345" s="8">
        <v>2110700</v>
      </c>
    </row>
    <row r="346" spans="1:5" x14ac:dyDescent="0.5">
      <c r="A346" s="7">
        <v>1010790</v>
      </c>
      <c r="B346" s="8" t="s">
        <v>753</v>
      </c>
      <c r="C346" s="8">
        <v>177</v>
      </c>
      <c r="D346" s="8" t="s">
        <v>754</v>
      </c>
      <c r="E346" s="8">
        <v>1710790</v>
      </c>
    </row>
    <row r="347" spans="1:5" x14ac:dyDescent="0.5">
      <c r="A347" s="7">
        <v>1010800</v>
      </c>
      <c r="B347" s="8" t="s">
        <v>616</v>
      </c>
      <c r="C347" s="8">
        <v>182</v>
      </c>
      <c r="D347" s="8" t="s">
        <v>755</v>
      </c>
      <c r="E347" s="8">
        <v>3110800</v>
      </c>
    </row>
    <row r="348" spans="1:5" x14ac:dyDescent="0.5">
      <c r="A348" s="7">
        <v>1011060</v>
      </c>
      <c r="B348" s="8" t="s">
        <v>622</v>
      </c>
      <c r="C348" s="8">
        <v>205</v>
      </c>
      <c r="D348" s="8" t="s">
        <v>804</v>
      </c>
      <c r="E348" s="8">
        <v>1911060</v>
      </c>
    </row>
    <row r="349" spans="1:5" x14ac:dyDescent="0.5">
      <c r="A349" s="7">
        <v>1011150</v>
      </c>
      <c r="B349" s="8" t="s">
        <v>805</v>
      </c>
      <c r="C349" s="8">
        <v>212</v>
      </c>
      <c r="D349" s="8" t="s">
        <v>806</v>
      </c>
      <c r="E349" s="8">
        <v>1711150</v>
      </c>
    </row>
    <row r="350" spans="1:5" x14ac:dyDescent="0.5">
      <c r="A350" s="7">
        <v>1011230</v>
      </c>
      <c r="B350" s="8" t="s">
        <v>625</v>
      </c>
      <c r="C350" s="8">
        <v>218</v>
      </c>
      <c r="D350" s="8" t="s">
        <v>626</v>
      </c>
      <c r="E350" s="8">
        <v>811230</v>
      </c>
    </row>
    <row r="351" spans="1:5" x14ac:dyDescent="0.5">
      <c r="A351" s="7">
        <v>1011240</v>
      </c>
      <c r="B351" s="8" t="s">
        <v>627</v>
      </c>
      <c r="C351" s="8">
        <v>219</v>
      </c>
      <c r="D351" s="8" t="s">
        <v>628</v>
      </c>
      <c r="E351" s="8">
        <v>1811240</v>
      </c>
    </row>
    <row r="352" spans="1:5" x14ac:dyDescent="0.5">
      <c r="A352" s="7">
        <v>1011250</v>
      </c>
      <c r="B352" s="8" t="s">
        <v>629</v>
      </c>
      <c r="C352" s="8">
        <v>220</v>
      </c>
      <c r="D352" s="8" t="s">
        <v>630</v>
      </c>
      <c r="E352" s="8">
        <v>1011250</v>
      </c>
    </row>
    <row r="353" spans="1:5" x14ac:dyDescent="0.5">
      <c r="A353" s="7">
        <v>1011260</v>
      </c>
      <c r="B353" s="8" t="s">
        <v>631</v>
      </c>
      <c r="C353" s="8">
        <v>222</v>
      </c>
      <c r="D353" s="8" t="s">
        <v>632</v>
      </c>
      <c r="E353" s="8">
        <v>2111260</v>
      </c>
    </row>
    <row r="354" spans="1:5" x14ac:dyDescent="0.5">
      <c r="A354" s="7">
        <v>1011270</v>
      </c>
      <c r="B354" s="8" t="s">
        <v>765</v>
      </c>
      <c r="C354" s="8">
        <v>224</v>
      </c>
      <c r="D354" s="8" t="s">
        <v>766</v>
      </c>
      <c r="E354" s="8">
        <v>1711270</v>
      </c>
    </row>
    <row r="355" spans="1:5" x14ac:dyDescent="0.5">
      <c r="A355" s="7">
        <v>1011340</v>
      </c>
      <c r="B355" s="8" t="s">
        <v>773</v>
      </c>
      <c r="C355" s="8">
        <v>231</v>
      </c>
      <c r="D355" s="8" t="s">
        <v>774</v>
      </c>
      <c r="E355" s="8">
        <v>811340</v>
      </c>
    </row>
    <row r="356" spans="1:5" x14ac:dyDescent="0.5">
      <c r="A356" s="7">
        <v>1011350</v>
      </c>
      <c r="B356" s="8" t="s">
        <v>767</v>
      </c>
      <c r="C356" s="8">
        <v>232</v>
      </c>
      <c r="D356" s="8" t="s">
        <v>768</v>
      </c>
      <c r="E356" s="8">
        <v>2411350</v>
      </c>
    </row>
    <row r="357" spans="1:5" x14ac:dyDescent="0.5">
      <c r="A357" s="7">
        <v>1011390</v>
      </c>
      <c r="B357" s="8" t="s">
        <v>775</v>
      </c>
      <c r="C357" s="8">
        <v>236</v>
      </c>
      <c r="D357" s="8" t="s">
        <v>776</v>
      </c>
      <c r="E357" s="8">
        <v>2011390</v>
      </c>
    </row>
    <row r="358" spans="1:5" x14ac:dyDescent="0.5">
      <c r="A358" s="7">
        <v>1011400</v>
      </c>
      <c r="B358" s="8" t="s">
        <v>781</v>
      </c>
      <c r="C358" s="8">
        <v>238</v>
      </c>
      <c r="D358" s="8" t="s">
        <v>782</v>
      </c>
      <c r="E358" s="8">
        <v>2911400</v>
      </c>
    </row>
    <row r="359" spans="1:5" x14ac:dyDescent="0.5">
      <c r="A359" s="7">
        <v>1011420</v>
      </c>
      <c r="B359" s="8" t="s">
        <v>777</v>
      </c>
      <c r="C359" s="8">
        <v>240</v>
      </c>
      <c r="D359" s="8" t="s">
        <v>778</v>
      </c>
      <c r="E359" s="8">
        <v>811420</v>
      </c>
    </row>
    <row r="360" spans="1:5" x14ac:dyDescent="0.5">
      <c r="A360" s="7">
        <v>1011450</v>
      </c>
      <c r="B360" s="8" t="s">
        <v>785</v>
      </c>
      <c r="C360" s="8">
        <v>243</v>
      </c>
      <c r="D360" s="8" t="s">
        <v>786</v>
      </c>
      <c r="E360" s="8">
        <v>2911450</v>
      </c>
    </row>
    <row r="361" spans="1:5" x14ac:dyDescent="0.5">
      <c r="A361" s="7">
        <v>1011530</v>
      </c>
      <c r="B361" s="8" t="s">
        <v>761</v>
      </c>
      <c r="C361" s="8">
        <v>250</v>
      </c>
      <c r="D361" s="8" t="s">
        <v>762</v>
      </c>
      <c r="E361" s="8">
        <v>1211530</v>
      </c>
    </row>
    <row r="362" spans="1:5" x14ac:dyDescent="0.5">
      <c r="A362" s="7">
        <v>1011540</v>
      </c>
      <c r="B362" s="8" t="s">
        <v>635</v>
      </c>
      <c r="C362" s="8">
        <v>259</v>
      </c>
      <c r="D362" s="8" t="s">
        <v>636</v>
      </c>
      <c r="E362" s="8">
        <v>2811590</v>
      </c>
    </row>
    <row r="363" spans="1:5" x14ac:dyDescent="0.5">
      <c r="A363" s="7">
        <v>1011590</v>
      </c>
      <c r="B363" s="8" t="s">
        <v>779</v>
      </c>
      <c r="C363" s="8">
        <v>259</v>
      </c>
      <c r="D363" s="8" t="s">
        <v>636</v>
      </c>
      <c r="E363" s="8">
        <v>2811590</v>
      </c>
    </row>
    <row r="364" spans="1:5" x14ac:dyDescent="0.5">
      <c r="A364" s="7">
        <v>1011600</v>
      </c>
      <c r="B364" s="8" t="s">
        <v>780</v>
      </c>
      <c r="C364" s="8">
        <v>259</v>
      </c>
      <c r="D364" s="8" t="s">
        <v>636</v>
      </c>
      <c r="E364" s="8">
        <v>2811590</v>
      </c>
    </row>
    <row r="365" spans="1:5" x14ac:dyDescent="0.5">
      <c r="A365" s="7">
        <v>1011610</v>
      </c>
      <c r="B365" s="8" t="s">
        <v>787</v>
      </c>
      <c r="C365" s="8">
        <v>260</v>
      </c>
      <c r="D365" s="8" t="s">
        <v>788</v>
      </c>
      <c r="E365" s="8">
        <v>1011610</v>
      </c>
    </row>
    <row r="366" spans="1:5" x14ac:dyDescent="0.5">
      <c r="A366" s="7">
        <v>1011660</v>
      </c>
      <c r="B366" s="8" t="s">
        <v>790</v>
      </c>
      <c r="C366" s="8">
        <v>265</v>
      </c>
      <c r="D366" s="8" t="s">
        <v>791</v>
      </c>
      <c r="E366" s="8">
        <v>2111660</v>
      </c>
    </row>
    <row r="367" spans="1:5" x14ac:dyDescent="0.5">
      <c r="A367" s="7">
        <v>1011670</v>
      </c>
      <c r="B367" s="8" t="s">
        <v>646</v>
      </c>
      <c r="C367" s="8">
        <v>267</v>
      </c>
      <c r="D367" s="8" t="s">
        <v>807</v>
      </c>
      <c r="E367" s="8">
        <v>2111670</v>
      </c>
    </row>
    <row r="368" spans="1:5" x14ac:dyDescent="0.5">
      <c r="A368" s="7">
        <v>1210010</v>
      </c>
      <c r="B368" s="8" t="s">
        <v>577</v>
      </c>
      <c r="C368" s="8">
        <v>100</v>
      </c>
      <c r="D368" s="8" t="s">
        <v>578</v>
      </c>
      <c r="E368" s="8" t="s">
        <v>579</v>
      </c>
    </row>
    <row r="369" spans="1:5" x14ac:dyDescent="0.5">
      <c r="A369" s="7">
        <v>1210040</v>
      </c>
      <c r="B369" s="8" t="s">
        <v>699</v>
      </c>
      <c r="C369" s="8">
        <v>100</v>
      </c>
      <c r="D369" s="8" t="s">
        <v>578</v>
      </c>
      <c r="E369" s="8" t="s">
        <v>579</v>
      </c>
    </row>
    <row r="370" spans="1:5" x14ac:dyDescent="0.5">
      <c r="A370" s="7">
        <v>1210060</v>
      </c>
      <c r="B370" s="8" t="s">
        <v>581</v>
      </c>
      <c r="C370" s="8">
        <v>100</v>
      </c>
      <c r="D370" s="8" t="s">
        <v>578</v>
      </c>
      <c r="E370" s="8" t="s">
        <v>579</v>
      </c>
    </row>
    <row r="371" spans="1:5" x14ac:dyDescent="0.5">
      <c r="A371" s="7">
        <v>1210110</v>
      </c>
      <c r="B371" s="8" t="s">
        <v>730</v>
      </c>
      <c r="C371" s="8">
        <v>102</v>
      </c>
      <c r="D371" s="8" t="s">
        <v>731</v>
      </c>
      <c r="E371" s="8">
        <v>2010110</v>
      </c>
    </row>
    <row r="372" spans="1:5" x14ac:dyDescent="0.5">
      <c r="A372" s="7">
        <v>1210170</v>
      </c>
      <c r="B372" s="8" t="s">
        <v>732</v>
      </c>
      <c r="C372" s="8">
        <v>108</v>
      </c>
      <c r="D372" s="8" t="s">
        <v>733</v>
      </c>
      <c r="E372" s="8">
        <v>1810170</v>
      </c>
    </row>
    <row r="373" spans="1:5" x14ac:dyDescent="0.5">
      <c r="A373" s="7">
        <v>1210190</v>
      </c>
      <c r="B373" s="8" t="s">
        <v>702</v>
      </c>
      <c r="C373" s="8">
        <v>110</v>
      </c>
      <c r="D373" s="8" t="s">
        <v>703</v>
      </c>
      <c r="E373" s="8">
        <v>1210190</v>
      </c>
    </row>
    <row r="374" spans="1:5" x14ac:dyDescent="0.5">
      <c r="A374" s="7">
        <v>1210200</v>
      </c>
      <c r="B374" s="8" t="s">
        <v>734</v>
      </c>
      <c r="C374" s="8">
        <v>111</v>
      </c>
      <c r="D374" s="8" t="s">
        <v>735</v>
      </c>
      <c r="E374" s="8">
        <v>1210200</v>
      </c>
    </row>
    <row r="375" spans="1:5" x14ac:dyDescent="0.5">
      <c r="A375" s="7">
        <v>1210280</v>
      </c>
      <c r="B375" s="8" t="s">
        <v>118</v>
      </c>
      <c r="C375" s="8">
        <v>117</v>
      </c>
      <c r="D375" s="8" t="s">
        <v>660</v>
      </c>
      <c r="E375" s="8">
        <v>410280</v>
      </c>
    </row>
    <row r="376" spans="1:5" x14ac:dyDescent="0.5">
      <c r="A376" s="7">
        <v>1210290</v>
      </c>
      <c r="B376" s="8" t="s">
        <v>178</v>
      </c>
      <c r="C376" s="8">
        <v>118</v>
      </c>
      <c r="D376" s="8" t="s">
        <v>583</v>
      </c>
      <c r="E376" s="8">
        <v>610290</v>
      </c>
    </row>
    <row r="377" spans="1:5" x14ac:dyDescent="0.5">
      <c r="A377" s="7">
        <v>1210310</v>
      </c>
      <c r="B377" s="8" t="s">
        <v>662</v>
      </c>
      <c r="C377" s="8">
        <v>120</v>
      </c>
      <c r="D377" s="8" t="s">
        <v>663</v>
      </c>
      <c r="E377" s="8">
        <v>210310</v>
      </c>
    </row>
    <row r="378" spans="1:5" x14ac:dyDescent="0.5">
      <c r="A378" s="7">
        <v>1210330</v>
      </c>
      <c r="B378" s="8" t="s">
        <v>675</v>
      </c>
      <c r="C378" s="8">
        <v>139</v>
      </c>
      <c r="D378" s="8" t="s">
        <v>602</v>
      </c>
      <c r="E378" s="8">
        <v>2110460</v>
      </c>
    </row>
    <row r="379" spans="1:5" x14ac:dyDescent="0.5">
      <c r="A379" s="7">
        <v>1210520</v>
      </c>
      <c r="B379" s="8" t="s">
        <v>808</v>
      </c>
      <c r="C379" s="8">
        <v>147</v>
      </c>
      <c r="D379" s="8" t="s">
        <v>809</v>
      </c>
      <c r="E379" s="8">
        <v>1310520</v>
      </c>
    </row>
    <row r="380" spans="1:5" x14ac:dyDescent="0.5">
      <c r="A380" s="7">
        <v>1210570</v>
      </c>
      <c r="B380" s="8" t="s">
        <v>810</v>
      </c>
      <c r="C380" s="8">
        <v>157</v>
      </c>
      <c r="D380" s="8" t="s">
        <v>811</v>
      </c>
      <c r="E380" s="8">
        <v>2810570</v>
      </c>
    </row>
    <row r="381" spans="1:5" x14ac:dyDescent="0.5">
      <c r="A381" s="7">
        <v>1210580</v>
      </c>
      <c r="B381" s="8" t="s">
        <v>272</v>
      </c>
      <c r="C381" s="8">
        <v>158</v>
      </c>
      <c r="D381" s="8" t="s">
        <v>706</v>
      </c>
      <c r="E381" s="8">
        <v>410580</v>
      </c>
    </row>
    <row r="382" spans="1:5" x14ac:dyDescent="0.5">
      <c r="A382" s="7">
        <v>1210620</v>
      </c>
      <c r="B382" s="8" t="s">
        <v>748</v>
      </c>
      <c r="C382" s="8">
        <v>164</v>
      </c>
      <c r="D382" s="8" t="s">
        <v>749</v>
      </c>
      <c r="E382" s="8">
        <v>1610620</v>
      </c>
    </row>
    <row r="383" spans="1:5" x14ac:dyDescent="0.5">
      <c r="A383" s="7">
        <v>1210790</v>
      </c>
      <c r="B383" s="8" t="s">
        <v>753</v>
      </c>
      <c r="C383" s="8">
        <v>177</v>
      </c>
      <c r="D383" s="8" t="s">
        <v>754</v>
      </c>
      <c r="E383" s="8">
        <v>1710790</v>
      </c>
    </row>
    <row r="384" spans="1:5" x14ac:dyDescent="0.5">
      <c r="A384" s="7">
        <v>1210800</v>
      </c>
      <c r="B384" s="8" t="s">
        <v>616</v>
      </c>
      <c r="C384" s="8">
        <v>182</v>
      </c>
      <c r="D384" s="8" t="s">
        <v>755</v>
      </c>
      <c r="E384" s="8">
        <v>3110800</v>
      </c>
    </row>
    <row r="385" spans="1:5" x14ac:dyDescent="0.5">
      <c r="A385" s="7">
        <v>1210810</v>
      </c>
      <c r="B385" s="8" t="s">
        <v>756</v>
      </c>
      <c r="C385" s="8">
        <v>183</v>
      </c>
      <c r="D385" s="8" t="s">
        <v>712</v>
      </c>
      <c r="E385" s="8">
        <v>1210810</v>
      </c>
    </row>
    <row r="386" spans="1:5" x14ac:dyDescent="0.5">
      <c r="A386" s="7">
        <v>1210820</v>
      </c>
      <c r="B386" s="8" t="s">
        <v>707</v>
      </c>
      <c r="C386" s="8">
        <v>184</v>
      </c>
      <c r="D386" s="8" t="s">
        <v>708</v>
      </c>
      <c r="E386" s="8">
        <v>1310820</v>
      </c>
    </row>
    <row r="387" spans="1:5" x14ac:dyDescent="0.5">
      <c r="A387" s="7">
        <v>1210870</v>
      </c>
      <c r="B387" s="8" t="s">
        <v>709</v>
      </c>
      <c r="C387" s="8">
        <v>192</v>
      </c>
      <c r="D387" s="8" t="s">
        <v>710</v>
      </c>
      <c r="E387" s="8">
        <v>1310870</v>
      </c>
    </row>
    <row r="388" spans="1:5" x14ac:dyDescent="0.5">
      <c r="A388" s="7">
        <v>1210880</v>
      </c>
      <c r="B388" s="8" t="s">
        <v>711</v>
      </c>
      <c r="C388" s="8">
        <v>183</v>
      </c>
      <c r="D388" s="8" t="s">
        <v>712</v>
      </c>
      <c r="E388" s="8">
        <v>1210810</v>
      </c>
    </row>
    <row r="389" spans="1:5" x14ac:dyDescent="0.5">
      <c r="A389" s="7">
        <v>1211030</v>
      </c>
      <c r="B389" s="8" t="s">
        <v>757</v>
      </c>
      <c r="C389" s="8">
        <v>203</v>
      </c>
      <c r="D389" s="8" t="s">
        <v>716</v>
      </c>
      <c r="E389" s="8">
        <v>1611030</v>
      </c>
    </row>
    <row r="390" spans="1:5" x14ac:dyDescent="0.5">
      <c r="A390" s="7">
        <v>1211240</v>
      </c>
      <c r="B390" s="8" t="s">
        <v>627</v>
      </c>
      <c r="C390" s="8">
        <v>219</v>
      </c>
      <c r="D390" s="8" t="s">
        <v>628</v>
      </c>
      <c r="E390" s="8">
        <v>1811240</v>
      </c>
    </row>
    <row r="391" spans="1:5" x14ac:dyDescent="0.5">
      <c r="A391" s="7">
        <v>1211250</v>
      </c>
      <c r="B391" s="8" t="s">
        <v>629</v>
      </c>
      <c r="C391" s="8">
        <v>221</v>
      </c>
      <c r="D391" s="8" t="s">
        <v>758</v>
      </c>
      <c r="E391" s="8">
        <v>2911250</v>
      </c>
    </row>
    <row r="392" spans="1:5" x14ac:dyDescent="0.5">
      <c r="A392" s="7">
        <v>1211260</v>
      </c>
      <c r="B392" s="8" t="s">
        <v>631</v>
      </c>
      <c r="C392" s="8">
        <v>222</v>
      </c>
      <c r="D392" s="8" t="s">
        <v>632</v>
      </c>
      <c r="E392" s="8">
        <v>2111260</v>
      </c>
    </row>
    <row r="393" spans="1:5" x14ac:dyDescent="0.5">
      <c r="A393" s="7">
        <v>1211270</v>
      </c>
      <c r="B393" s="8" t="s">
        <v>765</v>
      </c>
      <c r="C393" s="8">
        <v>224</v>
      </c>
      <c r="D393" s="8" t="s">
        <v>766</v>
      </c>
      <c r="E393" s="8">
        <v>1711270</v>
      </c>
    </row>
    <row r="394" spans="1:5" x14ac:dyDescent="0.5">
      <c r="A394" s="7">
        <v>1211350</v>
      </c>
      <c r="B394" s="8" t="s">
        <v>767</v>
      </c>
      <c r="C394" s="8">
        <v>232</v>
      </c>
      <c r="D394" s="8" t="s">
        <v>768</v>
      </c>
      <c r="E394" s="8">
        <v>2411350</v>
      </c>
    </row>
    <row r="395" spans="1:5" x14ac:dyDescent="0.5">
      <c r="A395" s="7">
        <v>1211440</v>
      </c>
      <c r="B395" s="8" t="s">
        <v>812</v>
      </c>
      <c r="C395" s="8">
        <v>242</v>
      </c>
      <c r="D395" s="8" t="s">
        <v>813</v>
      </c>
      <c r="E395" s="8">
        <v>2811430</v>
      </c>
    </row>
    <row r="396" spans="1:5" x14ac:dyDescent="0.5">
      <c r="A396" s="7">
        <v>1211530</v>
      </c>
      <c r="B396" s="8" t="s">
        <v>761</v>
      </c>
      <c r="C396" s="8">
        <v>250</v>
      </c>
      <c r="D396" s="8" t="s">
        <v>762</v>
      </c>
      <c r="E396" s="8">
        <v>1211530</v>
      </c>
    </row>
    <row r="397" spans="1:5" x14ac:dyDescent="0.5">
      <c r="A397" s="7">
        <v>1211540</v>
      </c>
      <c r="B397" s="8" t="s">
        <v>635</v>
      </c>
      <c r="C397" s="8">
        <v>259</v>
      </c>
      <c r="D397" s="8" t="s">
        <v>636</v>
      </c>
      <c r="E397" s="8">
        <v>2811590</v>
      </c>
    </row>
    <row r="398" spans="1:5" x14ac:dyDescent="0.5">
      <c r="A398" s="7">
        <v>1211590</v>
      </c>
      <c r="B398" s="8" t="s">
        <v>779</v>
      </c>
      <c r="C398" s="8">
        <v>259</v>
      </c>
      <c r="D398" s="8" t="s">
        <v>636</v>
      </c>
      <c r="E398" s="8">
        <v>2811590</v>
      </c>
    </row>
    <row r="399" spans="1:5" x14ac:dyDescent="0.5">
      <c r="A399" s="7">
        <v>1211600</v>
      </c>
      <c r="B399" s="8" t="s">
        <v>780</v>
      </c>
      <c r="C399" s="8">
        <v>259</v>
      </c>
      <c r="D399" s="8" t="s">
        <v>636</v>
      </c>
      <c r="E399" s="8">
        <v>2811590</v>
      </c>
    </row>
    <row r="400" spans="1:5" x14ac:dyDescent="0.5">
      <c r="A400" s="7">
        <v>1310010</v>
      </c>
      <c r="B400" s="8" t="s">
        <v>577</v>
      </c>
      <c r="C400" s="8">
        <v>100</v>
      </c>
      <c r="D400" s="8" t="s">
        <v>578</v>
      </c>
      <c r="E400" s="8" t="s">
        <v>579</v>
      </c>
    </row>
    <row r="401" spans="1:5" x14ac:dyDescent="0.5">
      <c r="A401" s="7">
        <v>1310040</v>
      </c>
      <c r="B401" s="8" t="s">
        <v>699</v>
      </c>
      <c r="C401" s="8">
        <v>100</v>
      </c>
      <c r="D401" s="8" t="s">
        <v>578</v>
      </c>
      <c r="E401" s="8" t="s">
        <v>579</v>
      </c>
    </row>
    <row r="402" spans="1:5" x14ac:dyDescent="0.5">
      <c r="A402" s="7">
        <v>1310060</v>
      </c>
      <c r="B402" s="8" t="s">
        <v>581</v>
      </c>
      <c r="C402" s="8">
        <v>100</v>
      </c>
      <c r="D402" s="8" t="s">
        <v>578</v>
      </c>
      <c r="E402" s="8" t="s">
        <v>579</v>
      </c>
    </row>
    <row r="403" spans="1:5" x14ac:dyDescent="0.5">
      <c r="A403" s="7">
        <v>1310160</v>
      </c>
      <c r="B403" s="8" t="s">
        <v>814</v>
      </c>
      <c r="C403" s="8">
        <v>107</v>
      </c>
      <c r="D403" s="8" t="s">
        <v>815</v>
      </c>
      <c r="E403" s="8">
        <v>1410160</v>
      </c>
    </row>
    <row r="404" spans="1:5" x14ac:dyDescent="0.5">
      <c r="A404" s="7">
        <v>1310190</v>
      </c>
      <c r="B404" s="8" t="s">
        <v>702</v>
      </c>
      <c r="C404" s="8">
        <v>110</v>
      </c>
      <c r="D404" s="8" t="s">
        <v>703</v>
      </c>
      <c r="E404" s="8">
        <v>1210190</v>
      </c>
    </row>
    <row r="405" spans="1:5" x14ac:dyDescent="0.5">
      <c r="A405" s="7">
        <v>1310200</v>
      </c>
      <c r="B405" s="8" t="s">
        <v>734</v>
      </c>
      <c r="C405" s="8">
        <v>111</v>
      </c>
      <c r="D405" s="8" t="s">
        <v>735</v>
      </c>
      <c r="E405" s="8">
        <v>1210200</v>
      </c>
    </row>
    <row r="406" spans="1:5" x14ac:dyDescent="0.5">
      <c r="A406" s="7">
        <v>1310520</v>
      </c>
      <c r="B406" s="8" t="s">
        <v>808</v>
      </c>
      <c r="C406" s="8">
        <v>147</v>
      </c>
      <c r="D406" s="8" t="s">
        <v>809</v>
      </c>
      <c r="E406" s="8">
        <v>1310520</v>
      </c>
    </row>
    <row r="407" spans="1:5" x14ac:dyDescent="0.5">
      <c r="A407" s="7">
        <v>1310540</v>
      </c>
      <c r="B407" s="8" t="s">
        <v>816</v>
      </c>
      <c r="C407" s="8">
        <v>150</v>
      </c>
      <c r="D407" s="8" t="s">
        <v>603</v>
      </c>
      <c r="E407" s="8">
        <v>2910540</v>
      </c>
    </row>
    <row r="408" spans="1:5" x14ac:dyDescent="0.5">
      <c r="A408" s="7">
        <v>1310610</v>
      </c>
      <c r="B408" s="8" t="s">
        <v>746</v>
      </c>
      <c r="C408" s="8">
        <v>163</v>
      </c>
      <c r="D408" s="8" t="s">
        <v>747</v>
      </c>
      <c r="E408" s="8">
        <v>2910610</v>
      </c>
    </row>
    <row r="409" spans="1:5" x14ac:dyDescent="0.5">
      <c r="A409" s="7">
        <v>1310620</v>
      </c>
      <c r="B409" s="8" t="s">
        <v>748</v>
      </c>
      <c r="C409" s="8">
        <v>164</v>
      </c>
      <c r="D409" s="8" t="s">
        <v>749</v>
      </c>
      <c r="E409" s="8">
        <v>1610620</v>
      </c>
    </row>
    <row r="410" spans="1:5" x14ac:dyDescent="0.5">
      <c r="A410" s="7">
        <v>1310790</v>
      </c>
      <c r="B410" s="8" t="s">
        <v>753</v>
      </c>
      <c r="C410" s="8">
        <v>177</v>
      </c>
      <c r="D410" s="8" t="s">
        <v>754</v>
      </c>
      <c r="E410" s="8">
        <v>1710790</v>
      </c>
    </row>
    <row r="411" spans="1:5" x14ac:dyDescent="0.5">
      <c r="A411" s="7">
        <v>1310800</v>
      </c>
      <c r="B411" s="8" t="s">
        <v>616</v>
      </c>
      <c r="C411" s="8">
        <v>182</v>
      </c>
      <c r="D411" s="8" t="s">
        <v>755</v>
      </c>
      <c r="E411" s="8">
        <v>3110800</v>
      </c>
    </row>
    <row r="412" spans="1:5" x14ac:dyDescent="0.5">
      <c r="A412" s="7">
        <v>1310810</v>
      </c>
      <c r="B412" s="8" t="s">
        <v>756</v>
      </c>
      <c r="C412" s="8">
        <v>183</v>
      </c>
      <c r="D412" s="8" t="s">
        <v>712</v>
      </c>
      <c r="E412" s="8">
        <v>1210810</v>
      </c>
    </row>
    <row r="413" spans="1:5" x14ac:dyDescent="0.5">
      <c r="A413" s="7">
        <v>1310820</v>
      </c>
      <c r="B413" s="8" t="s">
        <v>707</v>
      </c>
      <c r="C413" s="8">
        <v>184</v>
      </c>
      <c r="D413" s="8" t="s">
        <v>708</v>
      </c>
      <c r="E413" s="8">
        <v>1310820</v>
      </c>
    </row>
    <row r="414" spans="1:5" x14ac:dyDescent="0.5">
      <c r="A414" s="7">
        <v>1310860</v>
      </c>
      <c r="B414" s="8" t="s">
        <v>817</v>
      </c>
      <c r="C414" s="8">
        <v>188</v>
      </c>
      <c r="D414" s="8" t="s">
        <v>818</v>
      </c>
      <c r="E414" s="8">
        <v>2310860</v>
      </c>
    </row>
    <row r="415" spans="1:5" x14ac:dyDescent="0.5">
      <c r="A415" s="7">
        <v>1310870</v>
      </c>
      <c r="B415" s="8" t="s">
        <v>709</v>
      </c>
      <c r="C415" s="8">
        <v>192</v>
      </c>
      <c r="D415" s="8" t="s">
        <v>710</v>
      </c>
      <c r="E415" s="8">
        <v>1310870</v>
      </c>
    </row>
    <row r="416" spans="1:5" x14ac:dyDescent="0.5">
      <c r="A416" s="7">
        <v>1310880</v>
      </c>
      <c r="B416" s="8" t="s">
        <v>711</v>
      </c>
      <c r="C416" s="8">
        <v>183</v>
      </c>
      <c r="D416" s="8" t="s">
        <v>712</v>
      </c>
      <c r="E416" s="8">
        <v>1210810</v>
      </c>
    </row>
    <row r="417" spans="1:5" x14ac:dyDescent="0.5">
      <c r="A417" s="7">
        <v>1310910</v>
      </c>
      <c r="B417" s="8" t="s">
        <v>819</v>
      </c>
      <c r="C417" s="8">
        <v>194</v>
      </c>
      <c r="D417" s="8" t="s">
        <v>820</v>
      </c>
      <c r="E417" s="8">
        <v>1510910</v>
      </c>
    </row>
    <row r="418" spans="1:5" x14ac:dyDescent="0.5">
      <c r="A418" s="7">
        <v>1310930</v>
      </c>
      <c r="B418" s="8" t="s">
        <v>821</v>
      </c>
      <c r="C418" s="8">
        <v>196</v>
      </c>
      <c r="D418" s="8" t="s">
        <v>822</v>
      </c>
      <c r="E418" s="8">
        <v>2410930</v>
      </c>
    </row>
    <row r="419" spans="1:5" x14ac:dyDescent="0.5">
      <c r="A419" s="7">
        <v>1311020</v>
      </c>
      <c r="B419" s="8" t="s">
        <v>823</v>
      </c>
      <c r="C419" s="8">
        <v>107</v>
      </c>
      <c r="D419" s="8" t="s">
        <v>815</v>
      </c>
      <c r="E419" s="8">
        <v>1410160</v>
      </c>
    </row>
    <row r="420" spans="1:5" x14ac:dyDescent="0.5">
      <c r="A420" s="7">
        <v>1311030</v>
      </c>
      <c r="B420" s="8" t="s">
        <v>757</v>
      </c>
      <c r="C420" s="8">
        <v>203</v>
      </c>
      <c r="D420" s="8" t="s">
        <v>716</v>
      </c>
      <c r="E420" s="8">
        <v>1611030</v>
      </c>
    </row>
    <row r="421" spans="1:5" x14ac:dyDescent="0.5">
      <c r="A421" s="7">
        <v>1311040</v>
      </c>
      <c r="B421" s="8" t="s">
        <v>824</v>
      </c>
      <c r="C421" s="8">
        <v>203</v>
      </c>
      <c r="D421" s="8" t="s">
        <v>716</v>
      </c>
      <c r="E421" s="8">
        <v>1611030</v>
      </c>
    </row>
    <row r="422" spans="1:5" x14ac:dyDescent="0.5">
      <c r="A422" s="7">
        <v>1311070</v>
      </c>
      <c r="B422" s="8" t="s">
        <v>825</v>
      </c>
      <c r="C422" s="8">
        <v>206</v>
      </c>
      <c r="D422" s="8" t="s">
        <v>826</v>
      </c>
      <c r="E422" s="8">
        <v>2311070</v>
      </c>
    </row>
    <row r="423" spans="1:5" x14ac:dyDescent="0.5">
      <c r="A423" s="7">
        <v>1311080</v>
      </c>
      <c r="B423" s="8" t="s">
        <v>715</v>
      </c>
      <c r="C423" s="8">
        <v>203</v>
      </c>
      <c r="D423" s="8" t="s">
        <v>716</v>
      </c>
      <c r="E423" s="8">
        <v>1611030</v>
      </c>
    </row>
    <row r="424" spans="1:5" x14ac:dyDescent="0.5">
      <c r="A424" s="7">
        <v>1311090</v>
      </c>
      <c r="B424" s="8" t="s">
        <v>717</v>
      </c>
      <c r="C424" s="8">
        <v>207</v>
      </c>
      <c r="D424" s="8" t="s">
        <v>718</v>
      </c>
      <c r="E424" s="8">
        <v>1411090</v>
      </c>
    </row>
    <row r="425" spans="1:5" x14ac:dyDescent="0.5">
      <c r="A425" s="7">
        <v>1311150</v>
      </c>
      <c r="B425" s="8" t="s">
        <v>805</v>
      </c>
      <c r="C425" s="8">
        <v>212</v>
      </c>
      <c r="D425" s="8" t="s">
        <v>806</v>
      </c>
      <c r="E425" s="8">
        <v>1711150</v>
      </c>
    </row>
    <row r="426" spans="1:5" x14ac:dyDescent="0.5">
      <c r="A426" s="7">
        <v>1311170</v>
      </c>
      <c r="B426" s="8" t="s">
        <v>827</v>
      </c>
      <c r="C426" s="8">
        <v>150</v>
      </c>
      <c r="D426" s="8" t="s">
        <v>603</v>
      </c>
      <c r="E426" s="8">
        <v>2910540</v>
      </c>
    </row>
    <row r="427" spans="1:5" x14ac:dyDescent="0.5">
      <c r="A427" s="7">
        <v>1311250</v>
      </c>
      <c r="B427" s="8" t="s">
        <v>629</v>
      </c>
      <c r="C427" s="8">
        <v>221</v>
      </c>
      <c r="D427" s="8" t="s">
        <v>758</v>
      </c>
      <c r="E427" s="8">
        <v>2911250</v>
      </c>
    </row>
    <row r="428" spans="1:5" x14ac:dyDescent="0.5">
      <c r="A428" s="7">
        <v>1311260</v>
      </c>
      <c r="B428" s="8" t="s">
        <v>631</v>
      </c>
      <c r="C428" s="8">
        <v>222</v>
      </c>
      <c r="D428" s="8" t="s">
        <v>632</v>
      </c>
      <c r="E428" s="8">
        <v>2111260</v>
      </c>
    </row>
    <row r="429" spans="1:5" x14ac:dyDescent="0.5">
      <c r="A429" s="7">
        <v>1311270</v>
      </c>
      <c r="B429" s="8" t="s">
        <v>765</v>
      </c>
      <c r="C429" s="8">
        <v>224</v>
      </c>
      <c r="D429" s="8" t="s">
        <v>766</v>
      </c>
      <c r="E429" s="8">
        <v>1711270</v>
      </c>
    </row>
    <row r="430" spans="1:5" x14ac:dyDescent="0.5">
      <c r="A430" s="7">
        <v>1311350</v>
      </c>
      <c r="B430" s="8" t="s">
        <v>767</v>
      </c>
      <c r="C430" s="8">
        <v>232</v>
      </c>
      <c r="D430" s="8" t="s">
        <v>768</v>
      </c>
      <c r="E430" s="8">
        <v>2411350</v>
      </c>
    </row>
    <row r="431" spans="1:5" x14ac:dyDescent="0.5">
      <c r="A431" s="7">
        <v>1311450</v>
      </c>
      <c r="B431" s="8" t="s">
        <v>785</v>
      </c>
      <c r="C431" s="8">
        <v>243</v>
      </c>
      <c r="D431" s="8" t="s">
        <v>786</v>
      </c>
      <c r="E431" s="8">
        <v>2911450</v>
      </c>
    </row>
    <row r="432" spans="1:5" x14ac:dyDescent="0.5">
      <c r="A432" s="7">
        <v>1311530</v>
      </c>
      <c r="B432" s="8" t="s">
        <v>761</v>
      </c>
      <c r="C432" s="8">
        <v>250</v>
      </c>
      <c r="D432" s="8" t="s">
        <v>762</v>
      </c>
      <c r="E432" s="8">
        <v>1211530</v>
      </c>
    </row>
    <row r="433" spans="1:5" x14ac:dyDescent="0.5">
      <c r="A433" s="7">
        <v>1311540</v>
      </c>
      <c r="B433" s="8" t="s">
        <v>635</v>
      </c>
      <c r="C433" s="8">
        <v>259</v>
      </c>
      <c r="D433" s="8" t="s">
        <v>636</v>
      </c>
      <c r="E433" s="8">
        <v>2811590</v>
      </c>
    </row>
    <row r="434" spans="1:5" x14ac:dyDescent="0.5">
      <c r="A434" s="7">
        <v>1311551</v>
      </c>
      <c r="B434" s="8" t="s">
        <v>727</v>
      </c>
      <c r="C434" s="8">
        <v>252</v>
      </c>
      <c r="D434" s="8" t="s">
        <v>728</v>
      </c>
      <c r="E434" s="8">
        <v>1311551</v>
      </c>
    </row>
    <row r="435" spans="1:5" x14ac:dyDescent="0.5">
      <c r="A435" s="7">
        <v>1311552</v>
      </c>
      <c r="B435" s="8" t="s">
        <v>828</v>
      </c>
      <c r="C435" s="8">
        <v>253</v>
      </c>
      <c r="D435" s="8" t="s">
        <v>829</v>
      </c>
      <c r="E435" s="8">
        <v>1311552</v>
      </c>
    </row>
    <row r="436" spans="1:5" x14ac:dyDescent="0.5">
      <c r="A436" s="7">
        <v>1311590</v>
      </c>
      <c r="B436" s="8" t="s">
        <v>779</v>
      </c>
      <c r="C436" s="8">
        <v>259</v>
      </c>
      <c r="D436" s="8" t="s">
        <v>636</v>
      </c>
      <c r="E436" s="8">
        <v>2811590</v>
      </c>
    </row>
    <row r="437" spans="1:5" x14ac:dyDescent="0.5">
      <c r="A437" s="7">
        <v>1410040</v>
      </c>
      <c r="B437" s="8" t="s">
        <v>699</v>
      </c>
      <c r="C437" s="8">
        <v>100</v>
      </c>
      <c r="D437" s="8" t="s">
        <v>578</v>
      </c>
      <c r="E437" s="8" t="s">
        <v>579</v>
      </c>
    </row>
    <row r="438" spans="1:5" x14ac:dyDescent="0.5">
      <c r="A438" s="7">
        <v>1410160</v>
      </c>
      <c r="B438" s="8" t="s">
        <v>814</v>
      </c>
      <c r="C438" s="8">
        <v>107</v>
      </c>
      <c r="D438" s="8" t="s">
        <v>815</v>
      </c>
      <c r="E438" s="8">
        <v>1410160</v>
      </c>
    </row>
    <row r="439" spans="1:5" x14ac:dyDescent="0.5">
      <c r="A439" s="7">
        <v>1410190</v>
      </c>
      <c r="B439" s="8" t="s">
        <v>702</v>
      </c>
      <c r="C439" s="8">
        <v>110</v>
      </c>
      <c r="D439" s="8" t="s">
        <v>703</v>
      </c>
      <c r="E439" s="8">
        <v>1210190</v>
      </c>
    </row>
    <row r="440" spans="1:5" x14ac:dyDescent="0.5">
      <c r="A440" s="7">
        <v>1410230</v>
      </c>
      <c r="B440" s="8" t="s">
        <v>830</v>
      </c>
      <c r="C440" s="8">
        <v>113</v>
      </c>
      <c r="D440" s="8" t="s">
        <v>831</v>
      </c>
      <c r="E440" s="8">
        <v>2510240</v>
      </c>
    </row>
    <row r="441" spans="1:5" x14ac:dyDescent="0.5">
      <c r="A441" s="7">
        <v>1410240</v>
      </c>
      <c r="B441" s="8" t="s">
        <v>832</v>
      </c>
      <c r="C441" s="8">
        <v>113</v>
      </c>
      <c r="D441" s="8" t="s">
        <v>831</v>
      </c>
      <c r="E441" s="8">
        <v>2510240</v>
      </c>
    </row>
    <row r="442" spans="1:5" x14ac:dyDescent="0.5">
      <c r="A442" s="7">
        <v>1410250</v>
      </c>
      <c r="B442" s="8" t="s">
        <v>833</v>
      </c>
      <c r="C442" s="8">
        <v>114</v>
      </c>
      <c r="D442" s="8" t="s">
        <v>834</v>
      </c>
      <c r="E442" s="8">
        <v>1510250</v>
      </c>
    </row>
    <row r="443" spans="1:5" x14ac:dyDescent="0.5">
      <c r="A443" s="7">
        <v>1410540</v>
      </c>
      <c r="B443" s="8" t="s">
        <v>816</v>
      </c>
      <c r="C443" s="8">
        <v>150</v>
      </c>
      <c r="D443" s="8" t="s">
        <v>603</v>
      </c>
      <c r="E443" s="8">
        <v>2910540</v>
      </c>
    </row>
    <row r="444" spans="1:5" x14ac:dyDescent="0.5">
      <c r="A444" s="7">
        <v>1410800</v>
      </c>
      <c r="B444" s="8" t="s">
        <v>616</v>
      </c>
      <c r="C444" s="8">
        <v>182</v>
      </c>
      <c r="D444" s="8" t="s">
        <v>755</v>
      </c>
      <c r="E444" s="8">
        <v>3110800</v>
      </c>
    </row>
    <row r="445" spans="1:5" x14ac:dyDescent="0.5">
      <c r="A445" s="7">
        <v>1410820</v>
      </c>
      <c r="B445" s="8" t="s">
        <v>707</v>
      </c>
      <c r="C445" s="8">
        <v>184</v>
      </c>
      <c r="D445" s="8" t="s">
        <v>708</v>
      </c>
      <c r="E445" s="8">
        <v>1310820</v>
      </c>
    </row>
    <row r="446" spans="1:5" x14ac:dyDescent="0.5">
      <c r="A446" s="7">
        <v>1410870</v>
      </c>
      <c r="B446" s="8" t="s">
        <v>709</v>
      </c>
      <c r="C446" s="8">
        <v>192</v>
      </c>
      <c r="D446" s="8" t="s">
        <v>710</v>
      </c>
      <c r="E446" s="8">
        <v>1310870</v>
      </c>
    </row>
    <row r="447" spans="1:5" x14ac:dyDescent="0.5">
      <c r="A447" s="7">
        <v>1410880</v>
      </c>
      <c r="B447" s="8" t="s">
        <v>711</v>
      </c>
      <c r="C447" s="8">
        <v>183</v>
      </c>
      <c r="D447" s="8" t="s">
        <v>712</v>
      </c>
      <c r="E447" s="8">
        <v>1210810</v>
      </c>
    </row>
    <row r="448" spans="1:5" x14ac:dyDescent="0.5">
      <c r="A448" s="7">
        <v>1410900</v>
      </c>
      <c r="B448" s="8" t="s">
        <v>835</v>
      </c>
      <c r="C448" s="8">
        <v>193</v>
      </c>
      <c r="D448" s="8" t="s">
        <v>836</v>
      </c>
      <c r="E448" s="8">
        <v>1410900</v>
      </c>
    </row>
    <row r="449" spans="1:5" x14ac:dyDescent="0.5">
      <c r="A449" s="7">
        <v>1410910</v>
      </c>
      <c r="B449" s="8" t="s">
        <v>819</v>
      </c>
      <c r="C449" s="8">
        <v>194</v>
      </c>
      <c r="D449" s="8" t="s">
        <v>820</v>
      </c>
      <c r="E449" s="8">
        <v>1510910</v>
      </c>
    </row>
    <row r="450" spans="1:5" x14ac:dyDescent="0.5">
      <c r="A450" s="7">
        <v>1411040</v>
      </c>
      <c r="B450" s="8" t="s">
        <v>824</v>
      </c>
      <c r="C450" s="8">
        <v>203</v>
      </c>
      <c r="D450" s="8" t="s">
        <v>716</v>
      </c>
      <c r="E450" s="8">
        <v>1611030</v>
      </c>
    </row>
    <row r="451" spans="1:5" x14ac:dyDescent="0.5">
      <c r="A451" s="7">
        <v>1411080</v>
      </c>
      <c r="B451" s="8" t="s">
        <v>715</v>
      </c>
      <c r="C451" s="8">
        <v>203</v>
      </c>
      <c r="D451" s="8" t="s">
        <v>716</v>
      </c>
      <c r="E451" s="8">
        <v>1611030</v>
      </c>
    </row>
    <row r="452" spans="1:5" x14ac:dyDescent="0.5">
      <c r="A452" s="7">
        <v>1411090</v>
      </c>
      <c r="B452" s="8" t="s">
        <v>717</v>
      </c>
      <c r="C452" s="8">
        <v>207</v>
      </c>
      <c r="D452" s="8" t="s">
        <v>718</v>
      </c>
      <c r="E452" s="8">
        <v>1411090</v>
      </c>
    </row>
    <row r="453" spans="1:5" x14ac:dyDescent="0.5">
      <c r="A453" s="7">
        <v>1411150</v>
      </c>
      <c r="B453" s="8" t="s">
        <v>805</v>
      </c>
      <c r="C453" s="8">
        <v>212</v>
      </c>
      <c r="D453" s="8" t="s">
        <v>806</v>
      </c>
      <c r="E453" s="8">
        <v>1711150</v>
      </c>
    </row>
    <row r="454" spans="1:5" x14ac:dyDescent="0.5">
      <c r="A454" s="7">
        <v>1411210</v>
      </c>
      <c r="B454" s="8" t="s">
        <v>837</v>
      </c>
      <c r="C454" s="8">
        <v>216</v>
      </c>
      <c r="D454" s="8" t="s">
        <v>838</v>
      </c>
      <c r="E454" s="8">
        <v>2611210</v>
      </c>
    </row>
    <row r="455" spans="1:5" x14ac:dyDescent="0.5">
      <c r="A455" s="7">
        <v>1411270</v>
      </c>
      <c r="B455" s="8" t="s">
        <v>765</v>
      </c>
      <c r="C455" s="8">
        <v>224</v>
      </c>
      <c r="D455" s="8" t="s">
        <v>766</v>
      </c>
      <c r="E455" s="8">
        <v>1711270</v>
      </c>
    </row>
    <row r="456" spans="1:5" x14ac:dyDescent="0.5">
      <c r="A456" s="7">
        <v>1411350</v>
      </c>
      <c r="B456" s="8" t="s">
        <v>767</v>
      </c>
      <c r="C456" s="8">
        <v>232</v>
      </c>
      <c r="D456" s="8" t="s">
        <v>768</v>
      </c>
      <c r="E456" s="8">
        <v>2411350</v>
      </c>
    </row>
    <row r="457" spans="1:5" x14ac:dyDescent="0.5">
      <c r="A457" s="7">
        <v>1411551</v>
      </c>
      <c r="B457" s="8" t="s">
        <v>727</v>
      </c>
      <c r="C457" s="8">
        <v>252</v>
      </c>
      <c r="D457" s="8" t="s">
        <v>728</v>
      </c>
      <c r="E457" s="8">
        <v>1311551</v>
      </c>
    </row>
    <row r="458" spans="1:5" x14ac:dyDescent="0.5">
      <c r="A458" s="7">
        <v>1411552</v>
      </c>
      <c r="B458" s="8" t="s">
        <v>828</v>
      </c>
      <c r="C458" s="8">
        <v>253</v>
      </c>
      <c r="D458" s="8" t="s">
        <v>829</v>
      </c>
      <c r="E458" s="8">
        <v>1311552</v>
      </c>
    </row>
    <row r="459" spans="1:5" x14ac:dyDescent="0.5">
      <c r="A459" s="7">
        <v>1510040</v>
      </c>
      <c r="B459" s="8" t="s">
        <v>699</v>
      </c>
      <c r="C459" s="8">
        <v>100</v>
      </c>
      <c r="D459" s="8" t="s">
        <v>578</v>
      </c>
      <c r="E459" s="8" t="s">
        <v>579</v>
      </c>
    </row>
    <row r="460" spans="1:5" x14ac:dyDescent="0.5">
      <c r="A460" s="7">
        <v>1510110</v>
      </c>
      <c r="B460" s="8" t="s">
        <v>730</v>
      </c>
      <c r="C460" s="8">
        <v>102</v>
      </c>
      <c r="D460" s="8" t="s">
        <v>731</v>
      </c>
      <c r="E460" s="8">
        <v>2010110</v>
      </c>
    </row>
    <row r="461" spans="1:5" x14ac:dyDescent="0.5">
      <c r="A461" s="7">
        <v>1510160</v>
      </c>
      <c r="B461" s="8" t="s">
        <v>814</v>
      </c>
      <c r="C461" s="8">
        <v>107</v>
      </c>
      <c r="D461" s="8" t="s">
        <v>815</v>
      </c>
      <c r="E461" s="8">
        <v>1410160</v>
      </c>
    </row>
    <row r="462" spans="1:5" x14ac:dyDescent="0.5">
      <c r="A462" s="7">
        <v>1510190</v>
      </c>
      <c r="B462" s="8" t="s">
        <v>702</v>
      </c>
      <c r="C462" s="8">
        <v>110</v>
      </c>
      <c r="D462" s="8" t="s">
        <v>703</v>
      </c>
      <c r="E462" s="8">
        <v>1210190</v>
      </c>
    </row>
    <row r="463" spans="1:5" x14ac:dyDescent="0.5">
      <c r="A463" s="7">
        <v>1510230</v>
      </c>
      <c r="B463" s="8" t="s">
        <v>830</v>
      </c>
      <c r="C463" s="8">
        <v>113</v>
      </c>
      <c r="D463" s="8" t="s">
        <v>831</v>
      </c>
      <c r="E463" s="8">
        <v>2510240</v>
      </c>
    </row>
    <row r="464" spans="1:5" x14ac:dyDescent="0.5">
      <c r="A464" s="7">
        <v>1510240</v>
      </c>
      <c r="B464" s="8" t="s">
        <v>832</v>
      </c>
      <c r="C464" s="8">
        <v>113</v>
      </c>
      <c r="D464" s="8" t="s">
        <v>831</v>
      </c>
      <c r="E464" s="8">
        <v>2510240</v>
      </c>
    </row>
    <row r="465" spans="1:5" x14ac:dyDescent="0.5">
      <c r="A465" s="7">
        <v>1510250</v>
      </c>
      <c r="B465" s="8" t="s">
        <v>833</v>
      </c>
      <c r="C465" s="8">
        <v>114</v>
      </c>
      <c r="D465" s="8" t="s">
        <v>834</v>
      </c>
      <c r="E465" s="8">
        <v>1510250</v>
      </c>
    </row>
    <row r="466" spans="1:5" x14ac:dyDescent="0.5">
      <c r="A466" s="7">
        <v>1510260</v>
      </c>
      <c r="B466" s="8" t="s">
        <v>839</v>
      </c>
      <c r="C466" s="8">
        <v>115</v>
      </c>
      <c r="D466" s="8" t="s">
        <v>840</v>
      </c>
      <c r="E466" s="8">
        <v>1510260</v>
      </c>
    </row>
    <row r="467" spans="1:5" x14ac:dyDescent="0.5">
      <c r="A467" s="7">
        <v>1510510</v>
      </c>
      <c r="B467" s="8" t="s">
        <v>740</v>
      </c>
      <c r="C467" s="8">
        <v>146</v>
      </c>
      <c r="D467" s="8" t="s">
        <v>741</v>
      </c>
      <c r="E467" s="8">
        <v>2810510</v>
      </c>
    </row>
    <row r="468" spans="1:5" x14ac:dyDescent="0.5">
      <c r="A468" s="7">
        <v>1510520</v>
      </c>
      <c r="B468" s="8" t="s">
        <v>808</v>
      </c>
      <c r="C468" s="8">
        <v>148</v>
      </c>
      <c r="D468" s="8" t="s">
        <v>841</v>
      </c>
      <c r="E468" s="8">
        <v>2710520</v>
      </c>
    </row>
    <row r="469" spans="1:5" x14ac:dyDescent="0.5">
      <c r="A469" s="7">
        <v>1510540</v>
      </c>
      <c r="B469" s="8" t="s">
        <v>816</v>
      </c>
      <c r="C469" s="8">
        <v>150</v>
      </c>
      <c r="D469" s="8" t="s">
        <v>603</v>
      </c>
      <c r="E469" s="8">
        <v>2910540</v>
      </c>
    </row>
    <row r="470" spans="1:5" x14ac:dyDescent="0.5">
      <c r="A470" s="7">
        <v>1510550</v>
      </c>
      <c r="B470" s="8" t="s">
        <v>604</v>
      </c>
      <c r="C470" s="8">
        <v>153</v>
      </c>
      <c r="D470" s="8" t="s">
        <v>801</v>
      </c>
      <c r="E470" s="8">
        <v>2910550</v>
      </c>
    </row>
    <row r="471" spans="1:5" x14ac:dyDescent="0.5">
      <c r="A471" s="7">
        <v>1510560</v>
      </c>
      <c r="B471" s="8" t="s">
        <v>606</v>
      </c>
      <c r="C471" s="8">
        <v>156</v>
      </c>
      <c r="D471" s="8" t="s">
        <v>842</v>
      </c>
      <c r="E471" s="8">
        <v>2110560</v>
      </c>
    </row>
    <row r="472" spans="1:5" x14ac:dyDescent="0.5">
      <c r="A472" s="7">
        <v>1510610</v>
      </c>
      <c r="B472" s="8" t="s">
        <v>746</v>
      </c>
      <c r="C472" s="8">
        <v>163</v>
      </c>
      <c r="D472" s="8" t="s">
        <v>747</v>
      </c>
      <c r="E472" s="8">
        <v>2910610</v>
      </c>
    </row>
    <row r="473" spans="1:5" x14ac:dyDescent="0.5">
      <c r="A473" s="7">
        <v>1510770</v>
      </c>
      <c r="B473" s="8" t="s">
        <v>843</v>
      </c>
      <c r="C473" s="8">
        <v>175</v>
      </c>
      <c r="D473" s="8" t="s">
        <v>844</v>
      </c>
      <c r="E473" s="8">
        <v>2610770</v>
      </c>
    </row>
    <row r="474" spans="1:5" x14ac:dyDescent="0.5">
      <c r="A474" s="7">
        <v>1510800</v>
      </c>
      <c r="B474" s="8" t="s">
        <v>616</v>
      </c>
      <c r="C474" s="8">
        <v>181</v>
      </c>
      <c r="D474" s="8" t="s">
        <v>845</v>
      </c>
      <c r="E474" s="8">
        <v>2810800</v>
      </c>
    </row>
    <row r="475" spans="1:5" x14ac:dyDescent="0.5">
      <c r="A475" s="7">
        <v>1510810</v>
      </c>
      <c r="B475" s="8" t="s">
        <v>756</v>
      </c>
      <c r="C475" s="8">
        <v>183</v>
      </c>
      <c r="D475" s="8" t="s">
        <v>712</v>
      </c>
      <c r="E475" s="8">
        <v>1210810</v>
      </c>
    </row>
    <row r="476" spans="1:5" x14ac:dyDescent="0.5">
      <c r="A476" s="7">
        <v>1510820</v>
      </c>
      <c r="B476" s="8" t="s">
        <v>707</v>
      </c>
      <c r="C476" s="8">
        <v>184</v>
      </c>
      <c r="D476" s="8" t="s">
        <v>708</v>
      </c>
      <c r="E476" s="8">
        <v>1310820</v>
      </c>
    </row>
    <row r="477" spans="1:5" x14ac:dyDescent="0.5">
      <c r="A477" s="7">
        <v>1510870</v>
      </c>
      <c r="B477" s="8" t="s">
        <v>709</v>
      </c>
      <c r="C477" s="8">
        <v>192</v>
      </c>
      <c r="D477" s="8" t="s">
        <v>710</v>
      </c>
      <c r="E477" s="8">
        <v>1310870</v>
      </c>
    </row>
    <row r="478" spans="1:5" x14ac:dyDescent="0.5">
      <c r="A478" s="7">
        <v>1510910</v>
      </c>
      <c r="B478" s="8" t="s">
        <v>819</v>
      </c>
      <c r="C478" s="8">
        <v>194</v>
      </c>
      <c r="D478" s="8" t="s">
        <v>820</v>
      </c>
      <c r="E478" s="8">
        <v>1510910</v>
      </c>
    </row>
    <row r="479" spans="1:5" x14ac:dyDescent="0.5">
      <c r="A479" s="7">
        <v>1511000</v>
      </c>
      <c r="B479" s="8" t="s">
        <v>846</v>
      </c>
      <c r="C479" s="8">
        <v>202</v>
      </c>
      <c r="D479" s="8" t="s">
        <v>847</v>
      </c>
      <c r="E479" s="8">
        <v>2511003</v>
      </c>
    </row>
    <row r="480" spans="1:5" x14ac:dyDescent="0.5">
      <c r="A480" s="7">
        <v>1511020</v>
      </c>
      <c r="B480" s="8" t="s">
        <v>823</v>
      </c>
      <c r="C480" s="8">
        <v>107</v>
      </c>
      <c r="D480" s="8" t="s">
        <v>815</v>
      </c>
      <c r="E480" s="8">
        <v>1410160</v>
      </c>
    </row>
    <row r="481" spans="1:5" x14ac:dyDescent="0.5">
      <c r="A481" s="7">
        <v>1511040</v>
      </c>
      <c r="B481" s="8" t="s">
        <v>824</v>
      </c>
      <c r="C481" s="8">
        <v>203</v>
      </c>
      <c r="D481" s="8" t="s">
        <v>716</v>
      </c>
      <c r="E481" s="8">
        <v>1611030</v>
      </c>
    </row>
    <row r="482" spans="1:5" x14ac:dyDescent="0.5">
      <c r="A482" s="7">
        <v>1511070</v>
      </c>
      <c r="B482" s="8" t="s">
        <v>825</v>
      </c>
      <c r="C482" s="8">
        <v>206</v>
      </c>
      <c r="D482" s="8" t="s">
        <v>826</v>
      </c>
      <c r="E482" s="8">
        <v>2311070</v>
      </c>
    </row>
    <row r="483" spans="1:5" x14ac:dyDescent="0.5">
      <c r="A483" s="7">
        <v>1511090</v>
      </c>
      <c r="B483" s="8" t="s">
        <v>717</v>
      </c>
      <c r="C483" s="8">
        <v>207</v>
      </c>
      <c r="D483" s="8" t="s">
        <v>718</v>
      </c>
      <c r="E483" s="8">
        <v>1411090</v>
      </c>
    </row>
    <row r="484" spans="1:5" x14ac:dyDescent="0.5">
      <c r="A484" s="7">
        <v>1511150</v>
      </c>
      <c r="B484" s="8" t="s">
        <v>805</v>
      </c>
      <c r="C484" s="8">
        <v>212</v>
      </c>
      <c r="D484" s="8" t="s">
        <v>806</v>
      </c>
      <c r="E484" s="8">
        <v>1711150</v>
      </c>
    </row>
    <row r="485" spans="1:5" x14ac:dyDescent="0.5">
      <c r="A485" s="7">
        <v>1511160</v>
      </c>
      <c r="B485" s="8" t="s">
        <v>848</v>
      </c>
      <c r="C485" s="8">
        <v>114</v>
      </c>
      <c r="D485" s="8" t="s">
        <v>834</v>
      </c>
      <c r="E485" s="8">
        <v>1510250</v>
      </c>
    </row>
    <row r="486" spans="1:5" x14ac:dyDescent="0.5">
      <c r="A486" s="7">
        <v>1511170</v>
      </c>
      <c r="B486" s="8" t="s">
        <v>827</v>
      </c>
      <c r="C486" s="8">
        <v>150</v>
      </c>
      <c r="D486" s="8" t="s">
        <v>603</v>
      </c>
      <c r="E486" s="8">
        <v>2910540</v>
      </c>
    </row>
    <row r="487" spans="1:5" x14ac:dyDescent="0.5">
      <c r="A487" s="7">
        <v>1511210</v>
      </c>
      <c r="B487" s="8" t="s">
        <v>837</v>
      </c>
      <c r="C487" s="8">
        <v>216</v>
      </c>
      <c r="D487" s="8" t="s">
        <v>838</v>
      </c>
      <c r="E487" s="8">
        <v>2611210</v>
      </c>
    </row>
    <row r="488" spans="1:5" x14ac:dyDescent="0.5">
      <c r="A488" s="7">
        <v>1511270</v>
      </c>
      <c r="B488" s="8" t="s">
        <v>765</v>
      </c>
      <c r="C488" s="8">
        <v>225</v>
      </c>
      <c r="D488" s="8" t="s">
        <v>849</v>
      </c>
      <c r="E488" s="8">
        <v>2411270</v>
      </c>
    </row>
    <row r="489" spans="1:5" x14ac:dyDescent="0.5">
      <c r="A489" s="7">
        <v>1511350</v>
      </c>
      <c r="B489" s="8" t="s">
        <v>767</v>
      </c>
      <c r="C489" s="8">
        <v>232</v>
      </c>
      <c r="D489" s="8" t="s">
        <v>768</v>
      </c>
      <c r="E489" s="8">
        <v>2411350</v>
      </c>
    </row>
    <row r="490" spans="1:5" x14ac:dyDescent="0.5">
      <c r="A490" s="7">
        <v>1511460</v>
      </c>
      <c r="B490" s="8" t="s">
        <v>850</v>
      </c>
      <c r="C490" s="8">
        <v>244</v>
      </c>
      <c r="D490" s="8" t="s">
        <v>851</v>
      </c>
      <c r="E490" s="8">
        <v>2811460</v>
      </c>
    </row>
    <row r="491" spans="1:5" x14ac:dyDescent="0.5">
      <c r="A491" s="7">
        <v>1511551</v>
      </c>
      <c r="B491" s="8" t="s">
        <v>727</v>
      </c>
      <c r="C491" s="8">
        <v>252</v>
      </c>
      <c r="D491" s="8" t="s">
        <v>728</v>
      </c>
      <c r="E491" s="8">
        <v>1311551</v>
      </c>
    </row>
    <row r="492" spans="1:5" x14ac:dyDescent="0.5">
      <c r="A492" s="7">
        <v>1511552</v>
      </c>
      <c r="B492" s="8" t="s">
        <v>828</v>
      </c>
      <c r="C492" s="8">
        <v>253</v>
      </c>
      <c r="D492" s="8" t="s">
        <v>829</v>
      </c>
      <c r="E492" s="8">
        <v>1311552</v>
      </c>
    </row>
    <row r="493" spans="1:5" x14ac:dyDescent="0.5">
      <c r="A493" s="7">
        <v>1511590</v>
      </c>
      <c r="B493" s="8" t="s">
        <v>779</v>
      </c>
      <c r="C493" s="8">
        <v>259</v>
      </c>
      <c r="D493" s="8" t="s">
        <v>636</v>
      </c>
      <c r="E493" s="8">
        <v>2811590</v>
      </c>
    </row>
    <row r="494" spans="1:5" x14ac:dyDescent="0.5">
      <c r="A494" s="7">
        <v>1511600</v>
      </c>
      <c r="B494" s="8" t="s">
        <v>780</v>
      </c>
      <c r="C494" s="8">
        <v>259</v>
      </c>
      <c r="D494" s="8" t="s">
        <v>636</v>
      </c>
      <c r="E494" s="8">
        <v>2811590</v>
      </c>
    </row>
    <row r="495" spans="1:5" x14ac:dyDescent="0.5">
      <c r="A495" s="7">
        <v>1610010</v>
      </c>
      <c r="B495" s="8" t="s">
        <v>577</v>
      </c>
      <c r="C495" s="8">
        <v>100</v>
      </c>
      <c r="D495" s="8" t="s">
        <v>578</v>
      </c>
      <c r="E495" s="8" t="s">
        <v>579</v>
      </c>
    </row>
    <row r="496" spans="1:5" x14ac:dyDescent="0.5">
      <c r="A496" s="7">
        <v>1610060</v>
      </c>
      <c r="B496" s="8" t="s">
        <v>581</v>
      </c>
      <c r="C496" s="8">
        <v>100</v>
      </c>
      <c r="D496" s="8" t="s">
        <v>578</v>
      </c>
      <c r="E496" s="8" t="s">
        <v>579</v>
      </c>
    </row>
    <row r="497" spans="1:5" x14ac:dyDescent="0.5">
      <c r="A497" s="7">
        <v>1610110</v>
      </c>
      <c r="B497" s="8" t="s">
        <v>730</v>
      </c>
      <c r="C497" s="8">
        <v>102</v>
      </c>
      <c r="D497" s="8" t="s">
        <v>731</v>
      </c>
      <c r="E497" s="8">
        <v>2010110</v>
      </c>
    </row>
    <row r="498" spans="1:5" x14ac:dyDescent="0.5">
      <c r="A498" s="7">
        <v>1610120</v>
      </c>
      <c r="B498" s="8" t="s">
        <v>852</v>
      </c>
      <c r="C498" s="8">
        <v>103</v>
      </c>
      <c r="D498" s="8" t="s">
        <v>853</v>
      </c>
      <c r="E498" s="8">
        <v>1610120</v>
      </c>
    </row>
    <row r="499" spans="1:5" x14ac:dyDescent="0.5">
      <c r="A499" s="7">
        <v>1610160</v>
      </c>
      <c r="B499" s="8" t="s">
        <v>814</v>
      </c>
      <c r="C499" s="8">
        <v>107</v>
      </c>
      <c r="D499" s="8" t="s">
        <v>815</v>
      </c>
      <c r="E499" s="8">
        <v>1410160</v>
      </c>
    </row>
    <row r="500" spans="1:5" x14ac:dyDescent="0.5">
      <c r="A500" s="7">
        <v>1610190</v>
      </c>
      <c r="B500" s="8" t="s">
        <v>702</v>
      </c>
      <c r="C500" s="8">
        <v>110</v>
      </c>
      <c r="D500" s="8" t="s">
        <v>703</v>
      </c>
      <c r="E500" s="8">
        <v>1210190</v>
      </c>
    </row>
    <row r="501" spans="1:5" x14ac:dyDescent="0.5">
      <c r="A501" s="7">
        <v>1610490</v>
      </c>
      <c r="B501" s="8" t="s">
        <v>854</v>
      </c>
      <c r="C501" s="8">
        <v>144</v>
      </c>
      <c r="D501" s="8" t="s">
        <v>855</v>
      </c>
      <c r="E501" s="8">
        <v>2010490</v>
      </c>
    </row>
    <row r="502" spans="1:5" x14ac:dyDescent="0.5">
      <c r="A502" s="7">
        <v>1610500</v>
      </c>
      <c r="B502" s="8" t="s">
        <v>856</v>
      </c>
      <c r="C502" s="8">
        <v>145</v>
      </c>
      <c r="D502" s="8" t="s">
        <v>857</v>
      </c>
      <c r="E502" s="8">
        <v>2810500</v>
      </c>
    </row>
    <row r="503" spans="1:5" x14ac:dyDescent="0.5">
      <c r="A503" s="7">
        <v>1610510</v>
      </c>
      <c r="B503" s="8" t="s">
        <v>740</v>
      </c>
      <c r="C503" s="8">
        <v>146</v>
      </c>
      <c r="D503" s="8" t="s">
        <v>741</v>
      </c>
      <c r="E503" s="8">
        <v>2810510</v>
      </c>
    </row>
    <row r="504" spans="1:5" x14ac:dyDescent="0.5">
      <c r="A504" s="7">
        <v>1610520</v>
      </c>
      <c r="B504" s="8" t="s">
        <v>808</v>
      </c>
      <c r="C504" s="8">
        <v>148</v>
      </c>
      <c r="D504" s="8" t="s">
        <v>841</v>
      </c>
      <c r="E504" s="8">
        <v>2710520</v>
      </c>
    </row>
    <row r="505" spans="1:5" x14ac:dyDescent="0.5">
      <c r="A505" s="7">
        <v>1610540</v>
      </c>
      <c r="B505" s="8" t="s">
        <v>816</v>
      </c>
      <c r="C505" s="8">
        <v>150</v>
      </c>
      <c r="D505" s="8" t="s">
        <v>603</v>
      </c>
      <c r="E505" s="8">
        <v>2910540</v>
      </c>
    </row>
    <row r="506" spans="1:5" x14ac:dyDescent="0.5">
      <c r="A506" s="7">
        <v>1610550</v>
      </c>
      <c r="B506" s="8" t="s">
        <v>604</v>
      </c>
      <c r="C506" s="8">
        <v>152</v>
      </c>
      <c r="D506" s="8" t="s">
        <v>858</v>
      </c>
      <c r="E506" s="8">
        <v>2110550</v>
      </c>
    </row>
    <row r="507" spans="1:5" x14ac:dyDescent="0.5">
      <c r="A507" s="7">
        <v>1610560</v>
      </c>
      <c r="B507" s="8" t="s">
        <v>606</v>
      </c>
      <c r="C507" s="8">
        <v>156</v>
      </c>
      <c r="D507" s="8" t="s">
        <v>842</v>
      </c>
      <c r="E507" s="8">
        <v>2110560</v>
      </c>
    </row>
    <row r="508" spans="1:5" x14ac:dyDescent="0.5">
      <c r="A508" s="7">
        <v>1610570</v>
      </c>
      <c r="B508" s="8" t="s">
        <v>810</v>
      </c>
      <c r="C508" s="8">
        <v>157</v>
      </c>
      <c r="D508" s="8" t="s">
        <v>811</v>
      </c>
      <c r="E508" s="8">
        <v>2810570</v>
      </c>
    </row>
    <row r="509" spans="1:5" x14ac:dyDescent="0.5">
      <c r="A509" s="7">
        <v>1610611</v>
      </c>
      <c r="B509" s="8" t="s">
        <v>859</v>
      </c>
      <c r="C509" s="8">
        <v>163</v>
      </c>
      <c r="D509" s="8" t="s">
        <v>747</v>
      </c>
      <c r="E509" s="8">
        <v>2910610</v>
      </c>
    </row>
    <row r="510" spans="1:5" x14ac:dyDescent="0.5">
      <c r="A510" s="7">
        <v>1610612</v>
      </c>
      <c r="B510" s="8" t="s">
        <v>860</v>
      </c>
      <c r="C510" s="8">
        <v>163</v>
      </c>
      <c r="D510" s="8" t="s">
        <v>747</v>
      </c>
      <c r="E510" s="8">
        <v>2910610</v>
      </c>
    </row>
    <row r="511" spans="1:5" x14ac:dyDescent="0.5">
      <c r="A511" s="7">
        <v>1610620</v>
      </c>
      <c r="B511" s="8" t="s">
        <v>748</v>
      </c>
      <c r="C511" s="8">
        <v>164</v>
      </c>
      <c r="D511" s="8" t="s">
        <v>749</v>
      </c>
      <c r="E511" s="8">
        <v>1610620</v>
      </c>
    </row>
    <row r="512" spans="1:5" x14ac:dyDescent="0.5">
      <c r="A512" s="7">
        <v>1610640</v>
      </c>
      <c r="B512" s="8" t="s">
        <v>861</v>
      </c>
      <c r="C512" s="8">
        <v>166</v>
      </c>
      <c r="D512" s="8" t="s">
        <v>862</v>
      </c>
      <c r="E512" s="8">
        <v>2710640</v>
      </c>
    </row>
    <row r="513" spans="1:5" x14ac:dyDescent="0.5">
      <c r="A513" s="7">
        <v>1610700</v>
      </c>
      <c r="B513" s="8" t="s">
        <v>803</v>
      </c>
      <c r="C513" s="8">
        <v>170</v>
      </c>
      <c r="D513" s="8" t="s">
        <v>752</v>
      </c>
      <c r="E513" s="8">
        <v>2110700</v>
      </c>
    </row>
    <row r="514" spans="1:5" x14ac:dyDescent="0.5">
      <c r="A514" s="7">
        <v>1610780</v>
      </c>
      <c r="B514" s="8" t="s">
        <v>863</v>
      </c>
      <c r="C514" s="8">
        <v>176</v>
      </c>
      <c r="D514" s="8" t="s">
        <v>864</v>
      </c>
      <c r="E514" s="8">
        <v>2310780</v>
      </c>
    </row>
    <row r="515" spans="1:5" x14ac:dyDescent="0.5">
      <c r="A515" s="7">
        <v>1610790</v>
      </c>
      <c r="B515" s="8" t="s">
        <v>753</v>
      </c>
      <c r="C515" s="8">
        <v>177</v>
      </c>
      <c r="D515" s="8" t="s">
        <v>754</v>
      </c>
      <c r="E515" s="8">
        <v>1710790</v>
      </c>
    </row>
    <row r="516" spans="1:5" x14ac:dyDescent="0.5">
      <c r="A516" s="7">
        <v>1610800</v>
      </c>
      <c r="B516" s="8" t="s">
        <v>616</v>
      </c>
      <c r="C516" s="8">
        <v>182</v>
      </c>
      <c r="D516" s="8" t="s">
        <v>755</v>
      </c>
      <c r="E516" s="8">
        <v>3110800</v>
      </c>
    </row>
    <row r="517" spans="1:5" x14ac:dyDescent="0.5">
      <c r="A517" s="7">
        <v>1610810</v>
      </c>
      <c r="B517" s="8" t="s">
        <v>756</v>
      </c>
      <c r="C517" s="8">
        <v>183</v>
      </c>
      <c r="D517" s="8" t="s">
        <v>712</v>
      </c>
      <c r="E517" s="8">
        <v>1210810</v>
      </c>
    </row>
    <row r="518" spans="1:5" x14ac:dyDescent="0.5">
      <c r="A518" s="7">
        <v>1610860</v>
      </c>
      <c r="B518" s="8" t="s">
        <v>817</v>
      </c>
      <c r="C518" s="8">
        <v>188</v>
      </c>
      <c r="D518" s="8" t="s">
        <v>818</v>
      </c>
      <c r="E518" s="8">
        <v>2310860</v>
      </c>
    </row>
    <row r="519" spans="1:5" x14ac:dyDescent="0.5">
      <c r="A519" s="7">
        <v>1610930</v>
      </c>
      <c r="B519" s="8" t="s">
        <v>821</v>
      </c>
      <c r="C519" s="8">
        <v>196</v>
      </c>
      <c r="D519" s="8" t="s">
        <v>822</v>
      </c>
      <c r="E519" s="8">
        <v>2410930</v>
      </c>
    </row>
    <row r="520" spans="1:5" x14ac:dyDescent="0.5">
      <c r="A520" s="7">
        <v>1611020</v>
      </c>
      <c r="B520" s="8" t="s">
        <v>823</v>
      </c>
      <c r="C520" s="8">
        <v>107</v>
      </c>
      <c r="D520" s="8" t="s">
        <v>815</v>
      </c>
      <c r="E520" s="8">
        <v>1410160</v>
      </c>
    </row>
    <row r="521" spans="1:5" x14ac:dyDescent="0.5">
      <c r="A521" s="7">
        <v>1611030</v>
      </c>
      <c r="B521" s="8" t="s">
        <v>757</v>
      </c>
      <c r="C521" s="8">
        <v>203</v>
      </c>
      <c r="D521" s="8" t="s">
        <v>716</v>
      </c>
      <c r="E521" s="8">
        <v>1611030</v>
      </c>
    </row>
    <row r="522" spans="1:5" x14ac:dyDescent="0.5">
      <c r="A522" s="7">
        <v>1611071</v>
      </c>
      <c r="B522" s="8" t="s">
        <v>865</v>
      </c>
      <c r="C522" s="8">
        <v>206</v>
      </c>
      <c r="D522" s="8" t="s">
        <v>826</v>
      </c>
      <c r="E522" s="8">
        <v>2311070</v>
      </c>
    </row>
    <row r="523" spans="1:5" x14ac:dyDescent="0.5">
      <c r="A523" s="7">
        <v>1611072</v>
      </c>
      <c r="B523" s="8" t="s">
        <v>866</v>
      </c>
      <c r="C523" s="8">
        <v>206</v>
      </c>
      <c r="D523" s="8" t="s">
        <v>826</v>
      </c>
      <c r="E523" s="8">
        <v>2311070</v>
      </c>
    </row>
    <row r="524" spans="1:5" x14ac:dyDescent="0.5">
      <c r="A524" s="7">
        <v>1611150</v>
      </c>
      <c r="B524" s="8" t="s">
        <v>805</v>
      </c>
      <c r="C524" s="8">
        <v>212</v>
      </c>
      <c r="D524" s="8" t="s">
        <v>806</v>
      </c>
      <c r="E524" s="8">
        <v>1711150</v>
      </c>
    </row>
    <row r="525" spans="1:5" x14ac:dyDescent="0.5">
      <c r="A525" s="7">
        <v>1611170</v>
      </c>
      <c r="B525" s="8" t="s">
        <v>827</v>
      </c>
      <c r="C525" s="8">
        <v>150</v>
      </c>
      <c r="D525" s="8" t="s">
        <v>603</v>
      </c>
      <c r="E525" s="8">
        <v>2910540</v>
      </c>
    </row>
    <row r="526" spans="1:5" x14ac:dyDescent="0.5">
      <c r="A526" s="7">
        <v>1611250</v>
      </c>
      <c r="B526" s="8" t="s">
        <v>629</v>
      </c>
      <c r="C526" s="8">
        <v>221</v>
      </c>
      <c r="D526" s="8" t="s">
        <v>758</v>
      </c>
      <c r="E526" s="8">
        <v>2911250</v>
      </c>
    </row>
    <row r="527" spans="1:5" x14ac:dyDescent="0.5">
      <c r="A527" s="7">
        <v>1611261</v>
      </c>
      <c r="B527" s="8" t="s">
        <v>867</v>
      </c>
      <c r="C527" s="8">
        <v>222</v>
      </c>
      <c r="D527" s="8" t="s">
        <v>632</v>
      </c>
      <c r="E527" s="8">
        <v>2111260</v>
      </c>
    </row>
    <row r="528" spans="1:5" x14ac:dyDescent="0.5">
      <c r="A528" s="7">
        <v>1611262</v>
      </c>
      <c r="B528" s="8" t="s">
        <v>868</v>
      </c>
      <c r="C528" s="8">
        <v>223</v>
      </c>
      <c r="D528" s="8" t="s">
        <v>869</v>
      </c>
      <c r="E528" s="8">
        <v>1611262</v>
      </c>
    </row>
    <row r="529" spans="1:5" x14ac:dyDescent="0.5">
      <c r="A529" s="7">
        <v>1611270</v>
      </c>
      <c r="B529" s="8" t="s">
        <v>765</v>
      </c>
      <c r="C529" s="8">
        <v>225</v>
      </c>
      <c r="D529" s="8" t="s">
        <v>849</v>
      </c>
      <c r="E529" s="8">
        <v>2411270</v>
      </c>
    </row>
    <row r="530" spans="1:5" x14ac:dyDescent="0.5">
      <c r="A530" s="7">
        <v>1611350</v>
      </c>
      <c r="B530" s="8" t="s">
        <v>767</v>
      </c>
      <c r="C530" s="8">
        <v>232</v>
      </c>
      <c r="D530" s="8" t="s">
        <v>768</v>
      </c>
      <c r="E530" s="8">
        <v>2411350</v>
      </c>
    </row>
    <row r="531" spans="1:5" x14ac:dyDescent="0.5">
      <c r="A531" s="7">
        <v>1611440</v>
      </c>
      <c r="B531" s="8" t="s">
        <v>812</v>
      </c>
      <c r="C531" s="8">
        <v>242</v>
      </c>
      <c r="D531" s="8" t="s">
        <v>813</v>
      </c>
      <c r="E531" s="8">
        <v>2811430</v>
      </c>
    </row>
    <row r="532" spans="1:5" x14ac:dyDescent="0.5">
      <c r="A532" s="7">
        <v>1611450</v>
      </c>
      <c r="B532" s="8" t="s">
        <v>785</v>
      </c>
      <c r="C532" s="8">
        <v>243</v>
      </c>
      <c r="D532" s="8" t="s">
        <v>786</v>
      </c>
      <c r="E532" s="8">
        <v>2911450</v>
      </c>
    </row>
    <row r="533" spans="1:5" x14ac:dyDescent="0.5">
      <c r="A533" s="7">
        <v>1611460</v>
      </c>
      <c r="B533" s="8" t="s">
        <v>850</v>
      </c>
      <c r="C533" s="8">
        <v>244</v>
      </c>
      <c r="D533" s="8" t="s">
        <v>851</v>
      </c>
      <c r="E533" s="8">
        <v>2811460</v>
      </c>
    </row>
    <row r="534" spans="1:5" x14ac:dyDescent="0.5">
      <c r="A534" s="7">
        <v>1611530</v>
      </c>
      <c r="B534" s="8" t="s">
        <v>761</v>
      </c>
      <c r="C534" s="8">
        <v>250</v>
      </c>
      <c r="D534" s="8" t="s">
        <v>762</v>
      </c>
      <c r="E534" s="8">
        <v>1211530</v>
      </c>
    </row>
    <row r="535" spans="1:5" x14ac:dyDescent="0.5">
      <c r="A535" s="7">
        <v>1611540</v>
      </c>
      <c r="B535" s="8" t="s">
        <v>635</v>
      </c>
      <c r="C535" s="8">
        <v>259</v>
      </c>
      <c r="D535" s="8" t="s">
        <v>636</v>
      </c>
      <c r="E535" s="8">
        <v>2811590</v>
      </c>
    </row>
    <row r="536" spans="1:5" x14ac:dyDescent="0.5">
      <c r="A536" s="7">
        <v>1611590</v>
      </c>
      <c r="B536" s="8" t="s">
        <v>779</v>
      </c>
      <c r="C536" s="8">
        <v>259</v>
      </c>
      <c r="D536" s="8" t="s">
        <v>636</v>
      </c>
      <c r="E536" s="8">
        <v>2811590</v>
      </c>
    </row>
    <row r="537" spans="1:5" x14ac:dyDescent="0.5">
      <c r="A537" s="7">
        <v>1611600</v>
      </c>
      <c r="B537" s="8" t="s">
        <v>780</v>
      </c>
      <c r="C537" s="8">
        <v>259</v>
      </c>
      <c r="D537" s="8" t="s">
        <v>636</v>
      </c>
      <c r="E537" s="8">
        <v>2811590</v>
      </c>
    </row>
    <row r="538" spans="1:5" x14ac:dyDescent="0.5">
      <c r="A538" s="7">
        <v>1710010</v>
      </c>
      <c r="B538" s="8" t="s">
        <v>577</v>
      </c>
      <c r="C538" s="8">
        <v>100</v>
      </c>
      <c r="D538" s="8" t="s">
        <v>578</v>
      </c>
      <c r="E538" s="8" t="s">
        <v>579</v>
      </c>
    </row>
    <row r="539" spans="1:5" x14ac:dyDescent="0.5">
      <c r="A539" s="7">
        <v>1710110</v>
      </c>
      <c r="B539" s="8" t="s">
        <v>730</v>
      </c>
      <c r="C539" s="8">
        <v>102</v>
      </c>
      <c r="D539" s="8" t="s">
        <v>731</v>
      </c>
      <c r="E539" s="8">
        <v>2010110</v>
      </c>
    </row>
    <row r="540" spans="1:5" x14ac:dyDescent="0.5">
      <c r="A540" s="7">
        <v>1710120</v>
      </c>
      <c r="B540" s="8" t="s">
        <v>852</v>
      </c>
      <c r="C540" s="8">
        <v>103</v>
      </c>
      <c r="D540" s="8" t="s">
        <v>853</v>
      </c>
      <c r="E540" s="8">
        <v>1610120</v>
      </c>
    </row>
    <row r="541" spans="1:5" x14ac:dyDescent="0.5">
      <c r="A541" s="7">
        <v>1710160</v>
      </c>
      <c r="B541" s="8" t="s">
        <v>814</v>
      </c>
      <c r="C541" s="8">
        <v>107</v>
      </c>
      <c r="D541" s="8" t="s">
        <v>815</v>
      </c>
      <c r="E541" s="8">
        <v>1410160</v>
      </c>
    </row>
    <row r="542" spans="1:5" x14ac:dyDescent="0.5">
      <c r="A542" s="7">
        <v>1710190</v>
      </c>
      <c r="B542" s="8" t="s">
        <v>702</v>
      </c>
      <c r="C542" s="8">
        <v>110</v>
      </c>
      <c r="D542" s="8" t="s">
        <v>703</v>
      </c>
      <c r="E542" s="8">
        <v>1210190</v>
      </c>
    </row>
    <row r="543" spans="1:5" x14ac:dyDescent="0.5">
      <c r="A543" s="7">
        <v>1710200</v>
      </c>
      <c r="B543" s="8" t="s">
        <v>734</v>
      </c>
      <c r="C543" s="8">
        <v>111</v>
      </c>
      <c r="D543" s="8" t="s">
        <v>735</v>
      </c>
      <c r="E543" s="8">
        <v>1210200</v>
      </c>
    </row>
    <row r="544" spans="1:5" x14ac:dyDescent="0.5">
      <c r="A544" s="7">
        <v>1710510</v>
      </c>
      <c r="B544" s="8" t="s">
        <v>740</v>
      </c>
      <c r="C544" s="8">
        <v>146</v>
      </c>
      <c r="D544" s="8" t="s">
        <v>741</v>
      </c>
      <c r="E544" s="8">
        <v>2810510</v>
      </c>
    </row>
    <row r="545" spans="1:5" x14ac:dyDescent="0.5">
      <c r="A545" s="7">
        <v>1710520</v>
      </c>
      <c r="B545" s="8" t="s">
        <v>808</v>
      </c>
      <c r="C545" s="8">
        <v>147</v>
      </c>
      <c r="D545" s="8" t="s">
        <v>809</v>
      </c>
      <c r="E545" s="8">
        <v>1310520</v>
      </c>
    </row>
    <row r="546" spans="1:5" x14ac:dyDescent="0.5">
      <c r="A546" s="7">
        <v>1710540</v>
      </c>
      <c r="B546" s="8" t="s">
        <v>816</v>
      </c>
      <c r="C546" s="8">
        <v>150</v>
      </c>
      <c r="D546" s="8" t="s">
        <v>603</v>
      </c>
      <c r="E546" s="8">
        <v>2910540</v>
      </c>
    </row>
    <row r="547" spans="1:5" x14ac:dyDescent="0.5">
      <c r="A547" s="7">
        <v>1710550</v>
      </c>
      <c r="B547" s="8" t="s">
        <v>604</v>
      </c>
      <c r="C547" s="8">
        <v>152</v>
      </c>
      <c r="D547" s="8" t="s">
        <v>858</v>
      </c>
      <c r="E547" s="8">
        <v>2110550</v>
      </c>
    </row>
    <row r="548" spans="1:5" x14ac:dyDescent="0.5">
      <c r="A548" s="7">
        <v>1710610</v>
      </c>
      <c r="B548" s="8" t="s">
        <v>746</v>
      </c>
      <c r="C548" s="8">
        <v>163</v>
      </c>
      <c r="D548" s="8" t="s">
        <v>747</v>
      </c>
      <c r="E548" s="8">
        <v>2910610</v>
      </c>
    </row>
    <row r="549" spans="1:5" x14ac:dyDescent="0.5">
      <c r="A549" s="7">
        <v>1710620</v>
      </c>
      <c r="B549" s="8" t="s">
        <v>748</v>
      </c>
      <c r="C549" s="8">
        <v>164</v>
      </c>
      <c r="D549" s="8" t="s">
        <v>749</v>
      </c>
      <c r="E549" s="8">
        <v>1610620</v>
      </c>
    </row>
    <row r="550" spans="1:5" x14ac:dyDescent="0.5">
      <c r="A550" s="7">
        <v>1710640</v>
      </c>
      <c r="B550" s="8" t="s">
        <v>861</v>
      </c>
      <c r="C550" s="8">
        <v>166</v>
      </c>
      <c r="D550" s="8" t="s">
        <v>862</v>
      </c>
      <c r="E550" s="8">
        <v>2710640</v>
      </c>
    </row>
    <row r="551" spans="1:5" x14ac:dyDescent="0.5">
      <c r="A551" s="7">
        <v>1710790</v>
      </c>
      <c r="B551" s="8" t="s">
        <v>753</v>
      </c>
      <c r="C551" s="8">
        <v>177</v>
      </c>
      <c r="D551" s="8" t="s">
        <v>754</v>
      </c>
      <c r="E551" s="8">
        <v>1710790</v>
      </c>
    </row>
    <row r="552" spans="1:5" x14ac:dyDescent="0.5">
      <c r="A552" s="7">
        <v>1710800</v>
      </c>
      <c r="B552" s="8" t="s">
        <v>616</v>
      </c>
      <c r="C552" s="8">
        <v>182</v>
      </c>
      <c r="D552" s="8" t="s">
        <v>755</v>
      </c>
      <c r="E552" s="8">
        <v>3110800</v>
      </c>
    </row>
    <row r="553" spans="1:5" x14ac:dyDescent="0.5">
      <c r="A553" s="7">
        <v>1710810</v>
      </c>
      <c r="B553" s="8" t="s">
        <v>756</v>
      </c>
      <c r="C553" s="8">
        <v>183</v>
      </c>
      <c r="D553" s="8" t="s">
        <v>712</v>
      </c>
      <c r="E553" s="8">
        <v>1210810</v>
      </c>
    </row>
    <row r="554" spans="1:5" x14ac:dyDescent="0.5">
      <c r="A554" s="7">
        <v>1710820</v>
      </c>
      <c r="B554" s="8" t="s">
        <v>707</v>
      </c>
      <c r="C554" s="8">
        <v>184</v>
      </c>
      <c r="D554" s="8" t="s">
        <v>708</v>
      </c>
      <c r="E554" s="8">
        <v>1310820</v>
      </c>
    </row>
    <row r="555" spans="1:5" x14ac:dyDescent="0.5">
      <c r="A555" s="7">
        <v>1710860</v>
      </c>
      <c r="B555" s="8" t="s">
        <v>817</v>
      </c>
      <c r="C555" s="8">
        <v>188</v>
      </c>
      <c r="D555" s="8" t="s">
        <v>818</v>
      </c>
      <c r="E555" s="8">
        <v>2310860</v>
      </c>
    </row>
    <row r="556" spans="1:5" x14ac:dyDescent="0.5">
      <c r="A556" s="7">
        <v>1710870</v>
      </c>
      <c r="B556" s="8" t="s">
        <v>709</v>
      </c>
      <c r="C556" s="8">
        <v>192</v>
      </c>
      <c r="D556" s="8" t="s">
        <v>710</v>
      </c>
      <c r="E556" s="8">
        <v>1310870</v>
      </c>
    </row>
    <row r="557" spans="1:5" x14ac:dyDescent="0.5">
      <c r="A557" s="7">
        <v>1711030</v>
      </c>
      <c r="B557" s="8" t="s">
        <v>757</v>
      </c>
      <c r="C557" s="8">
        <v>203</v>
      </c>
      <c r="D557" s="8" t="s">
        <v>716</v>
      </c>
      <c r="E557" s="8">
        <v>1611030</v>
      </c>
    </row>
    <row r="558" spans="1:5" x14ac:dyDescent="0.5">
      <c r="A558" s="7">
        <v>1711040</v>
      </c>
      <c r="B558" s="8" t="s">
        <v>824</v>
      </c>
      <c r="C558" s="8">
        <v>203</v>
      </c>
      <c r="D558" s="8" t="s">
        <v>716</v>
      </c>
      <c r="E558" s="8">
        <v>1611030</v>
      </c>
    </row>
    <row r="559" spans="1:5" x14ac:dyDescent="0.5">
      <c r="A559" s="7">
        <v>1711070</v>
      </c>
      <c r="B559" s="8" t="s">
        <v>825</v>
      </c>
      <c r="C559" s="8">
        <v>206</v>
      </c>
      <c r="D559" s="8" t="s">
        <v>826</v>
      </c>
      <c r="E559" s="8">
        <v>2311070</v>
      </c>
    </row>
    <row r="560" spans="1:5" x14ac:dyDescent="0.5">
      <c r="A560" s="7">
        <v>1711080</v>
      </c>
      <c r="B560" s="8" t="s">
        <v>715</v>
      </c>
      <c r="C560" s="8">
        <v>203</v>
      </c>
      <c r="D560" s="8" t="s">
        <v>716</v>
      </c>
      <c r="E560" s="8">
        <v>1611030</v>
      </c>
    </row>
    <row r="561" spans="1:5" x14ac:dyDescent="0.5">
      <c r="A561" s="7">
        <v>1711150</v>
      </c>
      <c r="B561" s="8" t="s">
        <v>805</v>
      </c>
      <c r="C561" s="8">
        <v>212</v>
      </c>
      <c r="D561" s="8" t="s">
        <v>806</v>
      </c>
      <c r="E561" s="8">
        <v>1711150</v>
      </c>
    </row>
    <row r="562" spans="1:5" x14ac:dyDescent="0.5">
      <c r="A562" s="7">
        <v>1711240</v>
      </c>
      <c r="B562" s="8" t="s">
        <v>627</v>
      </c>
      <c r="C562" s="8">
        <v>219</v>
      </c>
      <c r="D562" s="8" t="s">
        <v>628</v>
      </c>
      <c r="E562" s="8">
        <v>1811240</v>
      </c>
    </row>
    <row r="563" spans="1:5" x14ac:dyDescent="0.5">
      <c r="A563" s="7">
        <v>1711250</v>
      </c>
      <c r="B563" s="8" t="s">
        <v>629</v>
      </c>
      <c r="C563" s="8">
        <v>221</v>
      </c>
      <c r="D563" s="8" t="s">
        <v>758</v>
      </c>
      <c r="E563" s="8">
        <v>2911250</v>
      </c>
    </row>
    <row r="564" spans="1:5" x14ac:dyDescent="0.5">
      <c r="A564" s="7">
        <v>1711260</v>
      </c>
      <c r="B564" s="8" t="s">
        <v>631</v>
      </c>
      <c r="C564" s="8">
        <v>222</v>
      </c>
      <c r="D564" s="8" t="s">
        <v>632</v>
      </c>
      <c r="E564" s="8">
        <v>2111260</v>
      </c>
    </row>
    <row r="565" spans="1:5" x14ac:dyDescent="0.5">
      <c r="A565" s="7">
        <v>1711270</v>
      </c>
      <c r="B565" s="8" t="s">
        <v>765</v>
      </c>
      <c r="C565" s="8">
        <v>224</v>
      </c>
      <c r="D565" s="8" t="s">
        <v>766</v>
      </c>
      <c r="E565" s="8">
        <v>1711270</v>
      </c>
    </row>
    <row r="566" spans="1:5" x14ac:dyDescent="0.5">
      <c r="A566" s="7">
        <v>1711350</v>
      </c>
      <c r="B566" s="8" t="s">
        <v>767</v>
      </c>
      <c r="C566" s="8">
        <v>232</v>
      </c>
      <c r="D566" s="8" t="s">
        <v>768</v>
      </c>
      <c r="E566" s="8">
        <v>2411350</v>
      </c>
    </row>
    <row r="567" spans="1:5" x14ac:dyDescent="0.5">
      <c r="A567" s="7">
        <v>1711450</v>
      </c>
      <c r="B567" s="8" t="s">
        <v>785</v>
      </c>
      <c r="C567" s="8">
        <v>243</v>
      </c>
      <c r="D567" s="8" t="s">
        <v>786</v>
      </c>
      <c r="E567" s="8">
        <v>2911450</v>
      </c>
    </row>
    <row r="568" spans="1:5" x14ac:dyDescent="0.5">
      <c r="A568" s="7">
        <v>1711530</v>
      </c>
      <c r="B568" s="8" t="s">
        <v>761</v>
      </c>
      <c r="C568" s="8">
        <v>250</v>
      </c>
      <c r="D568" s="8" t="s">
        <v>762</v>
      </c>
      <c r="E568" s="8">
        <v>1211530</v>
      </c>
    </row>
    <row r="569" spans="1:5" x14ac:dyDescent="0.5">
      <c r="A569" s="7">
        <v>1711540</v>
      </c>
      <c r="B569" s="8" t="s">
        <v>635</v>
      </c>
      <c r="C569" s="8">
        <v>259</v>
      </c>
      <c r="D569" s="8" t="s">
        <v>636</v>
      </c>
      <c r="E569" s="8">
        <v>2811590</v>
      </c>
    </row>
    <row r="570" spans="1:5" x14ac:dyDescent="0.5">
      <c r="A570" s="7">
        <v>1711590</v>
      </c>
      <c r="B570" s="8" t="s">
        <v>779</v>
      </c>
      <c r="C570" s="8">
        <v>259</v>
      </c>
      <c r="D570" s="8" t="s">
        <v>636</v>
      </c>
      <c r="E570" s="8">
        <v>2811590</v>
      </c>
    </row>
    <row r="571" spans="1:5" x14ac:dyDescent="0.5">
      <c r="A571" s="7">
        <v>1711600</v>
      </c>
      <c r="B571" s="8" t="s">
        <v>780</v>
      </c>
      <c r="C571" s="8">
        <v>259</v>
      </c>
      <c r="D571" s="8" t="s">
        <v>636</v>
      </c>
      <c r="E571" s="8">
        <v>2811590</v>
      </c>
    </row>
    <row r="572" spans="1:5" x14ac:dyDescent="0.5">
      <c r="A572" s="7">
        <v>1810010</v>
      </c>
      <c r="B572" s="8" t="s">
        <v>577</v>
      </c>
      <c r="C572" s="8">
        <v>100</v>
      </c>
      <c r="D572" s="8" t="s">
        <v>578</v>
      </c>
      <c r="E572" s="8" t="s">
        <v>579</v>
      </c>
    </row>
    <row r="573" spans="1:5" x14ac:dyDescent="0.5">
      <c r="A573" s="7">
        <v>1810060</v>
      </c>
      <c r="B573" s="8" t="s">
        <v>581</v>
      </c>
      <c r="C573" s="8">
        <v>100</v>
      </c>
      <c r="D573" s="8" t="s">
        <v>578</v>
      </c>
      <c r="E573" s="8" t="s">
        <v>579</v>
      </c>
    </row>
    <row r="574" spans="1:5" x14ac:dyDescent="0.5">
      <c r="A574" s="7">
        <v>1810110</v>
      </c>
      <c r="B574" s="8" t="s">
        <v>730</v>
      </c>
      <c r="C574" s="8">
        <v>102</v>
      </c>
      <c r="D574" s="8" t="s">
        <v>731</v>
      </c>
      <c r="E574" s="8">
        <v>2010110</v>
      </c>
    </row>
    <row r="575" spans="1:5" x14ac:dyDescent="0.5">
      <c r="A575" s="7">
        <v>1810120</v>
      </c>
      <c r="B575" s="8" t="s">
        <v>852</v>
      </c>
      <c r="C575" s="8">
        <v>103</v>
      </c>
      <c r="D575" s="8" t="s">
        <v>853</v>
      </c>
      <c r="E575" s="8">
        <v>1610120</v>
      </c>
    </row>
    <row r="576" spans="1:5" x14ac:dyDescent="0.5">
      <c r="A576" s="7">
        <v>1810170</v>
      </c>
      <c r="B576" s="8" t="s">
        <v>732</v>
      </c>
      <c r="C576" s="8">
        <v>108</v>
      </c>
      <c r="D576" s="8" t="s">
        <v>733</v>
      </c>
      <c r="E576" s="8">
        <v>1810170</v>
      </c>
    </row>
    <row r="577" spans="1:5" x14ac:dyDescent="0.5">
      <c r="A577" s="7">
        <v>1810190</v>
      </c>
      <c r="B577" s="8" t="s">
        <v>702</v>
      </c>
      <c r="C577" s="8">
        <v>110</v>
      </c>
      <c r="D577" s="8" t="s">
        <v>703</v>
      </c>
      <c r="E577" s="8">
        <v>1210190</v>
      </c>
    </row>
    <row r="578" spans="1:5" x14ac:dyDescent="0.5">
      <c r="A578" s="7">
        <v>1810460</v>
      </c>
      <c r="B578" s="8" t="s">
        <v>601</v>
      </c>
      <c r="C578" s="8">
        <v>139</v>
      </c>
      <c r="D578" s="8" t="s">
        <v>602</v>
      </c>
      <c r="E578" s="8">
        <v>2110460</v>
      </c>
    </row>
    <row r="579" spans="1:5" x14ac:dyDescent="0.5">
      <c r="A579" s="7">
        <v>1810500</v>
      </c>
      <c r="B579" s="8" t="s">
        <v>856</v>
      </c>
      <c r="C579" s="8">
        <v>145</v>
      </c>
      <c r="D579" s="8" t="s">
        <v>857</v>
      </c>
      <c r="E579" s="8">
        <v>2810500</v>
      </c>
    </row>
    <row r="580" spans="1:5" x14ac:dyDescent="0.5">
      <c r="A580" s="7">
        <v>1810510</v>
      </c>
      <c r="B580" s="8" t="s">
        <v>740</v>
      </c>
      <c r="C580" s="8">
        <v>146</v>
      </c>
      <c r="D580" s="8" t="s">
        <v>741</v>
      </c>
      <c r="E580" s="8">
        <v>2810510</v>
      </c>
    </row>
    <row r="581" spans="1:5" x14ac:dyDescent="0.5">
      <c r="A581" s="7">
        <v>1810520</v>
      </c>
      <c r="B581" s="8" t="s">
        <v>808</v>
      </c>
      <c r="C581" s="8">
        <v>147</v>
      </c>
      <c r="D581" s="8" t="s">
        <v>809</v>
      </c>
      <c r="E581" s="8">
        <v>1310520</v>
      </c>
    </row>
    <row r="582" spans="1:5" x14ac:dyDescent="0.5">
      <c r="A582" s="7">
        <v>1810550</v>
      </c>
      <c r="B582" s="8" t="s">
        <v>604</v>
      </c>
      <c r="C582" s="8">
        <v>152</v>
      </c>
      <c r="D582" s="8" t="s">
        <v>858</v>
      </c>
      <c r="E582" s="8">
        <v>2110550</v>
      </c>
    </row>
    <row r="583" spans="1:5" x14ac:dyDescent="0.5">
      <c r="A583" s="7">
        <v>1810560</v>
      </c>
      <c r="B583" s="8" t="s">
        <v>606</v>
      </c>
      <c r="C583" s="8">
        <v>155</v>
      </c>
      <c r="D583" s="8" t="s">
        <v>802</v>
      </c>
      <c r="E583" s="8">
        <v>1910560</v>
      </c>
    </row>
    <row r="584" spans="1:5" x14ac:dyDescent="0.5">
      <c r="A584" s="7">
        <v>1810570</v>
      </c>
      <c r="B584" s="8" t="s">
        <v>810</v>
      </c>
      <c r="C584" s="8">
        <v>157</v>
      </c>
      <c r="D584" s="8" t="s">
        <v>811</v>
      </c>
      <c r="E584" s="8">
        <v>2810570</v>
      </c>
    </row>
    <row r="585" spans="1:5" x14ac:dyDescent="0.5">
      <c r="A585" s="7">
        <v>1810610</v>
      </c>
      <c r="B585" s="8" t="s">
        <v>746</v>
      </c>
      <c r="C585" s="8">
        <v>163</v>
      </c>
      <c r="D585" s="8" t="s">
        <v>747</v>
      </c>
      <c r="E585" s="8">
        <v>2910610</v>
      </c>
    </row>
    <row r="586" spans="1:5" x14ac:dyDescent="0.5">
      <c r="A586" s="7">
        <v>1810620</v>
      </c>
      <c r="B586" s="8" t="s">
        <v>748</v>
      </c>
      <c r="C586" s="8">
        <v>164</v>
      </c>
      <c r="D586" s="8" t="s">
        <v>749</v>
      </c>
      <c r="E586" s="8">
        <v>1610620</v>
      </c>
    </row>
    <row r="587" spans="1:5" x14ac:dyDescent="0.5">
      <c r="A587" s="7">
        <v>1810790</v>
      </c>
      <c r="B587" s="8" t="s">
        <v>753</v>
      </c>
      <c r="C587" s="8">
        <v>177</v>
      </c>
      <c r="D587" s="8" t="s">
        <v>754</v>
      </c>
      <c r="E587" s="8">
        <v>1710790</v>
      </c>
    </row>
    <row r="588" spans="1:5" x14ac:dyDescent="0.5">
      <c r="A588" s="7">
        <v>1810800</v>
      </c>
      <c r="B588" s="8" t="s">
        <v>616</v>
      </c>
      <c r="C588" s="8">
        <v>182</v>
      </c>
      <c r="D588" s="8" t="s">
        <v>755</v>
      </c>
      <c r="E588" s="8">
        <v>3110800</v>
      </c>
    </row>
    <row r="589" spans="1:5" x14ac:dyDescent="0.5">
      <c r="A589" s="7">
        <v>1810810</v>
      </c>
      <c r="B589" s="8" t="s">
        <v>756</v>
      </c>
      <c r="C589" s="8">
        <v>183</v>
      </c>
      <c r="D589" s="8" t="s">
        <v>712</v>
      </c>
      <c r="E589" s="8">
        <v>1210810</v>
      </c>
    </row>
    <row r="590" spans="1:5" x14ac:dyDescent="0.5">
      <c r="A590" s="7">
        <v>1810860</v>
      </c>
      <c r="B590" s="8" t="s">
        <v>817</v>
      </c>
      <c r="C590" s="8">
        <v>188</v>
      </c>
      <c r="D590" s="8" t="s">
        <v>818</v>
      </c>
      <c r="E590" s="8">
        <v>2310860</v>
      </c>
    </row>
    <row r="591" spans="1:5" x14ac:dyDescent="0.5">
      <c r="A591" s="7">
        <v>1811060</v>
      </c>
      <c r="B591" s="8" t="s">
        <v>622</v>
      </c>
      <c r="C591" s="8">
        <v>204</v>
      </c>
      <c r="D591" s="8" t="s">
        <v>623</v>
      </c>
      <c r="E591" s="8">
        <v>911060</v>
      </c>
    </row>
    <row r="592" spans="1:5" x14ac:dyDescent="0.5">
      <c r="A592" s="7">
        <v>1811230</v>
      </c>
      <c r="B592" s="8" t="s">
        <v>625</v>
      </c>
      <c r="C592" s="8">
        <v>218</v>
      </c>
      <c r="D592" s="8" t="s">
        <v>626</v>
      </c>
      <c r="E592" s="8">
        <v>811230</v>
      </c>
    </row>
    <row r="593" spans="1:5" x14ac:dyDescent="0.5">
      <c r="A593" s="7">
        <v>1811240</v>
      </c>
      <c r="B593" s="8" t="s">
        <v>627</v>
      </c>
      <c r="C593" s="8">
        <v>219</v>
      </c>
      <c r="D593" s="8" t="s">
        <v>628</v>
      </c>
      <c r="E593" s="8">
        <v>1811240</v>
      </c>
    </row>
    <row r="594" spans="1:5" x14ac:dyDescent="0.5">
      <c r="A594" s="7">
        <v>1811250</v>
      </c>
      <c r="B594" s="8" t="s">
        <v>629</v>
      </c>
      <c r="C594" s="8">
        <v>221</v>
      </c>
      <c r="D594" s="8" t="s">
        <v>758</v>
      </c>
      <c r="E594" s="8">
        <v>2911250</v>
      </c>
    </row>
    <row r="595" spans="1:5" x14ac:dyDescent="0.5">
      <c r="A595" s="7">
        <v>1811260</v>
      </c>
      <c r="B595" s="8" t="s">
        <v>631</v>
      </c>
      <c r="C595" s="8">
        <v>222</v>
      </c>
      <c r="D595" s="8" t="s">
        <v>632</v>
      </c>
      <c r="E595" s="8">
        <v>2111260</v>
      </c>
    </row>
    <row r="596" spans="1:5" x14ac:dyDescent="0.5">
      <c r="A596" s="7">
        <v>1811270</v>
      </c>
      <c r="B596" s="8" t="s">
        <v>765</v>
      </c>
      <c r="C596" s="8">
        <v>224</v>
      </c>
      <c r="D596" s="8" t="s">
        <v>766</v>
      </c>
      <c r="E596" s="8">
        <v>1711270</v>
      </c>
    </row>
    <row r="597" spans="1:5" x14ac:dyDescent="0.5">
      <c r="A597" s="7">
        <v>1811350</v>
      </c>
      <c r="B597" s="8" t="s">
        <v>767</v>
      </c>
      <c r="C597" s="8">
        <v>232</v>
      </c>
      <c r="D597" s="8" t="s">
        <v>768</v>
      </c>
      <c r="E597" s="8">
        <v>2411350</v>
      </c>
    </row>
    <row r="598" spans="1:5" x14ac:dyDescent="0.5">
      <c r="A598" s="7">
        <v>1811390</v>
      </c>
      <c r="B598" s="8" t="s">
        <v>775</v>
      </c>
      <c r="C598" s="8">
        <v>236</v>
      </c>
      <c r="D598" s="8" t="s">
        <v>776</v>
      </c>
      <c r="E598" s="8">
        <v>2011390</v>
      </c>
    </row>
    <row r="599" spans="1:5" x14ac:dyDescent="0.5">
      <c r="A599" s="7">
        <v>1811530</v>
      </c>
      <c r="B599" s="8" t="s">
        <v>761</v>
      </c>
      <c r="C599" s="8">
        <v>250</v>
      </c>
      <c r="D599" s="8" t="s">
        <v>762</v>
      </c>
      <c r="E599" s="8">
        <v>1211530</v>
      </c>
    </row>
    <row r="600" spans="1:5" x14ac:dyDescent="0.5">
      <c r="A600" s="7">
        <v>1811540</v>
      </c>
      <c r="B600" s="8" t="s">
        <v>635</v>
      </c>
      <c r="C600" s="8">
        <v>259</v>
      </c>
      <c r="D600" s="8" t="s">
        <v>636</v>
      </c>
      <c r="E600" s="8">
        <v>2811590</v>
      </c>
    </row>
    <row r="601" spans="1:5" x14ac:dyDescent="0.5">
      <c r="A601" s="7">
        <v>1811590</v>
      </c>
      <c r="B601" s="8" t="s">
        <v>779</v>
      </c>
      <c r="C601" s="8">
        <v>259</v>
      </c>
      <c r="D601" s="8" t="s">
        <v>636</v>
      </c>
      <c r="E601" s="8">
        <v>2811590</v>
      </c>
    </row>
    <row r="602" spans="1:5" x14ac:dyDescent="0.5">
      <c r="A602" s="7">
        <v>1811600</v>
      </c>
      <c r="B602" s="8" t="s">
        <v>780</v>
      </c>
      <c r="C602" s="8">
        <v>259</v>
      </c>
      <c r="D602" s="8" t="s">
        <v>636</v>
      </c>
      <c r="E602" s="8">
        <v>2811590</v>
      </c>
    </row>
    <row r="603" spans="1:5" x14ac:dyDescent="0.5">
      <c r="A603" s="7">
        <v>1910010</v>
      </c>
      <c r="B603" s="8" t="s">
        <v>577</v>
      </c>
      <c r="C603" s="8">
        <v>100</v>
      </c>
      <c r="D603" s="8" t="s">
        <v>578</v>
      </c>
      <c r="E603" s="8" t="s">
        <v>579</v>
      </c>
    </row>
    <row r="604" spans="1:5" x14ac:dyDescent="0.5">
      <c r="A604" s="7">
        <v>1910060</v>
      </c>
      <c r="B604" s="8" t="s">
        <v>581</v>
      </c>
      <c r="C604" s="8">
        <v>100</v>
      </c>
      <c r="D604" s="8" t="s">
        <v>578</v>
      </c>
      <c r="E604" s="8" t="s">
        <v>579</v>
      </c>
    </row>
    <row r="605" spans="1:5" x14ac:dyDescent="0.5">
      <c r="A605" s="7">
        <v>1910090</v>
      </c>
      <c r="B605" s="8" t="s">
        <v>870</v>
      </c>
      <c r="C605" s="8">
        <v>101</v>
      </c>
      <c r="D605" s="8" t="s">
        <v>871</v>
      </c>
      <c r="E605" s="9">
        <v>1910090</v>
      </c>
    </row>
    <row r="606" spans="1:5" x14ac:dyDescent="0.5">
      <c r="A606" s="7">
        <v>1910110</v>
      </c>
      <c r="B606" s="8" t="s">
        <v>730</v>
      </c>
      <c r="C606" s="8">
        <v>102</v>
      </c>
      <c r="D606" s="8" t="s">
        <v>731</v>
      </c>
      <c r="E606" s="8">
        <v>2010110</v>
      </c>
    </row>
    <row r="607" spans="1:5" x14ac:dyDescent="0.5">
      <c r="A607" s="7">
        <v>1910190</v>
      </c>
      <c r="B607" s="8" t="s">
        <v>702</v>
      </c>
      <c r="C607" s="8">
        <v>110</v>
      </c>
      <c r="D607" s="8" t="s">
        <v>703</v>
      </c>
      <c r="E607" s="8">
        <v>1210190</v>
      </c>
    </row>
    <row r="608" spans="1:5" x14ac:dyDescent="0.5">
      <c r="A608" s="7">
        <v>1910451</v>
      </c>
      <c r="B608" s="8" t="s">
        <v>792</v>
      </c>
      <c r="C608" s="8">
        <v>135</v>
      </c>
      <c r="D608" s="8" t="s">
        <v>600</v>
      </c>
      <c r="E608" s="8">
        <v>910450</v>
      </c>
    </row>
    <row r="609" spans="1:5" x14ac:dyDescent="0.5">
      <c r="A609" s="7">
        <v>1910452</v>
      </c>
      <c r="B609" s="8" t="s">
        <v>793</v>
      </c>
      <c r="C609" s="8">
        <v>136</v>
      </c>
      <c r="D609" s="8" t="s">
        <v>794</v>
      </c>
      <c r="E609" s="8">
        <v>1010452</v>
      </c>
    </row>
    <row r="610" spans="1:5" x14ac:dyDescent="0.5">
      <c r="A610" s="7">
        <v>1910453</v>
      </c>
      <c r="B610" s="8" t="s">
        <v>795</v>
      </c>
      <c r="C610" s="8">
        <v>137</v>
      </c>
      <c r="D610" s="8" t="s">
        <v>796</v>
      </c>
      <c r="E610" s="8">
        <v>1010453</v>
      </c>
    </row>
    <row r="611" spans="1:5" x14ac:dyDescent="0.5">
      <c r="A611" s="7">
        <v>1910460</v>
      </c>
      <c r="B611" s="8" t="s">
        <v>601</v>
      </c>
      <c r="C611" s="8">
        <v>139</v>
      </c>
      <c r="D611" s="8" t="s">
        <v>602</v>
      </c>
      <c r="E611" s="8">
        <v>2110460</v>
      </c>
    </row>
    <row r="612" spans="1:5" x14ac:dyDescent="0.5">
      <c r="A612" s="7">
        <v>1910471</v>
      </c>
      <c r="B612" s="8" t="s">
        <v>771</v>
      </c>
      <c r="C612" s="8">
        <v>141</v>
      </c>
      <c r="D612" s="8" t="s">
        <v>797</v>
      </c>
      <c r="E612" s="8">
        <v>1010471</v>
      </c>
    </row>
    <row r="613" spans="1:5" x14ac:dyDescent="0.5">
      <c r="A613" s="7">
        <v>1910472</v>
      </c>
      <c r="B613" s="8" t="s">
        <v>798</v>
      </c>
      <c r="C613" s="8">
        <v>142</v>
      </c>
      <c r="D613" s="8" t="s">
        <v>799</v>
      </c>
      <c r="E613" s="8">
        <v>1010472</v>
      </c>
    </row>
    <row r="614" spans="1:5" x14ac:dyDescent="0.5">
      <c r="A614" s="7">
        <v>1910490</v>
      </c>
      <c r="B614" s="8" t="s">
        <v>854</v>
      </c>
      <c r="C614" s="8">
        <v>144</v>
      </c>
      <c r="D614" s="8" t="s">
        <v>855</v>
      </c>
      <c r="E614" s="8">
        <v>2010490</v>
      </c>
    </row>
    <row r="615" spans="1:5" x14ac:dyDescent="0.5">
      <c r="A615" s="7">
        <v>1910530</v>
      </c>
      <c r="B615" s="8" t="s">
        <v>800</v>
      </c>
      <c r="C615" s="8">
        <v>150</v>
      </c>
      <c r="D615" s="8" t="s">
        <v>603</v>
      </c>
      <c r="E615" s="8">
        <v>2910540</v>
      </c>
    </row>
    <row r="616" spans="1:5" x14ac:dyDescent="0.5">
      <c r="A616" s="7">
        <v>1910550</v>
      </c>
      <c r="B616" s="8" t="s">
        <v>604</v>
      </c>
      <c r="C616" s="8">
        <v>153</v>
      </c>
      <c r="D616" s="8" t="s">
        <v>801</v>
      </c>
      <c r="E616" s="8">
        <v>2910550</v>
      </c>
    </row>
    <row r="617" spans="1:5" x14ac:dyDescent="0.5">
      <c r="A617" s="7">
        <v>1910560</v>
      </c>
      <c r="B617" s="8" t="s">
        <v>606</v>
      </c>
      <c r="C617" s="8">
        <v>155</v>
      </c>
      <c r="D617" s="8" t="s">
        <v>802</v>
      </c>
      <c r="E617" s="8">
        <v>1910560</v>
      </c>
    </row>
    <row r="618" spans="1:5" x14ac:dyDescent="0.5">
      <c r="A618" s="7">
        <v>1910620</v>
      </c>
      <c r="B618" s="8" t="s">
        <v>748</v>
      </c>
      <c r="C618" s="8">
        <v>164</v>
      </c>
      <c r="D618" s="8" t="s">
        <v>749</v>
      </c>
      <c r="E618" s="8">
        <v>1610620</v>
      </c>
    </row>
    <row r="619" spans="1:5" x14ac:dyDescent="0.5">
      <c r="A619" s="7">
        <v>1910700</v>
      </c>
      <c r="B619" s="8" t="s">
        <v>803</v>
      </c>
      <c r="C619" s="8">
        <v>170</v>
      </c>
      <c r="D619" s="8" t="s">
        <v>752</v>
      </c>
      <c r="E619" s="8">
        <v>2110700</v>
      </c>
    </row>
    <row r="620" spans="1:5" x14ac:dyDescent="0.5">
      <c r="A620" s="7">
        <v>1910800</v>
      </c>
      <c r="B620" s="8" t="s">
        <v>616</v>
      </c>
      <c r="C620" s="8">
        <v>182</v>
      </c>
      <c r="D620" s="8" t="s">
        <v>755</v>
      </c>
      <c r="E620" s="8">
        <v>3110800</v>
      </c>
    </row>
    <row r="621" spans="1:5" x14ac:dyDescent="0.5">
      <c r="A621" s="7">
        <v>1910810</v>
      </c>
      <c r="B621" s="8" t="s">
        <v>756</v>
      </c>
      <c r="C621" s="8">
        <v>183</v>
      </c>
      <c r="D621" s="8" t="s">
        <v>712</v>
      </c>
      <c r="E621" s="8">
        <v>1210810</v>
      </c>
    </row>
    <row r="622" spans="1:5" x14ac:dyDescent="0.5">
      <c r="A622" s="7">
        <v>1911060</v>
      </c>
      <c r="B622" s="8" t="s">
        <v>622</v>
      </c>
      <c r="C622" s="8">
        <v>205</v>
      </c>
      <c r="D622" s="8" t="s">
        <v>804</v>
      </c>
      <c r="E622" s="8">
        <v>1911060</v>
      </c>
    </row>
    <row r="623" spans="1:5" x14ac:dyDescent="0.5">
      <c r="A623" s="7">
        <v>1911150</v>
      </c>
      <c r="B623" s="8" t="s">
        <v>805</v>
      </c>
      <c r="C623" s="8">
        <v>212</v>
      </c>
      <c r="D623" s="8" t="s">
        <v>806</v>
      </c>
      <c r="E623" s="8">
        <v>1711150</v>
      </c>
    </row>
    <row r="624" spans="1:5" x14ac:dyDescent="0.5">
      <c r="A624" s="7">
        <v>1911240</v>
      </c>
      <c r="B624" s="8" t="s">
        <v>627</v>
      </c>
      <c r="C624" s="8">
        <v>219</v>
      </c>
      <c r="D624" s="8" t="s">
        <v>628</v>
      </c>
      <c r="E624" s="8">
        <v>1811240</v>
      </c>
    </row>
    <row r="625" spans="1:5" x14ac:dyDescent="0.5">
      <c r="A625" s="7">
        <v>1911250</v>
      </c>
      <c r="B625" s="8" t="s">
        <v>629</v>
      </c>
      <c r="C625" s="8">
        <v>220</v>
      </c>
      <c r="D625" s="8" t="s">
        <v>630</v>
      </c>
      <c r="E625" s="8">
        <v>1011250</v>
      </c>
    </row>
    <row r="626" spans="1:5" x14ac:dyDescent="0.5">
      <c r="A626" s="7">
        <v>1911260</v>
      </c>
      <c r="B626" s="8" t="s">
        <v>631</v>
      </c>
      <c r="C626" s="8">
        <v>222</v>
      </c>
      <c r="D626" s="8" t="s">
        <v>632</v>
      </c>
      <c r="E626" s="8">
        <v>2111260</v>
      </c>
    </row>
    <row r="627" spans="1:5" x14ac:dyDescent="0.5">
      <c r="A627" s="7">
        <v>1911390</v>
      </c>
      <c r="B627" s="8" t="s">
        <v>775</v>
      </c>
      <c r="C627" s="8">
        <v>236</v>
      </c>
      <c r="D627" s="8" t="s">
        <v>776</v>
      </c>
      <c r="E627" s="8">
        <v>2011390</v>
      </c>
    </row>
    <row r="628" spans="1:5" x14ac:dyDescent="0.5">
      <c r="A628" s="7">
        <v>1911400</v>
      </c>
      <c r="B628" s="8" t="s">
        <v>781</v>
      </c>
      <c r="C628" s="8">
        <v>238</v>
      </c>
      <c r="D628" s="8" t="s">
        <v>782</v>
      </c>
      <c r="E628" s="8">
        <v>2911400</v>
      </c>
    </row>
    <row r="629" spans="1:5" x14ac:dyDescent="0.5">
      <c r="A629" s="7">
        <v>1911430</v>
      </c>
      <c r="B629" s="8" t="s">
        <v>783</v>
      </c>
      <c r="C629" s="8">
        <v>241</v>
      </c>
      <c r="D629" s="8" t="s">
        <v>784</v>
      </c>
      <c r="E629" s="8">
        <v>2811430</v>
      </c>
    </row>
    <row r="630" spans="1:5" x14ac:dyDescent="0.5">
      <c r="A630" s="7">
        <v>1911440</v>
      </c>
      <c r="B630" s="8" t="s">
        <v>812</v>
      </c>
      <c r="C630" s="8">
        <v>242</v>
      </c>
      <c r="D630" s="8" t="s">
        <v>813</v>
      </c>
      <c r="E630" s="8">
        <v>2811430</v>
      </c>
    </row>
    <row r="631" spans="1:5" x14ac:dyDescent="0.5">
      <c r="A631" s="7">
        <v>1911450</v>
      </c>
      <c r="B631" s="8" t="s">
        <v>785</v>
      </c>
      <c r="C631" s="8">
        <v>243</v>
      </c>
      <c r="D631" s="8" t="s">
        <v>786</v>
      </c>
      <c r="E631" s="8">
        <v>2911450</v>
      </c>
    </row>
    <row r="632" spans="1:5" x14ac:dyDescent="0.5">
      <c r="A632" s="7">
        <v>1911530</v>
      </c>
      <c r="B632" s="8" t="s">
        <v>761</v>
      </c>
      <c r="C632" s="8">
        <v>250</v>
      </c>
      <c r="D632" s="8" t="s">
        <v>762</v>
      </c>
      <c r="E632" s="8">
        <v>1211530</v>
      </c>
    </row>
    <row r="633" spans="1:5" x14ac:dyDescent="0.5">
      <c r="A633" s="7">
        <v>1911540</v>
      </c>
      <c r="B633" s="8" t="s">
        <v>635</v>
      </c>
      <c r="C633" s="8">
        <v>259</v>
      </c>
      <c r="D633" s="8" t="s">
        <v>636</v>
      </c>
      <c r="E633" s="8">
        <v>2811590</v>
      </c>
    </row>
    <row r="634" spans="1:5" x14ac:dyDescent="0.5">
      <c r="A634" s="7">
        <v>1911590</v>
      </c>
      <c r="B634" s="8" t="s">
        <v>779</v>
      </c>
      <c r="C634" s="8">
        <v>259</v>
      </c>
      <c r="D634" s="8" t="s">
        <v>636</v>
      </c>
      <c r="E634" s="8">
        <v>2811590</v>
      </c>
    </row>
    <row r="635" spans="1:5" x14ac:dyDescent="0.5">
      <c r="A635" s="7">
        <v>1911600</v>
      </c>
      <c r="B635" s="8" t="s">
        <v>780</v>
      </c>
      <c r="C635" s="8">
        <v>259</v>
      </c>
      <c r="D635" s="8" t="s">
        <v>636</v>
      </c>
      <c r="E635" s="8">
        <v>2811590</v>
      </c>
    </row>
    <row r="636" spans="1:5" x14ac:dyDescent="0.5">
      <c r="A636" s="7">
        <v>1911610</v>
      </c>
      <c r="B636" s="8" t="s">
        <v>787</v>
      </c>
      <c r="C636" s="8">
        <v>260</v>
      </c>
      <c r="D636" s="8" t="s">
        <v>788</v>
      </c>
      <c r="E636" s="8">
        <v>1011610</v>
      </c>
    </row>
    <row r="637" spans="1:5" x14ac:dyDescent="0.5">
      <c r="A637" s="7">
        <v>1911661</v>
      </c>
      <c r="B637" s="8" t="s">
        <v>790</v>
      </c>
      <c r="C637" s="8">
        <v>265</v>
      </c>
      <c r="D637" s="8" t="s">
        <v>791</v>
      </c>
      <c r="E637" s="8">
        <v>2111660</v>
      </c>
    </row>
    <row r="638" spans="1:5" x14ac:dyDescent="0.5">
      <c r="A638" s="7">
        <v>1911662</v>
      </c>
      <c r="B638" s="8" t="s">
        <v>872</v>
      </c>
      <c r="C638" s="8">
        <v>264</v>
      </c>
      <c r="D638" s="8" t="s">
        <v>789</v>
      </c>
      <c r="E638" s="8">
        <v>911650</v>
      </c>
    </row>
    <row r="639" spans="1:5" x14ac:dyDescent="0.5">
      <c r="A639" s="7">
        <v>1911670</v>
      </c>
      <c r="B639" s="8" t="s">
        <v>646</v>
      </c>
      <c r="C639" s="8">
        <v>267</v>
      </c>
      <c r="D639" s="8" t="s">
        <v>807</v>
      </c>
      <c r="E639" s="8">
        <v>2111670</v>
      </c>
    </row>
    <row r="640" spans="1:5" x14ac:dyDescent="0.5">
      <c r="A640" s="7">
        <v>2010070</v>
      </c>
      <c r="B640" s="8" t="s">
        <v>873</v>
      </c>
      <c r="C640" s="8">
        <v>100</v>
      </c>
      <c r="D640" s="8" t="s">
        <v>578</v>
      </c>
      <c r="E640" s="8" t="s">
        <v>579</v>
      </c>
    </row>
    <row r="641" spans="1:5" x14ac:dyDescent="0.5">
      <c r="A641" s="7">
        <v>2010110</v>
      </c>
      <c r="B641" s="8" t="s">
        <v>730</v>
      </c>
      <c r="C641" s="8">
        <v>102</v>
      </c>
      <c r="D641" s="8" t="s">
        <v>731</v>
      </c>
      <c r="E641" s="8">
        <v>2010110</v>
      </c>
    </row>
    <row r="642" spans="1:5" x14ac:dyDescent="0.5">
      <c r="A642" s="7">
        <v>2010451</v>
      </c>
      <c r="B642" s="8" t="s">
        <v>792</v>
      </c>
      <c r="C642" s="8">
        <v>135</v>
      </c>
      <c r="D642" s="8" t="s">
        <v>600</v>
      </c>
      <c r="E642" s="8">
        <v>910450</v>
      </c>
    </row>
    <row r="643" spans="1:5" x14ac:dyDescent="0.5">
      <c r="A643" s="7">
        <v>2010454</v>
      </c>
      <c r="B643" s="8" t="s">
        <v>874</v>
      </c>
      <c r="C643" s="8">
        <v>138</v>
      </c>
      <c r="D643" s="8" t="s">
        <v>875</v>
      </c>
      <c r="E643" s="8">
        <v>2010454</v>
      </c>
    </row>
    <row r="644" spans="1:5" x14ac:dyDescent="0.5">
      <c r="A644" s="7">
        <v>2010460</v>
      </c>
      <c r="B644" s="8" t="s">
        <v>601</v>
      </c>
      <c r="C644" s="8">
        <v>139</v>
      </c>
      <c r="D644" s="8" t="s">
        <v>602</v>
      </c>
      <c r="E644" s="8">
        <v>2110460</v>
      </c>
    </row>
    <row r="645" spans="1:5" x14ac:dyDescent="0.5">
      <c r="A645" s="7">
        <v>2010490</v>
      </c>
      <c r="B645" s="8" t="s">
        <v>854</v>
      </c>
      <c r="C645" s="8">
        <v>144</v>
      </c>
      <c r="D645" s="8" t="s">
        <v>855</v>
      </c>
      <c r="E645" s="8">
        <v>2010490</v>
      </c>
    </row>
    <row r="646" spans="1:5" x14ac:dyDescent="0.5">
      <c r="A646" s="7">
        <v>2010540</v>
      </c>
      <c r="B646" s="8" t="s">
        <v>816</v>
      </c>
      <c r="C646" s="8">
        <v>150</v>
      </c>
      <c r="D646" s="8" t="s">
        <v>603</v>
      </c>
      <c r="E646" s="8">
        <v>2910540</v>
      </c>
    </row>
    <row r="647" spans="1:5" x14ac:dyDescent="0.5">
      <c r="A647" s="7">
        <v>2010550</v>
      </c>
      <c r="B647" s="8" t="s">
        <v>604</v>
      </c>
      <c r="C647" s="8">
        <v>151</v>
      </c>
      <c r="D647" s="8" t="s">
        <v>605</v>
      </c>
      <c r="E647" s="8">
        <v>2010550</v>
      </c>
    </row>
    <row r="648" spans="1:5" x14ac:dyDescent="0.5">
      <c r="A648" s="7">
        <v>2010560</v>
      </c>
      <c r="B648" s="8" t="s">
        <v>606</v>
      </c>
      <c r="C648" s="8">
        <v>155</v>
      </c>
      <c r="D648" s="8" t="s">
        <v>802</v>
      </c>
      <c r="E648" s="8">
        <v>1910560</v>
      </c>
    </row>
    <row r="649" spans="1:5" x14ac:dyDescent="0.5">
      <c r="A649" s="7">
        <v>2010610</v>
      </c>
      <c r="B649" s="8" t="s">
        <v>746</v>
      </c>
      <c r="C649" s="8">
        <v>163</v>
      </c>
      <c r="D649" s="8" t="s">
        <v>747</v>
      </c>
      <c r="E649" s="8">
        <v>2910610</v>
      </c>
    </row>
    <row r="650" spans="1:5" x14ac:dyDescent="0.5">
      <c r="A650" s="7">
        <v>2010850</v>
      </c>
      <c r="B650" s="8" t="s">
        <v>876</v>
      </c>
      <c r="C650" s="8">
        <v>187</v>
      </c>
      <c r="D650" s="8" t="s">
        <v>877</v>
      </c>
      <c r="E650" s="8">
        <v>2010850</v>
      </c>
    </row>
    <row r="651" spans="1:5" x14ac:dyDescent="0.5">
      <c r="A651" s="7">
        <v>2011060</v>
      </c>
      <c r="B651" s="8" t="s">
        <v>622</v>
      </c>
      <c r="C651" s="8">
        <v>205</v>
      </c>
      <c r="D651" s="8" t="s">
        <v>804</v>
      </c>
      <c r="E651" s="8">
        <v>1911060</v>
      </c>
    </row>
    <row r="652" spans="1:5" x14ac:dyDescent="0.5">
      <c r="A652" s="7">
        <v>2011170</v>
      </c>
      <c r="B652" s="8" t="s">
        <v>827</v>
      </c>
      <c r="C652" s="8">
        <v>150</v>
      </c>
      <c r="D652" s="8" t="s">
        <v>603</v>
      </c>
      <c r="E652" s="8">
        <v>2910540</v>
      </c>
    </row>
    <row r="653" spans="1:5" x14ac:dyDescent="0.5">
      <c r="A653" s="7">
        <v>2011250</v>
      </c>
      <c r="B653" s="8" t="s">
        <v>629</v>
      </c>
      <c r="C653" s="8">
        <v>221</v>
      </c>
      <c r="D653" s="8" t="s">
        <v>758</v>
      </c>
      <c r="E653" s="8">
        <v>2911250</v>
      </c>
    </row>
    <row r="654" spans="1:5" x14ac:dyDescent="0.5">
      <c r="A654" s="7">
        <v>2011260</v>
      </c>
      <c r="B654" s="8" t="s">
        <v>631</v>
      </c>
      <c r="C654" s="8">
        <v>222</v>
      </c>
      <c r="D654" s="8" t="s">
        <v>632</v>
      </c>
      <c r="E654" s="8">
        <v>2111260</v>
      </c>
    </row>
    <row r="655" spans="1:5" x14ac:dyDescent="0.5">
      <c r="A655" s="7">
        <v>2011390</v>
      </c>
      <c r="B655" s="8" t="s">
        <v>775</v>
      </c>
      <c r="C655" s="8">
        <v>236</v>
      </c>
      <c r="D655" s="8" t="s">
        <v>776</v>
      </c>
      <c r="E655" s="8">
        <v>2011390</v>
      </c>
    </row>
    <row r="656" spans="1:5" x14ac:dyDescent="0.5">
      <c r="A656" s="7">
        <v>2011400</v>
      </c>
      <c r="B656" s="8" t="s">
        <v>781</v>
      </c>
      <c r="C656" s="8">
        <v>238</v>
      </c>
      <c r="D656" s="8" t="s">
        <v>782</v>
      </c>
      <c r="E656" s="8">
        <v>2911400</v>
      </c>
    </row>
    <row r="657" spans="1:5" x14ac:dyDescent="0.5">
      <c r="A657" s="7">
        <v>2011410</v>
      </c>
      <c r="B657" s="8" t="s">
        <v>878</v>
      </c>
      <c r="C657" s="8">
        <v>239</v>
      </c>
      <c r="D657" s="8" t="s">
        <v>879</v>
      </c>
      <c r="E657" s="8">
        <v>3111410</v>
      </c>
    </row>
    <row r="658" spans="1:5" x14ac:dyDescent="0.5">
      <c r="A658" s="7">
        <v>2011450</v>
      </c>
      <c r="B658" s="8" t="s">
        <v>785</v>
      </c>
      <c r="C658" s="8">
        <v>243</v>
      </c>
      <c r="D658" s="8" t="s">
        <v>786</v>
      </c>
      <c r="E658" s="8">
        <v>2911450</v>
      </c>
    </row>
    <row r="659" spans="1:5" x14ac:dyDescent="0.5">
      <c r="A659" s="7">
        <v>2011480</v>
      </c>
      <c r="B659" s="8" t="s">
        <v>880</v>
      </c>
      <c r="C659" s="8">
        <v>246</v>
      </c>
      <c r="D659" s="8" t="s">
        <v>881</v>
      </c>
      <c r="E659" s="8">
        <v>3111480</v>
      </c>
    </row>
    <row r="660" spans="1:5" x14ac:dyDescent="0.5">
      <c r="A660" s="7">
        <v>2011530</v>
      </c>
      <c r="B660" s="8" t="s">
        <v>761</v>
      </c>
      <c r="C660" s="8">
        <v>250</v>
      </c>
      <c r="D660" s="8" t="s">
        <v>762</v>
      </c>
      <c r="E660" s="8">
        <v>1211530</v>
      </c>
    </row>
    <row r="661" spans="1:5" x14ac:dyDescent="0.5">
      <c r="A661" s="7">
        <v>2011590</v>
      </c>
      <c r="B661" s="8" t="s">
        <v>779</v>
      </c>
      <c r="C661" s="8">
        <v>259</v>
      </c>
      <c r="D661" s="8" t="s">
        <v>636</v>
      </c>
      <c r="E661" s="8">
        <v>2811590</v>
      </c>
    </row>
    <row r="662" spans="1:5" x14ac:dyDescent="0.5">
      <c r="A662" s="7">
        <v>2011600</v>
      </c>
      <c r="B662" s="8" t="s">
        <v>780</v>
      </c>
      <c r="C662" s="8">
        <v>259</v>
      </c>
      <c r="D662" s="8" t="s">
        <v>636</v>
      </c>
      <c r="E662" s="8">
        <v>2811590</v>
      </c>
    </row>
    <row r="663" spans="1:5" x14ac:dyDescent="0.5">
      <c r="A663" s="7">
        <v>2011620</v>
      </c>
      <c r="B663" s="8" t="s">
        <v>882</v>
      </c>
      <c r="C663" s="8">
        <v>261</v>
      </c>
      <c r="D663" s="8" t="s">
        <v>883</v>
      </c>
      <c r="E663" s="8">
        <v>3111620</v>
      </c>
    </row>
    <row r="664" spans="1:5" x14ac:dyDescent="0.5">
      <c r="A664" s="7">
        <v>2013850</v>
      </c>
      <c r="B664" s="8" t="s">
        <v>884</v>
      </c>
      <c r="C664" s="8">
        <v>187</v>
      </c>
      <c r="D664" s="8" t="s">
        <v>877</v>
      </c>
      <c r="E664" s="8">
        <v>2010850</v>
      </c>
    </row>
    <row r="665" spans="1:5" x14ac:dyDescent="0.5">
      <c r="A665" s="7">
        <v>2014950</v>
      </c>
      <c r="B665" s="8" t="s">
        <v>885</v>
      </c>
      <c r="C665" s="8">
        <v>440</v>
      </c>
      <c r="D665" s="8" t="s">
        <v>886</v>
      </c>
      <c r="E665" s="8">
        <v>3114950</v>
      </c>
    </row>
    <row r="666" spans="1:5" x14ac:dyDescent="0.5">
      <c r="A666" s="7">
        <v>2110110</v>
      </c>
      <c r="B666" s="8" t="s">
        <v>730</v>
      </c>
      <c r="C666" s="8">
        <v>102</v>
      </c>
      <c r="D666" s="8" t="s">
        <v>731</v>
      </c>
      <c r="E666" s="8">
        <v>2010110</v>
      </c>
    </row>
    <row r="667" spans="1:5" x14ac:dyDescent="0.5">
      <c r="A667" s="7">
        <v>2110120</v>
      </c>
      <c r="B667" s="8" t="s">
        <v>852</v>
      </c>
      <c r="C667" s="8">
        <v>103</v>
      </c>
      <c r="D667" s="8" t="s">
        <v>853</v>
      </c>
      <c r="E667" s="8">
        <v>1610120</v>
      </c>
    </row>
    <row r="668" spans="1:5" x14ac:dyDescent="0.5">
      <c r="A668" s="7">
        <v>2110450</v>
      </c>
      <c r="B668" s="8" t="s">
        <v>599</v>
      </c>
      <c r="C668" s="8">
        <v>265</v>
      </c>
      <c r="D668" s="8" t="s">
        <v>791</v>
      </c>
      <c r="E668" s="8">
        <v>2111660</v>
      </c>
    </row>
    <row r="669" spans="1:5" x14ac:dyDescent="0.5">
      <c r="A669" s="7">
        <v>2110460</v>
      </c>
      <c r="B669" s="8" t="s">
        <v>601</v>
      </c>
      <c r="C669" s="8">
        <v>139</v>
      </c>
      <c r="D669" s="8" t="s">
        <v>602</v>
      </c>
      <c r="E669" s="8">
        <v>2110460</v>
      </c>
    </row>
    <row r="670" spans="1:5" x14ac:dyDescent="0.5">
      <c r="A670" s="7">
        <v>2110490</v>
      </c>
      <c r="B670" s="8" t="s">
        <v>854</v>
      </c>
      <c r="C670" s="8">
        <v>144</v>
      </c>
      <c r="D670" s="8" t="s">
        <v>855</v>
      </c>
      <c r="E670" s="8">
        <v>2010490</v>
      </c>
    </row>
    <row r="671" spans="1:5" x14ac:dyDescent="0.5">
      <c r="A671" s="7">
        <v>2110510</v>
      </c>
      <c r="B671" s="8" t="s">
        <v>740</v>
      </c>
      <c r="C671" s="8">
        <v>146</v>
      </c>
      <c r="D671" s="8" t="s">
        <v>741</v>
      </c>
      <c r="E671" s="8">
        <v>2810510</v>
      </c>
    </row>
    <row r="672" spans="1:5" x14ac:dyDescent="0.5">
      <c r="A672" s="7">
        <v>2110520</v>
      </c>
      <c r="B672" s="8" t="s">
        <v>808</v>
      </c>
      <c r="C672" s="8">
        <v>147</v>
      </c>
      <c r="D672" s="8" t="s">
        <v>809</v>
      </c>
      <c r="E672" s="8">
        <v>1310520</v>
      </c>
    </row>
    <row r="673" spans="1:5" x14ac:dyDescent="0.5">
      <c r="A673" s="7">
        <v>2110550</v>
      </c>
      <c r="B673" s="8" t="s">
        <v>604</v>
      </c>
      <c r="C673" s="8">
        <v>152</v>
      </c>
      <c r="D673" s="8" t="s">
        <v>858</v>
      </c>
      <c r="E673" s="8">
        <v>2110550</v>
      </c>
    </row>
    <row r="674" spans="1:5" x14ac:dyDescent="0.5">
      <c r="A674" s="7">
        <v>2110560</v>
      </c>
      <c r="B674" s="8" t="s">
        <v>606</v>
      </c>
      <c r="C674" s="8">
        <v>156</v>
      </c>
      <c r="D674" s="8" t="s">
        <v>842</v>
      </c>
      <c r="E674" s="8">
        <v>2110560</v>
      </c>
    </row>
    <row r="675" spans="1:5" x14ac:dyDescent="0.5">
      <c r="A675" s="7">
        <v>2110620</v>
      </c>
      <c r="B675" s="8" t="s">
        <v>748</v>
      </c>
      <c r="C675" s="8">
        <v>164</v>
      </c>
      <c r="D675" s="8" t="s">
        <v>749</v>
      </c>
      <c r="E675" s="8">
        <v>1610620</v>
      </c>
    </row>
    <row r="676" spans="1:5" x14ac:dyDescent="0.5">
      <c r="A676" s="7">
        <v>2110700</v>
      </c>
      <c r="B676" s="8" t="s">
        <v>803</v>
      </c>
      <c r="C676" s="8">
        <v>170</v>
      </c>
      <c r="D676" s="8" t="s">
        <v>752</v>
      </c>
      <c r="E676" s="8">
        <v>2110700</v>
      </c>
    </row>
    <row r="677" spans="1:5" x14ac:dyDescent="0.5">
      <c r="A677" s="7">
        <v>2110801</v>
      </c>
      <c r="B677" s="8" t="s">
        <v>887</v>
      </c>
      <c r="C677" s="8">
        <v>179</v>
      </c>
      <c r="D677" s="8" t="s">
        <v>888</v>
      </c>
      <c r="E677" s="8">
        <v>2210801</v>
      </c>
    </row>
    <row r="678" spans="1:5" x14ac:dyDescent="0.5">
      <c r="A678" s="7">
        <v>2110802</v>
      </c>
      <c r="B678" s="8" t="s">
        <v>889</v>
      </c>
      <c r="C678" s="8">
        <v>180</v>
      </c>
      <c r="D678" s="8" t="s">
        <v>890</v>
      </c>
      <c r="E678" s="8">
        <v>2110802</v>
      </c>
    </row>
    <row r="679" spans="1:5" x14ac:dyDescent="0.5">
      <c r="A679" s="7">
        <v>2110810</v>
      </c>
      <c r="B679" s="8" t="s">
        <v>756</v>
      </c>
      <c r="C679" s="8">
        <v>183</v>
      </c>
      <c r="D679" s="8" t="s">
        <v>712</v>
      </c>
      <c r="E679" s="8">
        <v>1210810</v>
      </c>
    </row>
    <row r="680" spans="1:5" x14ac:dyDescent="0.5">
      <c r="A680" s="7">
        <v>2110860</v>
      </c>
      <c r="B680" s="8" t="s">
        <v>817</v>
      </c>
      <c r="C680" s="8">
        <v>188</v>
      </c>
      <c r="D680" s="8" t="s">
        <v>818</v>
      </c>
      <c r="E680" s="8">
        <v>2310860</v>
      </c>
    </row>
    <row r="681" spans="1:5" x14ac:dyDescent="0.5">
      <c r="A681" s="7">
        <v>2111060</v>
      </c>
      <c r="B681" s="8" t="s">
        <v>622</v>
      </c>
      <c r="C681" s="8">
        <v>205</v>
      </c>
      <c r="D681" s="8" t="s">
        <v>804</v>
      </c>
      <c r="E681" s="8">
        <v>1911060</v>
      </c>
    </row>
    <row r="682" spans="1:5" x14ac:dyDescent="0.5">
      <c r="A682" s="7">
        <v>2111150</v>
      </c>
      <c r="B682" s="8" t="s">
        <v>805</v>
      </c>
      <c r="C682" s="8">
        <v>212</v>
      </c>
      <c r="D682" s="8" t="s">
        <v>806</v>
      </c>
      <c r="E682" s="8">
        <v>1711150</v>
      </c>
    </row>
    <row r="683" spans="1:5" x14ac:dyDescent="0.5">
      <c r="A683" s="7">
        <v>2111240</v>
      </c>
      <c r="B683" s="8" t="s">
        <v>627</v>
      </c>
      <c r="C683" s="8">
        <v>219</v>
      </c>
      <c r="D683" s="8" t="s">
        <v>628</v>
      </c>
      <c r="E683" s="8">
        <v>1811240</v>
      </c>
    </row>
    <row r="684" spans="1:5" x14ac:dyDescent="0.5">
      <c r="A684" s="7">
        <v>2111260</v>
      </c>
      <c r="B684" s="8" t="s">
        <v>631</v>
      </c>
      <c r="C684" s="8">
        <v>222</v>
      </c>
      <c r="D684" s="8" t="s">
        <v>632</v>
      </c>
      <c r="E684" s="8">
        <v>2111260</v>
      </c>
    </row>
    <row r="685" spans="1:5" x14ac:dyDescent="0.5">
      <c r="A685" s="7">
        <v>2111270</v>
      </c>
      <c r="B685" s="8" t="s">
        <v>765</v>
      </c>
      <c r="C685" s="8">
        <v>224</v>
      </c>
      <c r="D685" s="8" t="s">
        <v>766</v>
      </c>
      <c r="E685" s="8">
        <v>1711270</v>
      </c>
    </row>
    <row r="686" spans="1:5" x14ac:dyDescent="0.5">
      <c r="A686" s="7">
        <v>2111390</v>
      </c>
      <c r="B686" s="8" t="s">
        <v>775</v>
      </c>
      <c r="C686" s="8">
        <v>237</v>
      </c>
      <c r="D686" s="8" t="s">
        <v>891</v>
      </c>
      <c r="E686" s="8">
        <v>2111390</v>
      </c>
    </row>
    <row r="687" spans="1:5" x14ac:dyDescent="0.5">
      <c r="A687" s="7">
        <v>2111400</v>
      </c>
      <c r="B687" s="8" t="s">
        <v>781</v>
      </c>
      <c r="C687" s="8">
        <v>238</v>
      </c>
      <c r="D687" s="8" t="s">
        <v>782</v>
      </c>
      <c r="E687" s="8">
        <v>2911400</v>
      </c>
    </row>
    <row r="688" spans="1:5" x14ac:dyDescent="0.5">
      <c r="A688" s="7">
        <v>2111430</v>
      </c>
      <c r="B688" s="8" t="s">
        <v>783</v>
      </c>
      <c r="C688" s="8">
        <v>241</v>
      </c>
      <c r="D688" s="8" t="s">
        <v>784</v>
      </c>
      <c r="E688" s="8">
        <v>2811430</v>
      </c>
    </row>
    <row r="689" spans="1:5" x14ac:dyDescent="0.5">
      <c r="A689" s="7">
        <v>2111440</v>
      </c>
      <c r="B689" s="8" t="s">
        <v>812</v>
      </c>
      <c r="C689" s="8">
        <v>242</v>
      </c>
      <c r="D689" s="8" t="s">
        <v>813</v>
      </c>
      <c r="E689" s="8">
        <v>2811430</v>
      </c>
    </row>
    <row r="690" spans="1:5" x14ac:dyDescent="0.5">
      <c r="A690" s="7">
        <v>2111450</v>
      </c>
      <c r="B690" s="8" t="s">
        <v>785</v>
      </c>
      <c r="C690" s="8">
        <v>243</v>
      </c>
      <c r="D690" s="8" t="s">
        <v>786</v>
      </c>
      <c r="E690" s="8">
        <v>2911450</v>
      </c>
    </row>
    <row r="691" spans="1:5" x14ac:dyDescent="0.5">
      <c r="A691" s="7">
        <v>2111530</v>
      </c>
      <c r="B691" s="8" t="s">
        <v>761</v>
      </c>
      <c r="C691" s="8">
        <v>250</v>
      </c>
      <c r="D691" s="8" t="s">
        <v>762</v>
      </c>
      <c r="E691" s="8">
        <v>1211530</v>
      </c>
    </row>
    <row r="692" spans="1:5" x14ac:dyDescent="0.5">
      <c r="A692" s="7">
        <v>2111590</v>
      </c>
      <c r="B692" s="8" t="s">
        <v>779</v>
      </c>
      <c r="C692" s="8">
        <v>259</v>
      </c>
      <c r="D692" s="8" t="s">
        <v>636</v>
      </c>
      <c r="E692" s="8">
        <v>2811590</v>
      </c>
    </row>
    <row r="693" spans="1:5" x14ac:dyDescent="0.5">
      <c r="A693" s="7">
        <v>2111600</v>
      </c>
      <c r="B693" s="8" t="s">
        <v>780</v>
      </c>
      <c r="C693" s="8">
        <v>259</v>
      </c>
      <c r="D693" s="8" t="s">
        <v>636</v>
      </c>
      <c r="E693" s="8">
        <v>2811590</v>
      </c>
    </row>
    <row r="694" spans="1:5" x14ac:dyDescent="0.5">
      <c r="A694" s="7">
        <v>2111610</v>
      </c>
      <c r="B694" s="8" t="s">
        <v>787</v>
      </c>
      <c r="C694" s="8">
        <v>260</v>
      </c>
      <c r="D694" s="8" t="s">
        <v>788</v>
      </c>
      <c r="E694" s="8">
        <v>1011610</v>
      </c>
    </row>
    <row r="695" spans="1:5" x14ac:dyDescent="0.5">
      <c r="A695" s="7">
        <v>2111660</v>
      </c>
      <c r="B695" s="8" t="s">
        <v>790</v>
      </c>
      <c r="C695" s="8">
        <v>265</v>
      </c>
      <c r="D695" s="8" t="s">
        <v>791</v>
      </c>
      <c r="E695" s="8">
        <v>2111660</v>
      </c>
    </row>
    <row r="696" spans="1:5" x14ac:dyDescent="0.5">
      <c r="A696" s="7">
        <v>2111670</v>
      </c>
      <c r="B696" s="8" t="s">
        <v>646</v>
      </c>
      <c r="C696" s="8">
        <v>267</v>
      </c>
      <c r="D696" s="8" t="s">
        <v>807</v>
      </c>
      <c r="E696" s="8">
        <v>2111670</v>
      </c>
    </row>
    <row r="697" spans="1:5" x14ac:dyDescent="0.5">
      <c r="A697" s="7">
        <v>2210010</v>
      </c>
      <c r="B697" s="8" t="s">
        <v>577</v>
      </c>
      <c r="C697" s="8">
        <v>100</v>
      </c>
      <c r="D697" s="8" t="s">
        <v>578</v>
      </c>
      <c r="E697" s="8" t="s">
        <v>579</v>
      </c>
    </row>
    <row r="698" spans="1:5" x14ac:dyDescent="0.5">
      <c r="A698" s="7">
        <v>2210110</v>
      </c>
      <c r="B698" s="8" t="s">
        <v>730</v>
      </c>
      <c r="C698" s="8">
        <v>102</v>
      </c>
      <c r="D698" s="8" t="s">
        <v>731</v>
      </c>
      <c r="E698" s="8">
        <v>2010110</v>
      </c>
    </row>
    <row r="699" spans="1:5" x14ac:dyDescent="0.5">
      <c r="A699" s="7">
        <v>2210160</v>
      </c>
      <c r="B699" s="8" t="s">
        <v>814</v>
      </c>
      <c r="C699" s="8">
        <v>107</v>
      </c>
      <c r="D699" s="8" t="s">
        <v>815</v>
      </c>
      <c r="E699" s="8">
        <v>1410160</v>
      </c>
    </row>
    <row r="700" spans="1:5" x14ac:dyDescent="0.5">
      <c r="A700" s="7">
        <v>2210490</v>
      </c>
      <c r="B700" s="8" t="s">
        <v>854</v>
      </c>
      <c r="C700" s="8">
        <v>144</v>
      </c>
      <c r="D700" s="8" t="s">
        <v>855</v>
      </c>
      <c r="E700" s="8">
        <v>2010490</v>
      </c>
    </row>
    <row r="701" spans="1:5" x14ac:dyDescent="0.5">
      <c r="A701" s="7">
        <v>2210500</v>
      </c>
      <c r="B701" s="8" t="s">
        <v>856</v>
      </c>
      <c r="C701" s="8">
        <v>145</v>
      </c>
      <c r="D701" s="8" t="s">
        <v>857</v>
      </c>
      <c r="E701" s="8">
        <v>2810500</v>
      </c>
    </row>
    <row r="702" spans="1:5" x14ac:dyDescent="0.5">
      <c r="A702" s="7">
        <v>2210510</v>
      </c>
      <c r="B702" s="8" t="s">
        <v>740</v>
      </c>
      <c r="C702" s="8">
        <v>146</v>
      </c>
      <c r="D702" s="8" t="s">
        <v>741</v>
      </c>
      <c r="E702" s="8">
        <v>2810510</v>
      </c>
    </row>
    <row r="703" spans="1:5" x14ac:dyDescent="0.5">
      <c r="A703" s="7">
        <v>2210540</v>
      </c>
      <c r="B703" s="8" t="s">
        <v>816</v>
      </c>
      <c r="C703" s="8">
        <v>150</v>
      </c>
      <c r="D703" s="8" t="s">
        <v>603</v>
      </c>
      <c r="E703" s="8">
        <v>2910540</v>
      </c>
    </row>
    <row r="704" spans="1:5" x14ac:dyDescent="0.5">
      <c r="A704" s="7">
        <v>2210550</v>
      </c>
      <c r="B704" s="8" t="s">
        <v>604</v>
      </c>
      <c r="C704" s="8">
        <v>152</v>
      </c>
      <c r="D704" s="8" t="s">
        <v>858</v>
      </c>
      <c r="E704" s="8">
        <v>2110550</v>
      </c>
    </row>
    <row r="705" spans="1:5" x14ac:dyDescent="0.5">
      <c r="A705" s="7">
        <v>2210560</v>
      </c>
      <c r="B705" s="8" t="s">
        <v>606</v>
      </c>
      <c r="C705" s="8">
        <v>156</v>
      </c>
      <c r="D705" s="8" t="s">
        <v>842</v>
      </c>
      <c r="E705" s="8">
        <v>2110560</v>
      </c>
    </row>
    <row r="706" spans="1:5" x14ac:dyDescent="0.5">
      <c r="A706" s="7">
        <v>2210610</v>
      </c>
      <c r="B706" s="8" t="s">
        <v>746</v>
      </c>
      <c r="C706" s="8">
        <v>163</v>
      </c>
      <c r="D706" s="8" t="s">
        <v>747</v>
      </c>
      <c r="E706" s="8">
        <v>2910610</v>
      </c>
    </row>
    <row r="707" spans="1:5" x14ac:dyDescent="0.5">
      <c r="A707" s="7">
        <v>2210620</v>
      </c>
      <c r="B707" s="8" t="s">
        <v>748</v>
      </c>
      <c r="C707" s="8">
        <v>164</v>
      </c>
      <c r="D707" s="8" t="s">
        <v>749</v>
      </c>
      <c r="E707" s="8">
        <v>1610620</v>
      </c>
    </row>
    <row r="708" spans="1:5" x14ac:dyDescent="0.5">
      <c r="A708" s="7">
        <v>2210660</v>
      </c>
      <c r="B708" s="8" t="s">
        <v>892</v>
      </c>
      <c r="C708" s="8">
        <v>168</v>
      </c>
      <c r="D708" s="8" t="s">
        <v>893</v>
      </c>
      <c r="E708" s="8">
        <v>2210660</v>
      </c>
    </row>
    <row r="709" spans="1:5" x14ac:dyDescent="0.5">
      <c r="A709" s="7">
        <v>2210720</v>
      </c>
      <c r="B709" s="8" t="s">
        <v>894</v>
      </c>
      <c r="C709" s="8">
        <v>171</v>
      </c>
      <c r="D709" s="8" t="s">
        <v>895</v>
      </c>
      <c r="E709" s="8">
        <v>2210720</v>
      </c>
    </row>
    <row r="710" spans="1:5" x14ac:dyDescent="0.5">
      <c r="A710" s="7">
        <v>2210801</v>
      </c>
      <c r="B710" s="8" t="s">
        <v>887</v>
      </c>
      <c r="C710" s="8">
        <v>179</v>
      </c>
      <c r="D710" s="8" t="s">
        <v>888</v>
      </c>
      <c r="E710" s="8">
        <v>2210801</v>
      </c>
    </row>
    <row r="711" spans="1:5" x14ac:dyDescent="0.5">
      <c r="A711" s="7">
        <v>2210802</v>
      </c>
      <c r="B711" s="8" t="s">
        <v>889</v>
      </c>
      <c r="C711" s="8">
        <v>180</v>
      </c>
      <c r="D711" s="8" t="s">
        <v>890</v>
      </c>
      <c r="E711" s="8">
        <v>2110802</v>
      </c>
    </row>
    <row r="712" spans="1:5" x14ac:dyDescent="0.5">
      <c r="A712" s="7">
        <v>2210810</v>
      </c>
      <c r="B712" s="8" t="s">
        <v>756</v>
      </c>
      <c r="C712" s="8">
        <v>183</v>
      </c>
      <c r="D712" s="8" t="s">
        <v>712</v>
      </c>
      <c r="E712" s="8">
        <v>1210810</v>
      </c>
    </row>
    <row r="713" spans="1:5" x14ac:dyDescent="0.5">
      <c r="A713" s="7">
        <v>2210861</v>
      </c>
      <c r="B713" s="8" t="s">
        <v>896</v>
      </c>
      <c r="C713" s="8">
        <v>189</v>
      </c>
      <c r="D713" s="8" t="s">
        <v>897</v>
      </c>
      <c r="E713" s="8">
        <v>2210861</v>
      </c>
    </row>
    <row r="714" spans="1:5" x14ac:dyDescent="0.5">
      <c r="A714" s="7">
        <v>2210862</v>
      </c>
      <c r="B714" s="8" t="s">
        <v>898</v>
      </c>
      <c r="C714" s="8">
        <v>190</v>
      </c>
      <c r="D714" s="8" t="s">
        <v>899</v>
      </c>
      <c r="E714" s="8">
        <v>2210862</v>
      </c>
    </row>
    <row r="715" spans="1:5" x14ac:dyDescent="0.5">
      <c r="A715" s="7">
        <v>2211060</v>
      </c>
      <c r="B715" s="8" t="s">
        <v>622</v>
      </c>
      <c r="C715" s="8">
        <v>205</v>
      </c>
      <c r="D715" s="8" t="s">
        <v>804</v>
      </c>
      <c r="E715" s="8">
        <v>1911060</v>
      </c>
    </row>
    <row r="716" spans="1:5" x14ac:dyDescent="0.5">
      <c r="A716" s="7">
        <v>2211150</v>
      </c>
      <c r="B716" s="8" t="s">
        <v>805</v>
      </c>
      <c r="C716" s="8">
        <v>212</v>
      </c>
      <c r="D716" s="8" t="s">
        <v>806</v>
      </c>
      <c r="E716" s="8">
        <v>1711150</v>
      </c>
    </row>
    <row r="717" spans="1:5" x14ac:dyDescent="0.5">
      <c r="A717" s="7">
        <v>2211260</v>
      </c>
      <c r="B717" s="8" t="s">
        <v>631</v>
      </c>
      <c r="C717" s="8">
        <v>222</v>
      </c>
      <c r="D717" s="8" t="s">
        <v>632</v>
      </c>
      <c r="E717" s="8">
        <v>2111260</v>
      </c>
    </row>
    <row r="718" spans="1:5" x14ac:dyDescent="0.5">
      <c r="A718" s="7">
        <v>2211270</v>
      </c>
      <c r="B718" s="8" t="s">
        <v>765</v>
      </c>
      <c r="C718" s="8">
        <v>224</v>
      </c>
      <c r="D718" s="8" t="s">
        <v>766</v>
      </c>
      <c r="E718" s="8">
        <v>1711270</v>
      </c>
    </row>
    <row r="719" spans="1:5" x14ac:dyDescent="0.5">
      <c r="A719" s="7">
        <v>2211350</v>
      </c>
      <c r="B719" s="8" t="s">
        <v>767</v>
      </c>
      <c r="C719" s="8">
        <v>232</v>
      </c>
      <c r="D719" s="8" t="s">
        <v>768</v>
      </c>
      <c r="E719" s="8">
        <v>2411350</v>
      </c>
    </row>
    <row r="720" spans="1:5" x14ac:dyDescent="0.5">
      <c r="A720" s="7">
        <v>2211390</v>
      </c>
      <c r="B720" s="8" t="s">
        <v>775</v>
      </c>
      <c r="C720" s="8">
        <v>237</v>
      </c>
      <c r="D720" s="8" t="s">
        <v>891</v>
      </c>
      <c r="E720" s="8">
        <v>2111390</v>
      </c>
    </row>
    <row r="721" spans="1:5" x14ac:dyDescent="0.5">
      <c r="A721" s="7">
        <v>2211440</v>
      </c>
      <c r="B721" s="8" t="s">
        <v>812</v>
      </c>
      <c r="C721" s="8">
        <v>242</v>
      </c>
      <c r="D721" s="8" t="s">
        <v>813</v>
      </c>
      <c r="E721" s="8">
        <v>2811430</v>
      </c>
    </row>
    <row r="722" spans="1:5" x14ac:dyDescent="0.5">
      <c r="A722" s="7">
        <v>2211450</v>
      </c>
      <c r="B722" s="8" t="s">
        <v>785</v>
      </c>
      <c r="C722" s="8">
        <v>243</v>
      </c>
      <c r="D722" s="8" t="s">
        <v>786</v>
      </c>
      <c r="E722" s="8">
        <v>2911450</v>
      </c>
    </row>
    <row r="723" spans="1:5" x14ac:dyDescent="0.5">
      <c r="A723" s="7">
        <v>2211530</v>
      </c>
      <c r="B723" s="8" t="s">
        <v>761</v>
      </c>
      <c r="C723" s="8">
        <v>250</v>
      </c>
      <c r="D723" s="8" t="s">
        <v>762</v>
      </c>
      <c r="E723" s="8">
        <v>1211530</v>
      </c>
    </row>
    <row r="724" spans="1:5" x14ac:dyDescent="0.5">
      <c r="A724" s="7">
        <v>2211590</v>
      </c>
      <c r="B724" s="8" t="s">
        <v>779</v>
      </c>
      <c r="C724" s="8">
        <v>259</v>
      </c>
      <c r="D724" s="8" t="s">
        <v>636</v>
      </c>
      <c r="E724" s="8">
        <v>2811590</v>
      </c>
    </row>
    <row r="725" spans="1:5" x14ac:dyDescent="0.5">
      <c r="A725" s="7">
        <v>2211620</v>
      </c>
      <c r="B725" s="8" t="s">
        <v>882</v>
      </c>
      <c r="C725" s="8">
        <v>261</v>
      </c>
      <c r="D725" s="8" t="s">
        <v>883</v>
      </c>
      <c r="E725" s="8">
        <v>3111620</v>
      </c>
    </row>
    <row r="726" spans="1:5" x14ac:dyDescent="0.5">
      <c r="A726" s="7">
        <v>2211660</v>
      </c>
      <c r="B726" s="8" t="s">
        <v>790</v>
      </c>
      <c r="C726" s="8">
        <v>265</v>
      </c>
      <c r="D726" s="8" t="s">
        <v>791</v>
      </c>
      <c r="E726" s="8">
        <v>2111660</v>
      </c>
    </row>
    <row r="727" spans="1:5" x14ac:dyDescent="0.5">
      <c r="A727" s="7">
        <v>2310010</v>
      </c>
      <c r="B727" s="8" t="s">
        <v>577</v>
      </c>
      <c r="C727" s="8">
        <v>100</v>
      </c>
      <c r="D727" s="8" t="s">
        <v>578</v>
      </c>
      <c r="E727" s="8" t="s">
        <v>579</v>
      </c>
    </row>
    <row r="728" spans="1:5" x14ac:dyDescent="0.5">
      <c r="A728" s="7">
        <v>2310040</v>
      </c>
      <c r="B728" s="8" t="s">
        <v>699</v>
      </c>
      <c r="C728" s="8">
        <v>100</v>
      </c>
      <c r="D728" s="8" t="s">
        <v>578</v>
      </c>
      <c r="E728" s="8" t="s">
        <v>579</v>
      </c>
    </row>
    <row r="729" spans="1:5" x14ac:dyDescent="0.5">
      <c r="A729" s="7">
        <v>2310060</v>
      </c>
      <c r="B729" s="8" t="s">
        <v>581</v>
      </c>
      <c r="C729" s="8">
        <v>100</v>
      </c>
      <c r="D729" s="8" t="s">
        <v>578</v>
      </c>
      <c r="E729" s="8" t="s">
        <v>579</v>
      </c>
    </row>
    <row r="730" spans="1:5" x14ac:dyDescent="0.5">
      <c r="A730" s="7">
        <v>2310110</v>
      </c>
      <c r="B730" s="8" t="s">
        <v>730</v>
      </c>
      <c r="C730" s="8">
        <v>102</v>
      </c>
      <c r="D730" s="8" t="s">
        <v>731</v>
      </c>
      <c r="E730" s="8">
        <v>2010110</v>
      </c>
    </row>
    <row r="731" spans="1:5" x14ac:dyDescent="0.5">
      <c r="A731" s="7">
        <v>2310160</v>
      </c>
      <c r="B731" s="8" t="s">
        <v>814</v>
      </c>
      <c r="C731" s="8">
        <v>107</v>
      </c>
      <c r="D731" s="8" t="s">
        <v>815</v>
      </c>
      <c r="E731" s="8">
        <v>1410160</v>
      </c>
    </row>
    <row r="732" spans="1:5" x14ac:dyDescent="0.5">
      <c r="A732" s="7">
        <v>2310490</v>
      </c>
      <c r="B732" s="8" t="s">
        <v>854</v>
      </c>
      <c r="C732" s="8">
        <v>144</v>
      </c>
      <c r="D732" s="8" t="s">
        <v>855</v>
      </c>
      <c r="E732" s="8">
        <v>2010490</v>
      </c>
    </row>
    <row r="733" spans="1:5" x14ac:dyDescent="0.5">
      <c r="A733" s="7">
        <v>2310500</v>
      </c>
      <c r="B733" s="8" t="s">
        <v>856</v>
      </c>
      <c r="C733" s="8">
        <v>145</v>
      </c>
      <c r="D733" s="8" t="s">
        <v>857</v>
      </c>
      <c r="E733" s="8">
        <v>2810500</v>
      </c>
    </row>
    <row r="734" spans="1:5" x14ac:dyDescent="0.5">
      <c r="A734" s="7">
        <v>2310510</v>
      </c>
      <c r="B734" s="8" t="s">
        <v>740</v>
      </c>
      <c r="C734" s="8">
        <v>146</v>
      </c>
      <c r="D734" s="8" t="s">
        <v>741</v>
      </c>
      <c r="E734" s="8">
        <v>2810510</v>
      </c>
    </row>
    <row r="735" spans="1:5" x14ac:dyDescent="0.5">
      <c r="A735" s="7">
        <v>2310520</v>
      </c>
      <c r="B735" s="8" t="s">
        <v>808</v>
      </c>
      <c r="C735" s="8">
        <v>148</v>
      </c>
      <c r="D735" s="8" t="s">
        <v>841</v>
      </c>
      <c r="E735" s="8">
        <v>2710520</v>
      </c>
    </row>
    <row r="736" spans="1:5" x14ac:dyDescent="0.5">
      <c r="A736" s="7">
        <v>2310540</v>
      </c>
      <c r="B736" s="8" t="s">
        <v>816</v>
      </c>
      <c r="C736" s="8">
        <v>150</v>
      </c>
      <c r="D736" s="8" t="s">
        <v>603</v>
      </c>
      <c r="E736" s="8">
        <v>2910540</v>
      </c>
    </row>
    <row r="737" spans="1:5" x14ac:dyDescent="0.5">
      <c r="A737" s="7">
        <v>2310550</v>
      </c>
      <c r="B737" s="8" t="s">
        <v>604</v>
      </c>
      <c r="C737" s="8">
        <v>152</v>
      </c>
      <c r="D737" s="8" t="s">
        <v>858</v>
      </c>
      <c r="E737" s="8">
        <v>2110550</v>
      </c>
    </row>
    <row r="738" spans="1:5" x14ac:dyDescent="0.5">
      <c r="A738" s="7">
        <v>2310560</v>
      </c>
      <c r="B738" s="8" t="s">
        <v>606</v>
      </c>
      <c r="C738" s="8">
        <v>156</v>
      </c>
      <c r="D738" s="8" t="s">
        <v>842</v>
      </c>
      <c r="E738" s="8">
        <v>2110560</v>
      </c>
    </row>
    <row r="739" spans="1:5" x14ac:dyDescent="0.5">
      <c r="A739" s="7">
        <v>2310570</v>
      </c>
      <c r="B739" s="8" t="s">
        <v>810</v>
      </c>
      <c r="C739" s="8">
        <v>157</v>
      </c>
      <c r="D739" s="8" t="s">
        <v>811</v>
      </c>
      <c r="E739" s="8">
        <v>2810570</v>
      </c>
    </row>
    <row r="740" spans="1:5" x14ac:dyDescent="0.5">
      <c r="A740" s="7">
        <v>2310611</v>
      </c>
      <c r="B740" s="8" t="s">
        <v>859</v>
      </c>
      <c r="C740" s="8">
        <v>163</v>
      </c>
      <c r="D740" s="8" t="s">
        <v>747</v>
      </c>
      <c r="E740" s="8">
        <v>2910610</v>
      </c>
    </row>
    <row r="741" spans="1:5" x14ac:dyDescent="0.5">
      <c r="A741" s="7">
        <v>2310612</v>
      </c>
      <c r="B741" s="8" t="s">
        <v>860</v>
      </c>
      <c r="C741" s="8">
        <v>163</v>
      </c>
      <c r="D741" s="8" t="s">
        <v>747</v>
      </c>
      <c r="E741" s="8">
        <v>2910610</v>
      </c>
    </row>
    <row r="742" spans="1:5" x14ac:dyDescent="0.5">
      <c r="A742" s="7">
        <v>2310620</v>
      </c>
      <c r="B742" s="8" t="s">
        <v>748</v>
      </c>
      <c r="C742" s="8">
        <v>164</v>
      </c>
      <c r="D742" s="8" t="s">
        <v>749</v>
      </c>
      <c r="E742" s="8">
        <v>1610620</v>
      </c>
    </row>
    <row r="743" spans="1:5" x14ac:dyDescent="0.5">
      <c r="A743" s="7">
        <v>2310640</v>
      </c>
      <c r="B743" s="8" t="s">
        <v>861</v>
      </c>
      <c r="C743" s="8">
        <v>166</v>
      </c>
      <c r="D743" s="8" t="s">
        <v>862</v>
      </c>
      <c r="E743" s="8">
        <v>2710640</v>
      </c>
    </row>
    <row r="744" spans="1:5" x14ac:dyDescent="0.5">
      <c r="A744" s="7">
        <v>2310660</v>
      </c>
      <c r="B744" s="8" t="s">
        <v>892</v>
      </c>
      <c r="C744" s="8">
        <v>168</v>
      </c>
      <c r="D744" s="8" t="s">
        <v>893</v>
      </c>
      <c r="E744" s="8">
        <v>2210660</v>
      </c>
    </row>
    <row r="745" spans="1:5" x14ac:dyDescent="0.5">
      <c r="A745" s="7">
        <v>2310780</v>
      </c>
      <c r="B745" s="8" t="s">
        <v>863</v>
      </c>
      <c r="C745" s="8">
        <v>176</v>
      </c>
      <c r="D745" s="8" t="s">
        <v>864</v>
      </c>
      <c r="E745" s="8">
        <v>2310780</v>
      </c>
    </row>
    <row r="746" spans="1:5" x14ac:dyDescent="0.5">
      <c r="A746" s="7">
        <v>2310800</v>
      </c>
      <c r="B746" s="8" t="s">
        <v>616</v>
      </c>
      <c r="C746" s="8">
        <v>182</v>
      </c>
      <c r="D746" s="8" t="s">
        <v>755</v>
      </c>
      <c r="E746" s="8">
        <v>3110800</v>
      </c>
    </row>
    <row r="747" spans="1:5" x14ac:dyDescent="0.5">
      <c r="A747" s="7">
        <v>2310810</v>
      </c>
      <c r="B747" s="8" t="s">
        <v>756</v>
      </c>
      <c r="C747" s="8">
        <v>183</v>
      </c>
      <c r="D747" s="8" t="s">
        <v>712</v>
      </c>
      <c r="E747" s="8">
        <v>1210810</v>
      </c>
    </row>
    <row r="748" spans="1:5" x14ac:dyDescent="0.5">
      <c r="A748" s="7">
        <v>2310820</v>
      </c>
      <c r="B748" s="8" t="s">
        <v>707</v>
      </c>
      <c r="C748" s="8">
        <v>184</v>
      </c>
      <c r="D748" s="8" t="s">
        <v>708</v>
      </c>
      <c r="E748" s="8">
        <v>1310820</v>
      </c>
    </row>
    <row r="749" spans="1:5" x14ac:dyDescent="0.5">
      <c r="A749" s="7">
        <v>2310860</v>
      </c>
      <c r="B749" s="8" t="s">
        <v>817</v>
      </c>
      <c r="C749" s="8">
        <v>188</v>
      </c>
      <c r="D749" s="8" t="s">
        <v>818</v>
      </c>
      <c r="E749" s="8">
        <v>2310860</v>
      </c>
    </row>
    <row r="750" spans="1:5" x14ac:dyDescent="0.5">
      <c r="A750" s="7">
        <v>2310930</v>
      </c>
      <c r="B750" s="8" t="s">
        <v>821</v>
      </c>
      <c r="C750" s="8">
        <v>196</v>
      </c>
      <c r="D750" s="8" t="s">
        <v>822</v>
      </c>
      <c r="E750" s="8">
        <v>2410930</v>
      </c>
    </row>
    <row r="751" spans="1:5" x14ac:dyDescent="0.5">
      <c r="A751" s="7">
        <v>2311020</v>
      </c>
      <c r="B751" s="8" t="s">
        <v>823</v>
      </c>
      <c r="C751" s="8">
        <v>107</v>
      </c>
      <c r="D751" s="8" t="s">
        <v>815</v>
      </c>
      <c r="E751" s="8">
        <v>1410160</v>
      </c>
    </row>
    <row r="752" spans="1:5" x14ac:dyDescent="0.5">
      <c r="A752" s="7">
        <v>2311030</v>
      </c>
      <c r="B752" s="8" t="s">
        <v>757</v>
      </c>
      <c r="C752" s="8">
        <v>203</v>
      </c>
      <c r="D752" s="8" t="s">
        <v>716</v>
      </c>
      <c r="E752" s="8">
        <v>1611030</v>
      </c>
    </row>
    <row r="753" spans="1:5" x14ac:dyDescent="0.5">
      <c r="A753" s="7">
        <v>2311040</v>
      </c>
      <c r="B753" s="8" t="s">
        <v>824</v>
      </c>
      <c r="C753" s="8">
        <v>203</v>
      </c>
      <c r="D753" s="8" t="s">
        <v>716</v>
      </c>
      <c r="E753" s="8">
        <v>1611030</v>
      </c>
    </row>
    <row r="754" spans="1:5" x14ac:dyDescent="0.5">
      <c r="A754" s="7">
        <v>2311070</v>
      </c>
      <c r="B754" s="8" t="s">
        <v>825</v>
      </c>
      <c r="C754" s="8">
        <v>206</v>
      </c>
      <c r="D754" s="8" t="s">
        <v>826</v>
      </c>
      <c r="E754" s="8">
        <v>2311070</v>
      </c>
    </row>
    <row r="755" spans="1:5" x14ac:dyDescent="0.5">
      <c r="A755" s="7">
        <v>2311150</v>
      </c>
      <c r="B755" s="8" t="s">
        <v>805</v>
      </c>
      <c r="C755" s="8">
        <v>212</v>
      </c>
      <c r="D755" s="8" t="s">
        <v>806</v>
      </c>
      <c r="E755" s="8">
        <v>1711150</v>
      </c>
    </row>
    <row r="756" spans="1:5" x14ac:dyDescent="0.5">
      <c r="A756" s="7">
        <v>2311170</v>
      </c>
      <c r="B756" s="8" t="s">
        <v>827</v>
      </c>
      <c r="C756" s="8">
        <v>150</v>
      </c>
      <c r="D756" s="8" t="s">
        <v>603</v>
      </c>
      <c r="E756" s="8">
        <v>2910540</v>
      </c>
    </row>
    <row r="757" spans="1:5" x14ac:dyDescent="0.5">
      <c r="A757" s="7">
        <v>2311250</v>
      </c>
      <c r="B757" s="8" t="s">
        <v>629</v>
      </c>
      <c r="C757" s="8">
        <v>221</v>
      </c>
      <c r="D757" s="8" t="s">
        <v>758</v>
      </c>
      <c r="E757" s="8">
        <v>2911250</v>
      </c>
    </row>
    <row r="758" spans="1:5" x14ac:dyDescent="0.5">
      <c r="A758" s="7">
        <v>2311261</v>
      </c>
      <c r="B758" s="8" t="s">
        <v>867</v>
      </c>
      <c r="C758" s="8">
        <v>222</v>
      </c>
      <c r="D758" s="8" t="s">
        <v>632</v>
      </c>
      <c r="E758" s="8">
        <v>2111260</v>
      </c>
    </row>
    <row r="759" spans="1:5" x14ac:dyDescent="0.5">
      <c r="A759" s="7">
        <v>2311262</v>
      </c>
      <c r="B759" s="8" t="s">
        <v>868</v>
      </c>
      <c r="C759" s="8">
        <v>223</v>
      </c>
      <c r="D759" s="8" t="s">
        <v>869</v>
      </c>
      <c r="E759" s="8">
        <v>1611262</v>
      </c>
    </row>
    <row r="760" spans="1:5" x14ac:dyDescent="0.5">
      <c r="A760" s="7">
        <v>2311270</v>
      </c>
      <c r="B760" s="8" t="s">
        <v>765</v>
      </c>
      <c r="C760" s="8">
        <v>225</v>
      </c>
      <c r="D760" s="8" t="s">
        <v>849</v>
      </c>
      <c r="E760" s="8">
        <v>2411270</v>
      </c>
    </row>
    <row r="761" spans="1:5" x14ac:dyDescent="0.5">
      <c r="A761" s="7">
        <v>2311350</v>
      </c>
      <c r="B761" s="8" t="s">
        <v>767</v>
      </c>
      <c r="C761" s="8">
        <v>232</v>
      </c>
      <c r="D761" s="8" t="s">
        <v>768</v>
      </c>
      <c r="E761" s="8">
        <v>2411350</v>
      </c>
    </row>
    <row r="762" spans="1:5" x14ac:dyDescent="0.5">
      <c r="A762" s="7">
        <v>2311460</v>
      </c>
      <c r="B762" s="8" t="s">
        <v>850</v>
      </c>
      <c r="C762" s="8">
        <v>244</v>
      </c>
      <c r="D762" s="8" t="s">
        <v>851</v>
      </c>
      <c r="E762" s="8">
        <v>2811460</v>
      </c>
    </row>
    <row r="763" spans="1:5" x14ac:dyDescent="0.5">
      <c r="A763" s="7">
        <v>2311530</v>
      </c>
      <c r="B763" s="8" t="s">
        <v>761</v>
      </c>
      <c r="C763" s="8">
        <v>250</v>
      </c>
      <c r="D763" s="8" t="s">
        <v>762</v>
      </c>
      <c r="E763" s="8">
        <v>1211530</v>
      </c>
    </row>
    <row r="764" spans="1:5" x14ac:dyDescent="0.5">
      <c r="A764" s="7">
        <v>2311590</v>
      </c>
      <c r="B764" s="8" t="s">
        <v>779</v>
      </c>
      <c r="C764" s="8">
        <v>259</v>
      </c>
      <c r="D764" s="8" t="s">
        <v>636</v>
      </c>
      <c r="E764" s="8">
        <v>2811590</v>
      </c>
    </row>
    <row r="765" spans="1:5" x14ac:dyDescent="0.5">
      <c r="A765" s="7">
        <v>2311600</v>
      </c>
      <c r="B765" s="8" t="s">
        <v>780</v>
      </c>
      <c r="C765" s="8">
        <v>259</v>
      </c>
      <c r="D765" s="8" t="s">
        <v>636</v>
      </c>
      <c r="E765" s="8">
        <v>2811590</v>
      </c>
    </row>
    <row r="766" spans="1:5" x14ac:dyDescent="0.5">
      <c r="A766" s="7">
        <v>2410010</v>
      </c>
      <c r="B766" s="8" t="s">
        <v>577</v>
      </c>
      <c r="C766" s="8">
        <v>100</v>
      </c>
      <c r="D766" s="8" t="s">
        <v>578</v>
      </c>
      <c r="E766" s="8" t="s">
        <v>579</v>
      </c>
    </row>
    <row r="767" spans="1:5" x14ac:dyDescent="0.5">
      <c r="A767" s="7">
        <v>2410040</v>
      </c>
      <c r="B767" s="8" t="s">
        <v>699</v>
      </c>
      <c r="C767" s="8">
        <v>100</v>
      </c>
      <c r="D767" s="8" t="s">
        <v>578</v>
      </c>
      <c r="E767" s="8" t="s">
        <v>579</v>
      </c>
    </row>
    <row r="768" spans="1:5" x14ac:dyDescent="0.5">
      <c r="A768" s="7">
        <v>2410110</v>
      </c>
      <c r="B768" s="8" t="s">
        <v>730</v>
      </c>
      <c r="C768" s="8">
        <v>102</v>
      </c>
      <c r="D768" s="8" t="s">
        <v>731</v>
      </c>
      <c r="E768" s="8">
        <v>2010110</v>
      </c>
    </row>
    <row r="769" spans="1:5" x14ac:dyDescent="0.5">
      <c r="A769" s="7">
        <v>2410160</v>
      </c>
      <c r="B769" s="8" t="s">
        <v>814</v>
      </c>
      <c r="C769" s="8">
        <v>107</v>
      </c>
      <c r="D769" s="8" t="s">
        <v>815</v>
      </c>
      <c r="E769" s="8">
        <v>1410160</v>
      </c>
    </row>
    <row r="770" spans="1:5" x14ac:dyDescent="0.5">
      <c r="A770" s="7">
        <v>2410230</v>
      </c>
      <c r="B770" s="8" t="s">
        <v>830</v>
      </c>
      <c r="C770" s="8">
        <v>113</v>
      </c>
      <c r="D770" s="8" t="s">
        <v>831</v>
      </c>
      <c r="E770" s="8">
        <v>2510240</v>
      </c>
    </row>
    <row r="771" spans="1:5" x14ac:dyDescent="0.5">
      <c r="A771" s="7">
        <v>2410240</v>
      </c>
      <c r="B771" s="8" t="s">
        <v>832</v>
      </c>
      <c r="C771" s="8">
        <v>113</v>
      </c>
      <c r="D771" s="8" t="s">
        <v>831</v>
      </c>
      <c r="E771" s="8">
        <v>2510240</v>
      </c>
    </row>
    <row r="772" spans="1:5" x14ac:dyDescent="0.5">
      <c r="A772" s="7">
        <v>2410250</v>
      </c>
      <c r="B772" s="8" t="s">
        <v>833</v>
      </c>
      <c r="C772" s="8">
        <v>114</v>
      </c>
      <c r="D772" s="8" t="s">
        <v>834</v>
      </c>
      <c r="E772" s="8">
        <v>1510250</v>
      </c>
    </row>
    <row r="773" spans="1:5" x14ac:dyDescent="0.5">
      <c r="A773" s="7">
        <v>2410510</v>
      </c>
      <c r="B773" s="8" t="s">
        <v>740</v>
      </c>
      <c r="C773" s="8">
        <v>146</v>
      </c>
      <c r="D773" s="8" t="s">
        <v>741</v>
      </c>
      <c r="E773" s="8">
        <v>2810510</v>
      </c>
    </row>
    <row r="774" spans="1:5" x14ac:dyDescent="0.5">
      <c r="A774" s="7">
        <v>2410520</v>
      </c>
      <c r="B774" s="8" t="s">
        <v>808</v>
      </c>
      <c r="C774" s="8">
        <v>148</v>
      </c>
      <c r="D774" s="8" t="s">
        <v>841</v>
      </c>
      <c r="E774" s="8">
        <v>2710520</v>
      </c>
    </row>
    <row r="775" spans="1:5" x14ac:dyDescent="0.5">
      <c r="A775" s="7">
        <v>2410540</v>
      </c>
      <c r="B775" s="8" t="s">
        <v>816</v>
      </c>
      <c r="C775" s="8">
        <v>150</v>
      </c>
      <c r="D775" s="8" t="s">
        <v>603</v>
      </c>
      <c r="E775" s="8">
        <v>2910540</v>
      </c>
    </row>
    <row r="776" spans="1:5" x14ac:dyDescent="0.5">
      <c r="A776" s="7">
        <v>2410550</v>
      </c>
      <c r="B776" s="8" t="s">
        <v>604</v>
      </c>
      <c r="C776" s="8">
        <v>152</v>
      </c>
      <c r="D776" s="8" t="s">
        <v>858</v>
      </c>
      <c r="E776" s="8">
        <v>2110550</v>
      </c>
    </row>
    <row r="777" spans="1:5" x14ac:dyDescent="0.5">
      <c r="A777" s="7">
        <v>2410590</v>
      </c>
      <c r="B777" s="8" t="s">
        <v>900</v>
      </c>
      <c r="C777" s="8">
        <v>161</v>
      </c>
      <c r="D777" s="8" t="s">
        <v>901</v>
      </c>
      <c r="E777" s="8">
        <v>2410590</v>
      </c>
    </row>
    <row r="778" spans="1:5" x14ac:dyDescent="0.5">
      <c r="A778" s="7">
        <v>2410611</v>
      </c>
      <c r="B778" s="8" t="s">
        <v>859</v>
      </c>
      <c r="C778" s="8">
        <v>163</v>
      </c>
      <c r="D778" s="8" t="s">
        <v>747</v>
      </c>
      <c r="E778" s="8">
        <v>2910610</v>
      </c>
    </row>
    <row r="779" spans="1:5" x14ac:dyDescent="0.5">
      <c r="A779" s="7">
        <v>2410640</v>
      </c>
      <c r="B779" s="8" t="s">
        <v>861</v>
      </c>
      <c r="C779" s="8">
        <v>166</v>
      </c>
      <c r="D779" s="8" t="s">
        <v>862</v>
      </c>
      <c r="E779" s="8">
        <v>2710640</v>
      </c>
    </row>
    <row r="780" spans="1:5" x14ac:dyDescent="0.5">
      <c r="A780" s="7">
        <v>2410660</v>
      </c>
      <c r="B780" s="8" t="s">
        <v>892</v>
      </c>
      <c r="C780" s="8">
        <v>168</v>
      </c>
      <c r="D780" s="8" t="s">
        <v>893</v>
      </c>
      <c r="E780" s="8">
        <v>2210660</v>
      </c>
    </row>
    <row r="781" spans="1:5" x14ac:dyDescent="0.5">
      <c r="A781" s="7">
        <v>2410780</v>
      </c>
      <c r="B781" s="8" t="s">
        <v>863</v>
      </c>
      <c r="C781" s="8">
        <v>176</v>
      </c>
      <c r="D781" s="8" t="s">
        <v>864</v>
      </c>
      <c r="E781" s="8">
        <v>2310780</v>
      </c>
    </row>
    <row r="782" spans="1:5" x14ac:dyDescent="0.5">
      <c r="A782" s="7">
        <v>2410800</v>
      </c>
      <c r="B782" s="8" t="s">
        <v>616</v>
      </c>
      <c r="C782" s="8">
        <v>182</v>
      </c>
      <c r="D782" s="8" t="s">
        <v>755</v>
      </c>
      <c r="E782" s="8">
        <v>3110800</v>
      </c>
    </row>
    <row r="783" spans="1:5" x14ac:dyDescent="0.5">
      <c r="A783" s="7">
        <v>2410810</v>
      </c>
      <c r="B783" s="8" t="s">
        <v>756</v>
      </c>
      <c r="C783" s="8">
        <v>183</v>
      </c>
      <c r="D783" s="8" t="s">
        <v>712</v>
      </c>
      <c r="E783" s="8">
        <v>1210810</v>
      </c>
    </row>
    <row r="784" spans="1:5" x14ac:dyDescent="0.5">
      <c r="A784" s="7">
        <v>2410930</v>
      </c>
      <c r="B784" s="8" t="s">
        <v>821</v>
      </c>
      <c r="C784" s="8">
        <v>196</v>
      </c>
      <c r="D784" s="8" t="s">
        <v>822</v>
      </c>
      <c r="E784" s="8">
        <v>2410930</v>
      </c>
    </row>
    <row r="785" spans="1:5" x14ac:dyDescent="0.5">
      <c r="A785" s="7">
        <v>2411020</v>
      </c>
      <c r="B785" s="8" t="s">
        <v>823</v>
      </c>
      <c r="C785" s="8">
        <v>107</v>
      </c>
      <c r="D785" s="8" t="s">
        <v>815</v>
      </c>
      <c r="E785" s="8">
        <v>1410160</v>
      </c>
    </row>
    <row r="786" spans="1:5" x14ac:dyDescent="0.5">
      <c r="A786" s="7">
        <v>2411040</v>
      </c>
      <c r="B786" s="8" t="s">
        <v>824</v>
      </c>
      <c r="C786" s="8">
        <v>203</v>
      </c>
      <c r="D786" s="8" t="s">
        <v>716</v>
      </c>
      <c r="E786" s="8">
        <v>1611030</v>
      </c>
    </row>
    <row r="787" spans="1:5" x14ac:dyDescent="0.5">
      <c r="A787" s="7">
        <v>2411070</v>
      </c>
      <c r="B787" s="8" t="s">
        <v>825</v>
      </c>
      <c r="C787" s="8">
        <v>206</v>
      </c>
      <c r="D787" s="8" t="s">
        <v>826</v>
      </c>
      <c r="E787" s="8">
        <v>2311070</v>
      </c>
    </row>
    <row r="788" spans="1:5" x14ac:dyDescent="0.5">
      <c r="A788" s="7">
        <v>2411150</v>
      </c>
      <c r="B788" s="8" t="s">
        <v>805</v>
      </c>
      <c r="C788" s="8">
        <v>212</v>
      </c>
      <c r="D788" s="8" t="s">
        <v>806</v>
      </c>
      <c r="E788" s="8">
        <v>1711150</v>
      </c>
    </row>
    <row r="789" spans="1:5" x14ac:dyDescent="0.5">
      <c r="A789" s="7">
        <v>2411160</v>
      </c>
      <c r="B789" s="8" t="s">
        <v>848</v>
      </c>
      <c r="C789" s="8">
        <v>114</v>
      </c>
      <c r="D789" s="8" t="s">
        <v>834</v>
      </c>
      <c r="E789" s="8">
        <v>1510250</v>
      </c>
    </row>
    <row r="790" spans="1:5" x14ac:dyDescent="0.5">
      <c r="A790" s="7">
        <v>2411170</v>
      </c>
      <c r="B790" s="8" t="s">
        <v>827</v>
      </c>
      <c r="C790" s="8">
        <v>150</v>
      </c>
      <c r="D790" s="8" t="s">
        <v>603</v>
      </c>
      <c r="E790" s="8">
        <v>2910540</v>
      </c>
    </row>
    <row r="791" spans="1:5" x14ac:dyDescent="0.5">
      <c r="A791" s="7">
        <v>2411190</v>
      </c>
      <c r="B791" s="8" t="s">
        <v>902</v>
      </c>
      <c r="C791" s="8">
        <v>214</v>
      </c>
      <c r="D791" s="8" t="s">
        <v>903</v>
      </c>
      <c r="E791" s="8">
        <v>2411190</v>
      </c>
    </row>
    <row r="792" spans="1:5" x14ac:dyDescent="0.5">
      <c r="A792" s="7">
        <v>2411210</v>
      </c>
      <c r="B792" s="8" t="s">
        <v>837</v>
      </c>
      <c r="C792" s="8">
        <v>216</v>
      </c>
      <c r="D792" s="8" t="s">
        <v>838</v>
      </c>
      <c r="E792" s="8">
        <v>2611210</v>
      </c>
    </row>
    <row r="793" spans="1:5" x14ac:dyDescent="0.5">
      <c r="A793" s="7">
        <v>2411250</v>
      </c>
      <c r="B793" s="8" t="s">
        <v>629</v>
      </c>
      <c r="C793" s="8">
        <v>221</v>
      </c>
      <c r="D793" s="8" t="s">
        <v>758</v>
      </c>
      <c r="E793" s="8">
        <v>2911250</v>
      </c>
    </row>
    <row r="794" spans="1:5" x14ac:dyDescent="0.5">
      <c r="A794" s="7">
        <v>2411270</v>
      </c>
      <c r="B794" s="8" t="s">
        <v>765</v>
      </c>
      <c r="C794" s="8">
        <v>225</v>
      </c>
      <c r="D794" s="8" t="s">
        <v>849</v>
      </c>
      <c r="E794" s="8">
        <v>2411270</v>
      </c>
    </row>
    <row r="795" spans="1:5" x14ac:dyDescent="0.5">
      <c r="A795" s="7">
        <v>2411350</v>
      </c>
      <c r="B795" s="8" t="s">
        <v>767</v>
      </c>
      <c r="C795" s="8">
        <v>232</v>
      </c>
      <c r="D795" s="8" t="s">
        <v>768</v>
      </c>
      <c r="E795" s="8">
        <v>2411350</v>
      </c>
    </row>
    <row r="796" spans="1:5" x14ac:dyDescent="0.5">
      <c r="A796" s="7">
        <v>2411450</v>
      </c>
      <c r="B796" s="8" t="s">
        <v>785</v>
      </c>
      <c r="C796" s="8">
        <v>243</v>
      </c>
      <c r="D796" s="8" t="s">
        <v>786</v>
      </c>
      <c r="E796" s="8">
        <v>2911450</v>
      </c>
    </row>
    <row r="797" spans="1:5" x14ac:dyDescent="0.5">
      <c r="A797" s="7">
        <v>2411530</v>
      </c>
      <c r="B797" s="8" t="s">
        <v>761</v>
      </c>
      <c r="C797" s="8">
        <v>250</v>
      </c>
      <c r="D797" s="8" t="s">
        <v>762</v>
      </c>
      <c r="E797" s="8">
        <v>1211530</v>
      </c>
    </row>
    <row r="798" spans="1:5" x14ac:dyDescent="0.5">
      <c r="A798" s="7">
        <v>2411590</v>
      </c>
      <c r="B798" s="8" t="s">
        <v>779</v>
      </c>
      <c r="C798" s="8">
        <v>259</v>
      </c>
      <c r="D798" s="8" t="s">
        <v>636</v>
      </c>
      <c r="E798" s="8">
        <v>2811590</v>
      </c>
    </row>
    <row r="799" spans="1:5" x14ac:dyDescent="0.5">
      <c r="A799" s="7">
        <v>2510040</v>
      </c>
      <c r="B799" s="8" t="s">
        <v>699</v>
      </c>
      <c r="C799" s="8">
        <v>100</v>
      </c>
      <c r="D799" s="8" t="s">
        <v>578</v>
      </c>
      <c r="E799" s="8" t="s">
        <v>579</v>
      </c>
    </row>
    <row r="800" spans="1:5" x14ac:dyDescent="0.5">
      <c r="A800" s="7">
        <v>2510160</v>
      </c>
      <c r="B800" s="8" t="s">
        <v>814</v>
      </c>
      <c r="C800" s="8">
        <v>107</v>
      </c>
      <c r="D800" s="8" t="s">
        <v>815</v>
      </c>
      <c r="E800" s="8">
        <v>1410160</v>
      </c>
    </row>
    <row r="801" spans="1:5" x14ac:dyDescent="0.5">
      <c r="A801" s="7">
        <v>2510230</v>
      </c>
      <c r="B801" s="8" t="s">
        <v>830</v>
      </c>
      <c r="C801" s="8">
        <v>113</v>
      </c>
      <c r="D801" s="8" t="s">
        <v>831</v>
      </c>
      <c r="E801" s="8">
        <v>2510240</v>
      </c>
    </row>
    <row r="802" spans="1:5" x14ac:dyDescent="0.5">
      <c r="A802" s="7">
        <v>2510240</v>
      </c>
      <c r="B802" s="8" t="s">
        <v>832</v>
      </c>
      <c r="C802" s="8">
        <v>113</v>
      </c>
      <c r="D802" s="8" t="s">
        <v>831</v>
      </c>
      <c r="E802" s="8">
        <v>2510240</v>
      </c>
    </row>
    <row r="803" spans="1:5" x14ac:dyDescent="0.5">
      <c r="A803" s="7">
        <v>2510250</v>
      </c>
      <c r="B803" s="8" t="s">
        <v>833</v>
      </c>
      <c r="C803" s="8">
        <v>114</v>
      </c>
      <c r="D803" s="8" t="s">
        <v>834</v>
      </c>
      <c r="E803" s="8">
        <v>1510250</v>
      </c>
    </row>
    <row r="804" spans="1:5" x14ac:dyDescent="0.5">
      <c r="A804" s="7">
        <v>2510510</v>
      </c>
      <c r="B804" s="8" t="s">
        <v>740</v>
      </c>
      <c r="C804" s="8">
        <v>146</v>
      </c>
      <c r="D804" s="8" t="s">
        <v>741</v>
      </c>
      <c r="E804" s="8">
        <v>2810510</v>
      </c>
    </row>
    <row r="805" spans="1:5" x14ac:dyDescent="0.5">
      <c r="A805" s="7">
        <v>2510520</v>
      </c>
      <c r="B805" s="8" t="s">
        <v>808</v>
      </c>
      <c r="C805" s="8">
        <v>148</v>
      </c>
      <c r="D805" s="8" t="s">
        <v>841</v>
      </c>
      <c r="E805" s="8">
        <v>2710520</v>
      </c>
    </row>
    <row r="806" spans="1:5" x14ac:dyDescent="0.5">
      <c r="A806" s="7">
        <v>2510540</v>
      </c>
      <c r="B806" s="8" t="s">
        <v>816</v>
      </c>
      <c r="C806" s="8">
        <v>150</v>
      </c>
      <c r="D806" s="8" t="s">
        <v>603</v>
      </c>
      <c r="E806" s="8">
        <v>2910540</v>
      </c>
    </row>
    <row r="807" spans="1:5" x14ac:dyDescent="0.5">
      <c r="A807" s="7">
        <v>2510590</v>
      </c>
      <c r="B807" s="8" t="s">
        <v>900</v>
      </c>
      <c r="C807" s="8">
        <v>161</v>
      </c>
      <c r="D807" s="8" t="s">
        <v>901</v>
      </c>
      <c r="E807" s="8">
        <v>2410590</v>
      </c>
    </row>
    <row r="808" spans="1:5" x14ac:dyDescent="0.5">
      <c r="A808" s="7">
        <v>2510610</v>
      </c>
      <c r="B808" s="8" t="s">
        <v>746</v>
      </c>
      <c r="C808" s="8">
        <v>163</v>
      </c>
      <c r="D808" s="8" t="s">
        <v>747</v>
      </c>
      <c r="E808" s="8">
        <v>2910610</v>
      </c>
    </row>
    <row r="809" spans="1:5" x14ac:dyDescent="0.5">
      <c r="A809" s="7">
        <v>2510740</v>
      </c>
      <c r="B809" s="8" t="s">
        <v>904</v>
      </c>
      <c r="C809" s="8">
        <v>172</v>
      </c>
      <c r="D809" s="8" t="s">
        <v>905</v>
      </c>
      <c r="E809" s="8">
        <v>2610740</v>
      </c>
    </row>
    <row r="810" spans="1:5" x14ac:dyDescent="0.5">
      <c r="A810" s="7">
        <v>2510750</v>
      </c>
      <c r="B810" s="8" t="s">
        <v>906</v>
      </c>
      <c r="C810" s="8">
        <v>173</v>
      </c>
      <c r="D810" s="8" t="s">
        <v>907</v>
      </c>
      <c r="E810" s="8">
        <v>2610750</v>
      </c>
    </row>
    <row r="811" spans="1:5" x14ac:dyDescent="0.5">
      <c r="A811" s="7">
        <v>2510770</v>
      </c>
      <c r="B811" s="8" t="s">
        <v>843</v>
      </c>
      <c r="C811" s="8">
        <v>175</v>
      </c>
      <c r="D811" s="8" t="s">
        <v>844</v>
      </c>
      <c r="E811" s="8">
        <v>2610770</v>
      </c>
    </row>
    <row r="812" spans="1:5" x14ac:dyDescent="0.5">
      <c r="A812" s="7">
        <v>2510800</v>
      </c>
      <c r="B812" s="8" t="s">
        <v>616</v>
      </c>
      <c r="C812" s="8">
        <v>181</v>
      </c>
      <c r="D812" s="8" t="s">
        <v>845</v>
      </c>
      <c r="E812" s="8">
        <v>2810800</v>
      </c>
    </row>
    <row r="813" spans="1:5" x14ac:dyDescent="0.5">
      <c r="A813" s="7">
        <v>2510870</v>
      </c>
      <c r="B813" s="8" t="s">
        <v>709</v>
      </c>
      <c r="C813" s="8">
        <v>192</v>
      </c>
      <c r="D813" s="8" t="s">
        <v>710</v>
      </c>
      <c r="E813" s="8">
        <v>1310870</v>
      </c>
    </row>
    <row r="814" spans="1:5" x14ac:dyDescent="0.5">
      <c r="A814" s="7">
        <v>2510880</v>
      </c>
      <c r="B814" s="8" t="s">
        <v>711</v>
      </c>
      <c r="C814" s="8">
        <v>183</v>
      </c>
      <c r="D814" s="8" t="s">
        <v>712</v>
      </c>
      <c r="E814" s="8">
        <v>1210810</v>
      </c>
    </row>
    <row r="815" spans="1:5" x14ac:dyDescent="0.5">
      <c r="A815" s="7">
        <v>2510910</v>
      </c>
      <c r="B815" s="8" t="s">
        <v>819</v>
      </c>
      <c r="C815" s="8">
        <v>194</v>
      </c>
      <c r="D815" s="8" t="s">
        <v>820</v>
      </c>
      <c r="E815" s="8">
        <v>1510910</v>
      </c>
    </row>
    <row r="816" spans="1:5" x14ac:dyDescent="0.5">
      <c r="A816" s="7">
        <v>2510940</v>
      </c>
      <c r="B816" s="8" t="s">
        <v>908</v>
      </c>
      <c r="C816" s="8">
        <v>197</v>
      </c>
      <c r="D816" s="8" t="s">
        <v>909</v>
      </c>
      <c r="E816" s="8">
        <v>3310940</v>
      </c>
    </row>
    <row r="817" spans="1:5" x14ac:dyDescent="0.5">
      <c r="A817" s="7">
        <v>2511002</v>
      </c>
      <c r="B817" s="8" t="s">
        <v>910</v>
      </c>
      <c r="C817" s="8">
        <v>202</v>
      </c>
      <c r="D817" s="8" t="s">
        <v>847</v>
      </c>
      <c r="E817" s="8">
        <v>2511003</v>
      </c>
    </row>
    <row r="818" spans="1:5" x14ac:dyDescent="0.5">
      <c r="A818" s="7">
        <v>2511003</v>
      </c>
      <c r="B818" s="8" t="s">
        <v>911</v>
      </c>
      <c r="C818" s="8">
        <v>202</v>
      </c>
      <c r="D818" s="8" t="s">
        <v>847</v>
      </c>
      <c r="E818" s="8">
        <v>2511003</v>
      </c>
    </row>
    <row r="819" spans="1:5" x14ac:dyDescent="0.5">
      <c r="A819" s="7">
        <v>2511010</v>
      </c>
      <c r="B819" s="8" t="s">
        <v>912</v>
      </c>
      <c r="C819" s="8">
        <v>206</v>
      </c>
      <c r="D819" s="8" t="s">
        <v>826</v>
      </c>
      <c r="E819" s="8">
        <v>2311070</v>
      </c>
    </row>
    <row r="820" spans="1:5" x14ac:dyDescent="0.5">
      <c r="A820" s="7">
        <v>2511040</v>
      </c>
      <c r="B820" s="8" t="s">
        <v>824</v>
      </c>
      <c r="C820" s="8">
        <v>203</v>
      </c>
      <c r="D820" s="8" t="s">
        <v>716</v>
      </c>
      <c r="E820" s="8">
        <v>1611030</v>
      </c>
    </row>
    <row r="821" spans="1:5" x14ac:dyDescent="0.5">
      <c r="A821" s="7">
        <v>2511070</v>
      </c>
      <c r="B821" s="8" t="s">
        <v>825</v>
      </c>
      <c r="C821" s="8">
        <v>206</v>
      </c>
      <c r="D821" s="8" t="s">
        <v>826</v>
      </c>
      <c r="E821" s="8">
        <v>2311070</v>
      </c>
    </row>
    <row r="822" spans="1:5" x14ac:dyDescent="0.5">
      <c r="A822" s="7">
        <v>2511080</v>
      </c>
      <c r="B822" s="8" t="s">
        <v>715</v>
      </c>
      <c r="C822" s="8">
        <v>203</v>
      </c>
      <c r="D822" s="8" t="s">
        <v>716</v>
      </c>
      <c r="E822" s="8">
        <v>1611030</v>
      </c>
    </row>
    <row r="823" spans="1:5" x14ac:dyDescent="0.5">
      <c r="A823" s="7">
        <v>2511090</v>
      </c>
      <c r="B823" s="8" t="s">
        <v>717</v>
      </c>
      <c r="C823" s="8">
        <v>207</v>
      </c>
      <c r="D823" s="8" t="s">
        <v>718</v>
      </c>
      <c r="E823" s="8">
        <v>1411090</v>
      </c>
    </row>
    <row r="824" spans="1:5" x14ac:dyDescent="0.5">
      <c r="A824" s="7">
        <v>2511160</v>
      </c>
      <c r="B824" s="8" t="s">
        <v>848</v>
      </c>
      <c r="C824" s="8">
        <v>114</v>
      </c>
      <c r="D824" s="8" t="s">
        <v>834</v>
      </c>
      <c r="E824" s="8">
        <v>1510250</v>
      </c>
    </row>
    <row r="825" spans="1:5" x14ac:dyDescent="0.5">
      <c r="A825" s="7">
        <v>2511190</v>
      </c>
      <c r="B825" s="8" t="s">
        <v>902</v>
      </c>
      <c r="C825" s="8">
        <v>214</v>
      </c>
      <c r="D825" s="8" t="s">
        <v>903</v>
      </c>
      <c r="E825" s="8">
        <v>2411190</v>
      </c>
    </row>
    <row r="826" spans="1:5" x14ac:dyDescent="0.5">
      <c r="A826" s="7">
        <v>2511210</v>
      </c>
      <c r="B826" s="8" t="s">
        <v>837</v>
      </c>
      <c r="C826" s="8">
        <v>216</v>
      </c>
      <c r="D826" s="8" t="s">
        <v>838</v>
      </c>
      <c r="E826" s="8">
        <v>2611210</v>
      </c>
    </row>
    <row r="827" spans="1:5" x14ac:dyDescent="0.5">
      <c r="A827" s="7">
        <v>2511220</v>
      </c>
      <c r="B827" s="8" t="s">
        <v>913</v>
      </c>
      <c r="C827" s="8">
        <v>217</v>
      </c>
      <c r="D827" s="8" t="s">
        <v>914</v>
      </c>
      <c r="E827" s="8">
        <v>2611220</v>
      </c>
    </row>
    <row r="828" spans="1:5" x14ac:dyDescent="0.5">
      <c r="A828" s="7">
        <v>2511270</v>
      </c>
      <c r="B828" s="8" t="s">
        <v>765</v>
      </c>
      <c r="C828" s="8">
        <v>225</v>
      </c>
      <c r="D828" s="8" t="s">
        <v>849</v>
      </c>
      <c r="E828" s="8">
        <v>2411270</v>
      </c>
    </row>
    <row r="829" spans="1:5" x14ac:dyDescent="0.5">
      <c r="A829" s="7">
        <v>2511330</v>
      </c>
      <c r="B829" s="8" t="s">
        <v>915</v>
      </c>
      <c r="C829" s="8">
        <v>230</v>
      </c>
      <c r="D829" s="8" t="s">
        <v>916</v>
      </c>
      <c r="E829" s="8">
        <v>2511330</v>
      </c>
    </row>
    <row r="830" spans="1:5" x14ac:dyDescent="0.5">
      <c r="A830" s="7">
        <v>2511350</v>
      </c>
      <c r="B830" s="8" t="s">
        <v>767</v>
      </c>
      <c r="C830" s="8">
        <v>232</v>
      </c>
      <c r="D830" s="8" t="s">
        <v>768</v>
      </c>
      <c r="E830" s="8">
        <v>2411350</v>
      </c>
    </row>
    <row r="831" spans="1:5" x14ac:dyDescent="0.5">
      <c r="A831" s="7">
        <v>2511460</v>
      </c>
      <c r="B831" s="8" t="s">
        <v>850</v>
      </c>
      <c r="C831" s="8">
        <v>244</v>
      </c>
      <c r="D831" s="8" t="s">
        <v>851</v>
      </c>
      <c r="E831" s="8">
        <v>2811460</v>
      </c>
    </row>
    <row r="832" spans="1:5" x14ac:dyDescent="0.5">
      <c r="A832" s="7">
        <v>2511490</v>
      </c>
      <c r="B832" s="8" t="s">
        <v>917</v>
      </c>
      <c r="C832" s="8">
        <v>247</v>
      </c>
      <c r="D832" s="8" t="s">
        <v>918</v>
      </c>
      <c r="E832" s="8">
        <v>2711490</v>
      </c>
    </row>
    <row r="833" spans="1:5" x14ac:dyDescent="0.5">
      <c r="A833" s="7">
        <v>2511530</v>
      </c>
      <c r="B833" s="8" t="s">
        <v>761</v>
      </c>
      <c r="C833" s="8">
        <v>250</v>
      </c>
      <c r="D833" s="8" t="s">
        <v>762</v>
      </c>
      <c r="E833" s="8">
        <v>1211530</v>
      </c>
    </row>
    <row r="834" spans="1:5" x14ac:dyDescent="0.5">
      <c r="A834" s="7">
        <v>2511550</v>
      </c>
      <c r="B834" s="8" t="s">
        <v>727</v>
      </c>
      <c r="C834" s="8">
        <v>251</v>
      </c>
      <c r="D834" s="8" t="s">
        <v>919</v>
      </c>
      <c r="E834" s="8">
        <v>2511550</v>
      </c>
    </row>
    <row r="835" spans="1:5" x14ac:dyDescent="0.5">
      <c r="A835" s="7">
        <v>2511590</v>
      </c>
      <c r="B835" s="8" t="s">
        <v>779</v>
      </c>
      <c r="C835" s="8">
        <v>259</v>
      </c>
      <c r="D835" s="8" t="s">
        <v>636</v>
      </c>
      <c r="E835" s="8">
        <v>2811590</v>
      </c>
    </row>
    <row r="836" spans="1:5" x14ac:dyDescent="0.5">
      <c r="A836" s="7">
        <v>2515030</v>
      </c>
      <c r="B836" s="8" t="s">
        <v>920</v>
      </c>
      <c r="C836" s="8">
        <v>445</v>
      </c>
      <c r="D836" s="8" t="s">
        <v>921</v>
      </c>
      <c r="E836" s="8">
        <v>2615030</v>
      </c>
    </row>
    <row r="837" spans="1:5" x14ac:dyDescent="0.5">
      <c r="A837" s="7">
        <v>2515040</v>
      </c>
      <c r="B837" s="8" t="s">
        <v>922</v>
      </c>
      <c r="C837" s="8">
        <v>446</v>
      </c>
      <c r="D837" s="8" t="s">
        <v>923</v>
      </c>
      <c r="E837" s="8">
        <v>2515040</v>
      </c>
    </row>
    <row r="838" spans="1:5" x14ac:dyDescent="0.5">
      <c r="A838" s="7">
        <v>2610040</v>
      </c>
      <c r="B838" s="8" t="s">
        <v>699</v>
      </c>
      <c r="C838" s="8">
        <v>100</v>
      </c>
      <c r="D838" s="8" t="s">
        <v>578</v>
      </c>
      <c r="E838" s="8" t="s">
        <v>579</v>
      </c>
    </row>
    <row r="839" spans="1:5" x14ac:dyDescent="0.5">
      <c r="A839" s="7">
        <v>2610240</v>
      </c>
      <c r="B839" s="8" t="s">
        <v>832</v>
      </c>
      <c r="C839" s="8">
        <v>113</v>
      </c>
      <c r="D839" s="8" t="s">
        <v>831</v>
      </c>
      <c r="E839" s="8">
        <v>2510240</v>
      </c>
    </row>
    <row r="840" spans="1:5" x14ac:dyDescent="0.5">
      <c r="A840" s="7">
        <v>2610250</v>
      </c>
      <c r="B840" s="8" t="s">
        <v>833</v>
      </c>
      <c r="C840" s="8">
        <v>114</v>
      </c>
      <c r="D840" s="8" t="s">
        <v>834</v>
      </c>
      <c r="E840" s="8">
        <v>1510250</v>
      </c>
    </row>
    <row r="841" spans="1:5" x14ac:dyDescent="0.5">
      <c r="A841" s="7">
        <v>2610540</v>
      </c>
      <c r="B841" s="8" t="s">
        <v>816</v>
      </c>
      <c r="C841" s="8">
        <v>150</v>
      </c>
      <c r="D841" s="8" t="s">
        <v>603</v>
      </c>
      <c r="E841" s="8">
        <v>2910540</v>
      </c>
    </row>
    <row r="842" spans="1:5" x14ac:dyDescent="0.5">
      <c r="A842" s="7">
        <v>2610590</v>
      </c>
      <c r="B842" s="8" t="s">
        <v>900</v>
      </c>
      <c r="C842" s="8">
        <v>161</v>
      </c>
      <c r="D842" s="8" t="s">
        <v>901</v>
      </c>
      <c r="E842" s="8">
        <v>2410590</v>
      </c>
    </row>
    <row r="843" spans="1:5" x14ac:dyDescent="0.5">
      <c r="A843" s="7">
        <v>2610740</v>
      </c>
      <c r="B843" s="8" t="s">
        <v>904</v>
      </c>
      <c r="C843" s="8">
        <v>172</v>
      </c>
      <c r="D843" s="8" t="s">
        <v>905</v>
      </c>
      <c r="E843" s="8">
        <v>2610740</v>
      </c>
    </row>
    <row r="844" spans="1:5" x14ac:dyDescent="0.5">
      <c r="A844" s="7">
        <v>2610750</v>
      </c>
      <c r="B844" s="8" t="s">
        <v>906</v>
      </c>
      <c r="C844" s="8">
        <v>173</v>
      </c>
      <c r="D844" s="8" t="s">
        <v>907</v>
      </c>
      <c r="E844" s="8">
        <v>2610750</v>
      </c>
    </row>
    <row r="845" spans="1:5" x14ac:dyDescent="0.5">
      <c r="A845" s="7">
        <v>2610760</v>
      </c>
      <c r="B845" s="8" t="s">
        <v>924</v>
      </c>
      <c r="C845" s="8">
        <v>174</v>
      </c>
      <c r="D845" s="8" t="s">
        <v>925</v>
      </c>
      <c r="E845" s="8">
        <v>2610760</v>
      </c>
    </row>
    <row r="846" spans="1:5" x14ac:dyDescent="0.5">
      <c r="A846" s="7">
        <v>2610770</v>
      </c>
      <c r="B846" s="8" t="s">
        <v>843</v>
      </c>
      <c r="C846" s="8">
        <v>175</v>
      </c>
      <c r="D846" s="8" t="s">
        <v>844</v>
      </c>
      <c r="E846" s="8">
        <v>2610770</v>
      </c>
    </row>
    <row r="847" spans="1:5" x14ac:dyDescent="0.5">
      <c r="A847" s="7">
        <v>2610860</v>
      </c>
      <c r="B847" s="8" t="s">
        <v>817</v>
      </c>
      <c r="C847" s="8">
        <v>191</v>
      </c>
      <c r="D847" s="8" t="s">
        <v>926</v>
      </c>
      <c r="E847" s="8">
        <v>2710860</v>
      </c>
    </row>
    <row r="848" spans="1:5" x14ac:dyDescent="0.5">
      <c r="A848" s="7">
        <v>2610940</v>
      </c>
      <c r="B848" s="8" t="s">
        <v>908</v>
      </c>
      <c r="C848" s="8">
        <v>197</v>
      </c>
      <c r="D848" s="8" t="s">
        <v>909</v>
      </c>
      <c r="E848" s="8">
        <v>3310940</v>
      </c>
    </row>
    <row r="849" spans="1:5" x14ac:dyDescent="0.5">
      <c r="A849" s="7">
        <v>2610950</v>
      </c>
      <c r="B849" s="8" t="s">
        <v>927</v>
      </c>
      <c r="C849" s="8">
        <v>198</v>
      </c>
      <c r="D849" s="8" t="s">
        <v>928</v>
      </c>
      <c r="E849" s="8">
        <v>2610950</v>
      </c>
    </row>
    <row r="850" spans="1:5" x14ac:dyDescent="0.5">
      <c r="A850" s="7">
        <v>2611000</v>
      </c>
      <c r="B850" s="8" t="s">
        <v>846</v>
      </c>
      <c r="C850" s="8">
        <v>202</v>
      </c>
      <c r="D850" s="8" t="s">
        <v>847</v>
      </c>
      <c r="E850" s="8">
        <v>2511003</v>
      </c>
    </row>
    <row r="851" spans="1:5" x14ac:dyDescent="0.5">
      <c r="A851" s="7">
        <v>2611010</v>
      </c>
      <c r="B851" s="8" t="s">
        <v>912</v>
      </c>
      <c r="C851" s="8">
        <v>206</v>
      </c>
      <c r="D851" s="8" t="s">
        <v>826</v>
      </c>
      <c r="E851" s="8">
        <v>2311070</v>
      </c>
    </row>
    <row r="852" spans="1:5" x14ac:dyDescent="0.5">
      <c r="A852" s="7">
        <v>2611110</v>
      </c>
      <c r="B852" s="8" t="s">
        <v>929</v>
      </c>
      <c r="C852" s="8">
        <v>209</v>
      </c>
      <c r="D852" s="8" t="s">
        <v>930</v>
      </c>
      <c r="E852" s="8">
        <v>3411110</v>
      </c>
    </row>
    <row r="853" spans="1:5" x14ac:dyDescent="0.5">
      <c r="A853" s="7">
        <v>2611160</v>
      </c>
      <c r="B853" s="8" t="s">
        <v>848</v>
      </c>
      <c r="C853" s="8">
        <v>114</v>
      </c>
      <c r="D853" s="8" t="s">
        <v>834</v>
      </c>
      <c r="E853" s="8">
        <v>1510250</v>
      </c>
    </row>
    <row r="854" spans="1:5" x14ac:dyDescent="0.5">
      <c r="A854" s="7">
        <v>2611190</v>
      </c>
      <c r="B854" s="8" t="s">
        <v>902</v>
      </c>
      <c r="C854" s="8">
        <v>214</v>
      </c>
      <c r="D854" s="8" t="s">
        <v>903</v>
      </c>
      <c r="E854" s="8">
        <v>2411190</v>
      </c>
    </row>
    <row r="855" spans="1:5" x14ac:dyDescent="0.5">
      <c r="A855" s="7">
        <v>2611210</v>
      </c>
      <c r="B855" s="8" t="s">
        <v>837</v>
      </c>
      <c r="C855" s="8">
        <v>216</v>
      </c>
      <c r="D855" s="8" t="s">
        <v>838</v>
      </c>
      <c r="E855" s="8">
        <v>2611210</v>
      </c>
    </row>
    <row r="856" spans="1:5" x14ac:dyDescent="0.5">
      <c r="A856" s="7">
        <v>2611220</v>
      </c>
      <c r="B856" s="8" t="s">
        <v>913</v>
      </c>
      <c r="C856" s="8">
        <v>217</v>
      </c>
      <c r="D856" s="8" t="s">
        <v>914</v>
      </c>
      <c r="E856" s="8">
        <v>2611220</v>
      </c>
    </row>
    <row r="857" spans="1:5" x14ac:dyDescent="0.5">
      <c r="A857" s="7">
        <v>2611460</v>
      </c>
      <c r="B857" s="8" t="s">
        <v>850</v>
      </c>
      <c r="C857" s="8">
        <v>244</v>
      </c>
      <c r="D857" s="8" t="s">
        <v>851</v>
      </c>
      <c r="E857" s="8">
        <v>2811460</v>
      </c>
    </row>
    <row r="858" spans="1:5" x14ac:dyDescent="0.5">
      <c r="A858" s="7">
        <v>2611490</v>
      </c>
      <c r="B858" s="8" t="s">
        <v>917</v>
      </c>
      <c r="C858" s="8">
        <v>247</v>
      </c>
      <c r="D858" s="8" t="s">
        <v>918</v>
      </c>
      <c r="E858" s="8">
        <v>2711490</v>
      </c>
    </row>
    <row r="859" spans="1:5" x14ac:dyDescent="0.5">
      <c r="A859" s="7">
        <v>2611550</v>
      </c>
      <c r="B859" s="8" t="s">
        <v>727</v>
      </c>
      <c r="C859" s="8">
        <v>254</v>
      </c>
      <c r="D859" s="8" t="s">
        <v>931</v>
      </c>
      <c r="E859" s="8">
        <v>2611550</v>
      </c>
    </row>
    <row r="860" spans="1:5" x14ac:dyDescent="0.5">
      <c r="A860" s="7">
        <v>2611590</v>
      </c>
      <c r="B860" s="8" t="s">
        <v>779</v>
      </c>
      <c r="C860" s="8">
        <v>259</v>
      </c>
      <c r="D860" s="8" t="s">
        <v>636</v>
      </c>
      <c r="E860" s="8">
        <v>2811590</v>
      </c>
    </row>
    <row r="861" spans="1:5" x14ac:dyDescent="0.5">
      <c r="A861" s="7">
        <v>2613930</v>
      </c>
      <c r="B861" s="8" t="s">
        <v>932</v>
      </c>
      <c r="C861" s="8">
        <v>358</v>
      </c>
      <c r="D861" s="8" t="s">
        <v>933</v>
      </c>
      <c r="E861" s="8">
        <v>2613930</v>
      </c>
    </row>
    <row r="862" spans="1:5" x14ac:dyDescent="0.5">
      <c r="A862" s="7">
        <v>2614951</v>
      </c>
      <c r="B862" s="8" t="s">
        <v>934</v>
      </c>
      <c r="C862" s="8">
        <v>441</v>
      </c>
      <c r="D862" s="8" t="s">
        <v>935</v>
      </c>
      <c r="E862" s="8">
        <v>3414951</v>
      </c>
    </row>
    <row r="863" spans="1:5" x14ac:dyDescent="0.5">
      <c r="A863" s="7">
        <v>2615030</v>
      </c>
      <c r="B863" s="8" t="s">
        <v>920</v>
      </c>
      <c r="C863" s="8">
        <v>445</v>
      </c>
      <c r="D863" s="8" t="s">
        <v>921</v>
      </c>
      <c r="E863" s="8">
        <v>2615030</v>
      </c>
    </row>
    <row r="864" spans="1:5" x14ac:dyDescent="0.5">
      <c r="A864" s="7">
        <v>2615041</v>
      </c>
      <c r="B864" s="8" t="s">
        <v>936</v>
      </c>
      <c r="C864" s="8">
        <v>447</v>
      </c>
      <c r="D864" s="8" t="s">
        <v>937</v>
      </c>
      <c r="E864" s="8">
        <v>2615041</v>
      </c>
    </row>
    <row r="865" spans="1:5" x14ac:dyDescent="0.5">
      <c r="A865" s="7">
        <v>2615042</v>
      </c>
      <c r="B865" s="8" t="s">
        <v>938</v>
      </c>
      <c r="C865" s="8">
        <v>448</v>
      </c>
      <c r="D865" s="8" t="s">
        <v>939</v>
      </c>
      <c r="E865" s="8">
        <v>2615042</v>
      </c>
    </row>
    <row r="866" spans="1:5" x14ac:dyDescent="0.5">
      <c r="A866" s="7">
        <v>2710010</v>
      </c>
      <c r="B866" s="8" t="s">
        <v>577</v>
      </c>
      <c r="C866" s="8">
        <v>100</v>
      </c>
      <c r="D866" s="8" t="s">
        <v>578</v>
      </c>
      <c r="E866" s="8" t="s">
        <v>579</v>
      </c>
    </row>
    <row r="867" spans="1:5" x14ac:dyDescent="0.5">
      <c r="A867" s="7">
        <v>2710070</v>
      </c>
      <c r="B867" s="8" t="s">
        <v>873</v>
      </c>
      <c r="C867" s="8">
        <v>100</v>
      </c>
      <c r="D867" s="8" t="s">
        <v>578</v>
      </c>
      <c r="E867" s="8" t="s">
        <v>579</v>
      </c>
    </row>
    <row r="868" spans="1:5" x14ac:dyDescent="0.5">
      <c r="A868" s="7">
        <v>2710110</v>
      </c>
      <c r="B868" s="8" t="s">
        <v>730</v>
      </c>
      <c r="C868" s="8">
        <v>102</v>
      </c>
      <c r="D868" s="8" t="s">
        <v>731</v>
      </c>
      <c r="E868" s="8">
        <v>2010110</v>
      </c>
    </row>
    <row r="869" spans="1:5" x14ac:dyDescent="0.5">
      <c r="A869" s="7">
        <v>2710120</v>
      </c>
      <c r="B869" s="8" t="s">
        <v>852</v>
      </c>
      <c r="C869" s="8">
        <v>103</v>
      </c>
      <c r="D869" s="8" t="s">
        <v>853</v>
      </c>
      <c r="E869" s="8">
        <v>1610120</v>
      </c>
    </row>
    <row r="870" spans="1:5" x14ac:dyDescent="0.5">
      <c r="A870" s="7">
        <v>2710240</v>
      </c>
      <c r="B870" s="8" t="s">
        <v>832</v>
      </c>
      <c r="C870" s="8">
        <v>113</v>
      </c>
      <c r="D870" s="8" t="s">
        <v>831</v>
      </c>
      <c r="E870" s="8">
        <v>2510240</v>
      </c>
    </row>
    <row r="871" spans="1:5" x14ac:dyDescent="0.5">
      <c r="A871" s="7">
        <v>2710510</v>
      </c>
      <c r="B871" s="8" t="s">
        <v>740</v>
      </c>
      <c r="C871" s="8">
        <v>146</v>
      </c>
      <c r="D871" s="8" t="s">
        <v>741</v>
      </c>
      <c r="E871" s="8">
        <v>2810510</v>
      </c>
    </row>
    <row r="872" spans="1:5" x14ac:dyDescent="0.5">
      <c r="A872" s="7">
        <v>2710520</v>
      </c>
      <c r="B872" s="8" t="s">
        <v>808</v>
      </c>
      <c r="C872" s="8">
        <v>148</v>
      </c>
      <c r="D872" s="8" t="s">
        <v>841</v>
      </c>
      <c r="E872" s="8">
        <v>2710520</v>
      </c>
    </row>
    <row r="873" spans="1:5" x14ac:dyDescent="0.5">
      <c r="A873" s="7">
        <v>2710541</v>
      </c>
      <c r="B873" s="8" t="s">
        <v>940</v>
      </c>
      <c r="C873" s="8">
        <v>150</v>
      </c>
      <c r="D873" s="8" t="s">
        <v>603</v>
      </c>
      <c r="E873" s="8">
        <v>2910540</v>
      </c>
    </row>
    <row r="874" spans="1:5" x14ac:dyDescent="0.5">
      <c r="A874" s="7">
        <v>2710542</v>
      </c>
      <c r="B874" s="8" t="s">
        <v>941</v>
      </c>
      <c r="C874" s="8">
        <v>149</v>
      </c>
      <c r="D874" s="8" t="s">
        <v>764</v>
      </c>
      <c r="E874" s="8">
        <v>2810540</v>
      </c>
    </row>
    <row r="875" spans="1:5" x14ac:dyDescent="0.5">
      <c r="A875" s="7">
        <v>2710550</v>
      </c>
      <c r="B875" s="8" t="s">
        <v>604</v>
      </c>
      <c r="C875" s="8">
        <v>153</v>
      </c>
      <c r="D875" s="8" t="s">
        <v>801</v>
      </c>
      <c r="E875" s="8">
        <v>2910550</v>
      </c>
    </row>
    <row r="876" spans="1:5" x14ac:dyDescent="0.5">
      <c r="A876" s="7">
        <v>2710590</v>
      </c>
      <c r="B876" s="8" t="s">
        <v>900</v>
      </c>
      <c r="C876" s="8">
        <v>161</v>
      </c>
      <c r="D876" s="8" t="s">
        <v>901</v>
      </c>
      <c r="E876" s="8">
        <v>2410590</v>
      </c>
    </row>
    <row r="877" spans="1:5" x14ac:dyDescent="0.5">
      <c r="A877" s="7">
        <v>2710610</v>
      </c>
      <c r="B877" s="8" t="s">
        <v>746</v>
      </c>
      <c r="C877" s="8">
        <v>163</v>
      </c>
      <c r="D877" s="8" t="s">
        <v>747</v>
      </c>
      <c r="E877" s="8">
        <v>2910610</v>
      </c>
    </row>
    <row r="878" spans="1:5" x14ac:dyDescent="0.5">
      <c r="A878" s="7">
        <v>2710640</v>
      </c>
      <c r="B878" s="8" t="s">
        <v>861</v>
      </c>
      <c r="C878" s="8">
        <v>166</v>
      </c>
      <c r="D878" s="8" t="s">
        <v>862</v>
      </c>
      <c r="E878" s="8">
        <v>2710640</v>
      </c>
    </row>
    <row r="879" spans="1:5" x14ac:dyDescent="0.5">
      <c r="A879" s="7">
        <v>2710811</v>
      </c>
      <c r="B879" s="8" t="s">
        <v>942</v>
      </c>
      <c r="C879" s="8">
        <v>183</v>
      </c>
      <c r="D879" s="8" t="s">
        <v>712</v>
      </c>
      <c r="E879" s="8">
        <v>1210810</v>
      </c>
    </row>
    <row r="880" spans="1:5" x14ac:dyDescent="0.5">
      <c r="A880" s="7">
        <v>2710812</v>
      </c>
      <c r="B880" s="8" t="s">
        <v>943</v>
      </c>
      <c r="C880" s="8">
        <v>183</v>
      </c>
      <c r="D880" s="8" t="s">
        <v>712</v>
      </c>
      <c r="E880" s="8">
        <v>1210810</v>
      </c>
    </row>
    <row r="881" spans="1:5" x14ac:dyDescent="0.5">
      <c r="A881" s="7">
        <v>2710860</v>
      </c>
      <c r="B881" s="8" t="s">
        <v>817</v>
      </c>
      <c r="C881" s="8">
        <v>191</v>
      </c>
      <c r="D881" s="8" t="s">
        <v>926</v>
      </c>
      <c r="E881" s="8">
        <v>2710860</v>
      </c>
    </row>
    <row r="882" spans="1:5" x14ac:dyDescent="0.5">
      <c r="A882" s="7">
        <v>2710940</v>
      </c>
      <c r="B882" s="8" t="s">
        <v>908</v>
      </c>
      <c r="C882" s="8">
        <v>197</v>
      </c>
      <c r="D882" s="8" t="s">
        <v>909</v>
      </c>
      <c r="E882" s="8">
        <v>3310940</v>
      </c>
    </row>
    <row r="883" spans="1:5" x14ac:dyDescent="0.5">
      <c r="A883" s="7">
        <v>2710950</v>
      </c>
      <c r="B883" s="8" t="s">
        <v>927</v>
      </c>
      <c r="C883" s="8">
        <v>198</v>
      </c>
      <c r="D883" s="8" t="s">
        <v>928</v>
      </c>
      <c r="E883" s="8">
        <v>2610950</v>
      </c>
    </row>
    <row r="884" spans="1:5" x14ac:dyDescent="0.5">
      <c r="A884" s="7">
        <v>2711070</v>
      </c>
      <c r="B884" s="8" t="s">
        <v>825</v>
      </c>
      <c r="C884" s="8">
        <v>206</v>
      </c>
      <c r="D884" s="8" t="s">
        <v>826</v>
      </c>
      <c r="E884" s="8">
        <v>2311070</v>
      </c>
    </row>
    <row r="885" spans="1:5" x14ac:dyDescent="0.5">
      <c r="A885" s="7">
        <v>2711110</v>
      </c>
      <c r="B885" s="8" t="s">
        <v>929</v>
      </c>
      <c r="C885" s="8">
        <v>209</v>
      </c>
      <c r="D885" s="8" t="s">
        <v>930</v>
      </c>
      <c r="E885" s="8">
        <v>3411110</v>
      </c>
    </row>
    <row r="886" spans="1:5" x14ac:dyDescent="0.5">
      <c r="A886" s="7">
        <v>2711171</v>
      </c>
      <c r="B886" s="8" t="s">
        <v>944</v>
      </c>
      <c r="C886" s="8">
        <v>275</v>
      </c>
      <c r="D886" s="8" t="s">
        <v>945</v>
      </c>
      <c r="E886" s="8">
        <v>3111790</v>
      </c>
    </row>
    <row r="887" spans="1:5" x14ac:dyDescent="0.5">
      <c r="A887" s="7">
        <v>2711172</v>
      </c>
      <c r="B887" s="8" t="s">
        <v>946</v>
      </c>
      <c r="C887" s="8">
        <v>150</v>
      </c>
      <c r="D887" s="8" t="s">
        <v>603</v>
      </c>
      <c r="E887" s="8">
        <v>2910540</v>
      </c>
    </row>
    <row r="888" spans="1:5" x14ac:dyDescent="0.5">
      <c r="A888" s="7">
        <v>2711190</v>
      </c>
      <c r="B888" s="8" t="s">
        <v>902</v>
      </c>
      <c r="C888" s="8">
        <v>214</v>
      </c>
      <c r="D888" s="8" t="s">
        <v>903</v>
      </c>
      <c r="E888" s="8">
        <v>2411190</v>
      </c>
    </row>
    <row r="889" spans="1:5" x14ac:dyDescent="0.5">
      <c r="A889" s="7">
        <v>2711210</v>
      </c>
      <c r="B889" s="8" t="s">
        <v>837</v>
      </c>
      <c r="C889" s="8">
        <v>216</v>
      </c>
      <c r="D889" s="8" t="s">
        <v>838</v>
      </c>
      <c r="E889" s="8">
        <v>2611210</v>
      </c>
    </row>
    <row r="890" spans="1:5" x14ac:dyDescent="0.5">
      <c r="A890" s="7">
        <v>2711220</v>
      </c>
      <c r="B890" s="8" t="s">
        <v>913</v>
      </c>
      <c r="C890" s="8">
        <v>217</v>
      </c>
      <c r="D890" s="8" t="s">
        <v>914</v>
      </c>
      <c r="E890" s="8">
        <v>2611220</v>
      </c>
    </row>
    <row r="891" spans="1:5" x14ac:dyDescent="0.5">
      <c r="A891" s="7">
        <v>2711460</v>
      </c>
      <c r="B891" s="8" t="s">
        <v>850</v>
      </c>
      <c r="C891" s="8">
        <v>244</v>
      </c>
      <c r="D891" s="8" t="s">
        <v>851</v>
      </c>
      <c r="E891" s="8">
        <v>2811460</v>
      </c>
    </row>
    <row r="892" spans="1:5" x14ac:dyDescent="0.5">
      <c r="A892" s="7">
        <v>2711470</v>
      </c>
      <c r="B892" s="8" t="s">
        <v>947</v>
      </c>
      <c r="C892" s="8">
        <v>245</v>
      </c>
      <c r="D892" s="8" t="s">
        <v>948</v>
      </c>
      <c r="E892" s="8">
        <v>2711470</v>
      </c>
    </row>
    <row r="893" spans="1:5" x14ac:dyDescent="0.5">
      <c r="A893" s="7">
        <v>2711490</v>
      </c>
      <c r="B893" s="8" t="s">
        <v>917</v>
      </c>
      <c r="C893" s="8">
        <v>247</v>
      </c>
      <c r="D893" s="8" t="s">
        <v>918</v>
      </c>
      <c r="E893" s="8">
        <v>2711490</v>
      </c>
    </row>
    <row r="894" spans="1:5" x14ac:dyDescent="0.5">
      <c r="A894" s="7">
        <v>2711530</v>
      </c>
      <c r="B894" s="8" t="s">
        <v>761</v>
      </c>
      <c r="C894" s="8">
        <v>250</v>
      </c>
      <c r="D894" s="8" t="s">
        <v>762</v>
      </c>
      <c r="E894" s="8">
        <v>1211530</v>
      </c>
    </row>
    <row r="895" spans="1:5" x14ac:dyDescent="0.5">
      <c r="A895" s="7">
        <v>2711590</v>
      </c>
      <c r="B895" s="8" t="s">
        <v>779</v>
      </c>
      <c r="C895" s="8">
        <v>259</v>
      </c>
      <c r="D895" s="8" t="s">
        <v>636</v>
      </c>
      <c r="E895" s="8">
        <v>2811590</v>
      </c>
    </row>
    <row r="896" spans="1:5" x14ac:dyDescent="0.5">
      <c r="A896" s="7">
        <v>2711620</v>
      </c>
      <c r="B896" s="8" t="s">
        <v>882</v>
      </c>
      <c r="C896" s="8">
        <v>261</v>
      </c>
      <c r="D896" s="8" t="s">
        <v>883</v>
      </c>
      <c r="E896" s="8">
        <v>3111620</v>
      </c>
    </row>
    <row r="897" spans="1:5" x14ac:dyDescent="0.5">
      <c r="A897" s="7">
        <v>2714950</v>
      </c>
      <c r="B897" s="8" t="s">
        <v>885</v>
      </c>
      <c r="C897" s="8">
        <v>440</v>
      </c>
      <c r="D897" s="8" t="s">
        <v>886</v>
      </c>
      <c r="E897" s="8">
        <v>3114950</v>
      </c>
    </row>
    <row r="898" spans="1:5" x14ac:dyDescent="0.5">
      <c r="A898" s="7">
        <v>2715030</v>
      </c>
      <c r="B898" s="8" t="s">
        <v>920</v>
      </c>
      <c r="C898" s="8">
        <v>445</v>
      </c>
      <c r="D898" s="8" t="s">
        <v>921</v>
      </c>
      <c r="E898" s="8">
        <v>2615030</v>
      </c>
    </row>
    <row r="899" spans="1:5" x14ac:dyDescent="0.5">
      <c r="A899" s="7">
        <v>2715040</v>
      </c>
      <c r="B899" s="8" t="s">
        <v>922</v>
      </c>
      <c r="C899" s="8">
        <v>446</v>
      </c>
      <c r="D899" s="8" t="s">
        <v>923</v>
      </c>
      <c r="E899" s="8">
        <v>2515040</v>
      </c>
    </row>
    <row r="900" spans="1:5" x14ac:dyDescent="0.5">
      <c r="A900" s="7">
        <v>2810010</v>
      </c>
      <c r="B900" s="8" t="s">
        <v>577</v>
      </c>
      <c r="C900" s="8">
        <v>100</v>
      </c>
      <c r="D900" s="8" t="s">
        <v>578</v>
      </c>
      <c r="E900" s="8" t="s">
        <v>579</v>
      </c>
    </row>
    <row r="901" spans="1:5" x14ac:dyDescent="0.5">
      <c r="A901" s="7">
        <v>2810060</v>
      </c>
      <c r="B901" s="8" t="s">
        <v>581</v>
      </c>
      <c r="C901" s="8">
        <v>100</v>
      </c>
      <c r="D901" s="8" t="s">
        <v>578</v>
      </c>
      <c r="E901" s="8" t="s">
        <v>579</v>
      </c>
    </row>
    <row r="902" spans="1:5" x14ac:dyDescent="0.5">
      <c r="A902" s="7">
        <v>2810110</v>
      </c>
      <c r="B902" s="8" t="s">
        <v>730</v>
      </c>
      <c r="C902" s="8">
        <v>102</v>
      </c>
      <c r="D902" s="8" t="s">
        <v>731</v>
      </c>
      <c r="E902" s="8">
        <v>2010110</v>
      </c>
    </row>
    <row r="903" spans="1:5" x14ac:dyDescent="0.5">
      <c r="A903" s="7">
        <v>2810160</v>
      </c>
      <c r="B903" s="8" t="s">
        <v>814</v>
      </c>
      <c r="C903" s="8">
        <v>107</v>
      </c>
      <c r="D903" s="8" t="s">
        <v>815</v>
      </c>
      <c r="E903" s="8">
        <v>1410160</v>
      </c>
    </row>
    <row r="904" spans="1:5" x14ac:dyDescent="0.5">
      <c r="A904" s="7">
        <v>2810490</v>
      </c>
      <c r="B904" s="8" t="s">
        <v>854</v>
      </c>
      <c r="C904" s="8">
        <v>144</v>
      </c>
      <c r="D904" s="8" t="s">
        <v>855</v>
      </c>
      <c r="E904" s="8">
        <v>2010490</v>
      </c>
    </row>
    <row r="905" spans="1:5" x14ac:dyDescent="0.5">
      <c r="A905" s="7">
        <v>2810500</v>
      </c>
      <c r="B905" s="8" t="s">
        <v>856</v>
      </c>
      <c r="C905" s="8">
        <v>145</v>
      </c>
      <c r="D905" s="8" t="s">
        <v>857</v>
      </c>
      <c r="E905" s="8">
        <v>2810500</v>
      </c>
    </row>
    <row r="906" spans="1:5" x14ac:dyDescent="0.5">
      <c r="A906" s="7">
        <v>2810510</v>
      </c>
      <c r="B906" s="8" t="s">
        <v>740</v>
      </c>
      <c r="C906" s="8">
        <v>146</v>
      </c>
      <c r="D906" s="8" t="s">
        <v>741</v>
      </c>
      <c r="E906" s="8">
        <v>2810510</v>
      </c>
    </row>
    <row r="907" spans="1:5" x14ac:dyDescent="0.5">
      <c r="A907" s="7">
        <v>2810520</v>
      </c>
      <c r="B907" s="8" t="s">
        <v>808</v>
      </c>
      <c r="C907" s="8">
        <v>148</v>
      </c>
      <c r="D907" s="8" t="s">
        <v>841</v>
      </c>
      <c r="E907" s="8">
        <v>2710520</v>
      </c>
    </row>
    <row r="908" spans="1:5" x14ac:dyDescent="0.5">
      <c r="A908" s="7">
        <v>2810540</v>
      </c>
      <c r="B908" s="8" t="s">
        <v>816</v>
      </c>
      <c r="C908" s="8">
        <v>149</v>
      </c>
      <c r="D908" s="8" t="s">
        <v>764</v>
      </c>
      <c r="E908" s="8">
        <v>2810540</v>
      </c>
    </row>
    <row r="909" spans="1:5" x14ac:dyDescent="0.5">
      <c r="A909" s="7">
        <v>2810550</v>
      </c>
      <c r="B909" s="8" t="s">
        <v>604</v>
      </c>
      <c r="C909" s="8">
        <v>153</v>
      </c>
      <c r="D909" s="8" t="s">
        <v>801</v>
      </c>
      <c r="E909" s="8">
        <v>2910550</v>
      </c>
    </row>
    <row r="910" spans="1:5" x14ac:dyDescent="0.5">
      <c r="A910" s="7">
        <v>2810560</v>
      </c>
      <c r="B910" s="8" t="s">
        <v>606</v>
      </c>
      <c r="C910" s="8">
        <v>156</v>
      </c>
      <c r="D910" s="8" t="s">
        <v>842</v>
      </c>
      <c r="E910" s="8">
        <v>2110560</v>
      </c>
    </row>
    <row r="911" spans="1:5" x14ac:dyDescent="0.5">
      <c r="A911" s="7">
        <v>2810570</v>
      </c>
      <c r="B911" s="8" t="s">
        <v>810</v>
      </c>
      <c r="C911" s="8">
        <v>157</v>
      </c>
      <c r="D911" s="8" t="s">
        <v>811</v>
      </c>
      <c r="E911" s="8">
        <v>2810570</v>
      </c>
    </row>
    <row r="912" spans="1:5" x14ac:dyDescent="0.5">
      <c r="A912" s="7">
        <v>2810590</v>
      </c>
      <c r="B912" s="8" t="s">
        <v>900</v>
      </c>
      <c r="C912" s="8">
        <v>161</v>
      </c>
      <c r="D912" s="8" t="s">
        <v>901</v>
      </c>
      <c r="E912" s="8">
        <v>2410590</v>
      </c>
    </row>
    <row r="913" spans="1:5" x14ac:dyDescent="0.5">
      <c r="A913" s="7">
        <v>2810610</v>
      </c>
      <c r="B913" s="8" t="s">
        <v>746</v>
      </c>
      <c r="C913" s="8">
        <v>163</v>
      </c>
      <c r="D913" s="8" t="s">
        <v>747</v>
      </c>
      <c r="E913" s="8">
        <v>2910610</v>
      </c>
    </row>
    <row r="914" spans="1:5" x14ac:dyDescent="0.5">
      <c r="A914" s="7">
        <v>2810620</v>
      </c>
      <c r="B914" s="8" t="s">
        <v>748</v>
      </c>
      <c r="C914" s="8">
        <v>164</v>
      </c>
      <c r="D914" s="8" t="s">
        <v>749</v>
      </c>
      <c r="E914" s="8">
        <v>1610620</v>
      </c>
    </row>
    <row r="915" spans="1:5" x14ac:dyDescent="0.5">
      <c r="A915" s="7">
        <v>2810640</v>
      </c>
      <c r="B915" s="8" t="s">
        <v>861</v>
      </c>
      <c r="C915" s="8">
        <v>166</v>
      </c>
      <c r="D915" s="8" t="s">
        <v>862</v>
      </c>
      <c r="E915" s="8">
        <v>2710640</v>
      </c>
    </row>
    <row r="916" spans="1:5" x14ac:dyDescent="0.5">
      <c r="A916" s="7">
        <v>2810700</v>
      </c>
      <c r="B916" s="8" t="s">
        <v>803</v>
      </c>
      <c r="C916" s="8">
        <v>170</v>
      </c>
      <c r="D916" s="8" t="s">
        <v>752</v>
      </c>
      <c r="E916" s="8">
        <v>2110700</v>
      </c>
    </row>
    <row r="917" spans="1:5" x14ac:dyDescent="0.5">
      <c r="A917" s="7">
        <v>2810800</v>
      </c>
      <c r="B917" s="8" t="s">
        <v>616</v>
      </c>
      <c r="C917" s="8">
        <v>181</v>
      </c>
      <c r="D917" s="8" t="s">
        <v>845</v>
      </c>
      <c r="E917" s="8">
        <v>2810800</v>
      </c>
    </row>
    <row r="918" spans="1:5" x14ac:dyDescent="0.5">
      <c r="A918" s="7">
        <v>2810810</v>
      </c>
      <c r="B918" s="8" t="s">
        <v>756</v>
      </c>
      <c r="C918" s="8">
        <v>183</v>
      </c>
      <c r="D918" s="8" t="s">
        <v>712</v>
      </c>
      <c r="E918" s="8">
        <v>1210810</v>
      </c>
    </row>
    <row r="919" spans="1:5" x14ac:dyDescent="0.5">
      <c r="A919" s="7">
        <v>2810860</v>
      </c>
      <c r="B919" s="8" t="s">
        <v>817</v>
      </c>
      <c r="C919" s="8">
        <v>188</v>
      </c>
      <c r="D919" s="8" t="s">
        <v>818</v>
      </c>
      <c r="E919" s="8">
        <v>2310860</v>
      </c>
    </row>
    <row r="920" spans="1:5" x14ac:dyDescent="0.5">
      <c r="A920" s="7">
        <v>2811020</v>
      </c>
      <c r="B920" s="8" t="s">
        <v>823</v>
      </c>
      <c r="C920" s="8">
        <v>107</v>
      </c>
      <c r="D920" s="8" t="s">
        <v>815</v>
      </c>
      <c r="E920" s="8">
        <v>1410160</v>
      </c>
    </row>
    <row r="921" spans="1:5" x14ac:dyDescent="0.5">
      <c r="A921" s="7">
        <v>2811070</v>
      </c>
      <c r="B921" s="8" t="s">
        <v>825</v>
      </c>
      <c r="C921" s="8">
        <v>206</v>
      </c>
      <c r="D921" s="8" t="s">
        <v>826</v>
      </c>
      <c r="E921" s="8">
        <v>2311070</v>
      </c>
    </row>
    <row r="922" spans="1:5" x14ac:dyDescent="0.5">
      <c r="A922" s="7">
        <v>2811150</v>
      </c>
      <c r="B922" s="8" t="s">
        <v>805</v>
      </c>
      <c r="C922" s="8">
        <v>212</v>
      </c>
      <c r="D922" s="8" t="s">
        <v>806</v>
      </c>
      <c r="E922" s="8">
        <v>1711150</v>
      </c>
    </row>
    <row r="923" spans="1:5" x14ac:dyDescent="0.5">
      <c r="A923" s="7">
        <v>2811170</v>
      </c>
      <c r="B923" s="8" t="s">
        <v>827</v>
      </c>
      <c r="C923" s="8">
        <v>150</v>
      </c>
      <c r="D923" s="8" t="s">
        <v>603</v>
      </c>
      <c r="E923" s="8">
        <v>2910540</v>
      </c>
    </row>
    <row r="924" spans="1:5" x14ac:dyDescent="0.5">
      <c r="A924" s="7">
        <v>2811190</v>
      </c>
      <c r="B924" s="8" t="s">
        <v>902</v>
      </c>
      <c r="C924" s="8">
        <v>214</v>
      </c>
      <c r="D924" s="8" t="s">
        <v>903</v>
      </c>
      <c r="E924" s="8">
        <v>2411190</v>
      </c>
    </row>
    <row r="925" spans="1:5" x14ac:dyDescent="0.5">
      <c r="A925" s="7">
        <v>2811250</v>
      </c>
      <c r="B925" s="8" t="s">
        <v>629</v>
      </c>
      <c r="C925" s="8">
        <v>221</v>
      </c>
      <c r="D925" s="8" t="s">
        <v>758</v>
      </c>
      <c r="E925" s="8">
        <v>2911250</v>
      </c>
    </row>
    <row r="926" spans="1:5" x14ac:dyDescent="0.5">
      <c r="A926" s="7">
        <v>2811260</v>
      </c>
      <c r="B926" s="8" t="s">
        <v>631</v>
      </c>
      <c r="C926" s="8">
        <v>222</v>
      </c>
      <c r="D926" s="8" t="s">
        <v>632</v>
      </c>
      <c r="E926" s="8">
        <v>2111260</v>
      </c>
    </row>
    <row r="927" spans="1:5" x14ac:dyDescent="0.5">
      <c r="A927" s="7">
        <v>2811270</v>
      </c>
      <c r="B927" s="8" t="s">
        <v>765</v>
      </c>
      <c r="C927" s="8">
        <v>225</v>
      </c>
      <c r="D927" s="8" t="s">
        <v>849</v>
      </c>
      <c r="E927" s="8">
        <v>2411270</v>
      </c>
    </row>
    <row r="928" spans="1:5" x14ac:dyDescent="0.5">
      <c r="A928" s="7">
        <v>2811350</v>
      </c>
      <c r="B928" s="8" t="s">
        <v>767</v>
      </c>
      <c r="C928" s="8">
        <v>232</v>
      </c>
      <c r="D928" s="8" t="s">
        <v>768</v>
      </c>
      <c r="E928" s="8">
        <v>2411350</v>
      </c>
    </row>
    <row r="929" spans="1:5" x14ac:dyDescent="0.5">
      <c r="A929" s="7">
        <v>2811430</v>
      </c>
      <c r="B929" s="8" t="s">
        <v>783</v>
      </c>
      <c r="C929" s="8">
        <v>241</v>
      </c>
      <c r="D929" s="8" t="s">
        <v>784</v>
      </c>
      <c r="E929" s="8">
        <v>2811430</v>
      </c>
    </row>
    <row r="930" spans="1:5" x14ac:dyDescent="0.5">
      <c r="A930" s="7">
        <v>2811440</v>
      </c>
      <c r="B930" s="8" t="s">
        <v>812</v>
      </c>
      <c r="C930" s="8">
        <v>242</v>
      </c>
      <c r="D930" s="8" t="s">
        <v>813</v>
      </c>
      <c r="E930" s="8">
        <v>2811430</v>
      </c>
    </row>
    <row r="931" spans="1:5" x14ac:dyDescent="0.5">
      <c r="A931" s="7">
        <v>2811450</v>
      </c>
      <c r="B931" s="8" t="s">
        <v>785</v>
      </c>
      <c r="C931" s="8">
        <v>243</v>
      </c>
      <c r="D931" s="8" t="s">
        <v>786</v>
      </c>
      <c r="E931" s="8">
        <v>2911450</v>
      </c>
    </row>
    <row r="932" spans="1:5" x14ac:dyDescent="0.5">
      <c r="A932" s="7">
        <v>2811460</v>
      </c>
      <c r="B932" s="8" t="s">
        <v>850</v>
      </c>
      <c r="C932" s="8">
        <v>244</v>
      </c>
      <c r="D932" s="8" t="s">
        <v>851</v>
      </c>
      <c r="E932" s="8">
        <v>2811460</v>
      </c>
    </row>
    <row r="933" spans="1:5" x14ac:dyDescent="0.5">
      <c r="A933" s="7">
        <v>2811530</v>
      </c>
      <c r="B933" s="8" t="s">
        <v>761</v>
      </c>
      <c r="C933" s="8">
        <v>250</v>
      </c>
      <c r="D933" s="8" t="s">
        <v>762</v>
      </c>
      <c r="E933" s="8">
        <v>1211530</v>
      </c>
    </row>
    <row r="934" spans="1:5" x14ac:dyDescent="0.5">
      <c r="A934" s="7">
        <v>2811590</v>
      </c>
      <c r="B934" s="8" t="s">
        <v>779</v>
      </c>
      <c r="C934" s="8">
        <v>259</v>
      </c>
      <c r="D934" s="8" t="s">
        <v>636</v>
      </c>
      <c r="E934" s="8">
        <v>2811590</v>
      </c>
    </row>
    <row r="935" spans="1:5" x14ac:dyDescent="0.5">
      <c r="A935" s="7">
        <v>2811600</v>
      </c>
      <c r="B935" s="8" t="s">
        <v>780</v>
      </c>
      <c r="C935" s="8">
        <v>259</v>
      </c>
      <c r="D935" s="8" t="s">
        <v>636</v>
      </c>
      <c r="E935" s="8">
        <v>2811590</v>
      </c>
    </row>
    <row r="936" spans="1:5" x14ac:dyDescent="0.5">
      <c r="A936" s="7">
        <v>2910060</v>
      </c>
      <c r="B936" s="8" t="s">
        <v>581</v>
      </c>
      <c r="C936" s="8">
        <v>100</v>
      </c>
      <c r="D936" s="8" t="s">
        <v>578</v>
      </c>
      <c r="E936" s="8" t="s">
        <v>579</v>
      </c>
    </row>
    <row r="937" spans="1:5" x14ac:dyDescent="0.5">
      <c r="A937" s="7">
        <v>2910070</v>
      </c>
      <c r="B937" s="8" t="s">
        <v>873</v>
      </c>
      <c r="C937" s="8">
        <v>100</v>
      </c>
      <c r="D937" s="8" t="s">
        <v>578</v>
      </c>
      <c r="E937" s="8" t="s">
        <v>579</v>
      </c>
    </row>
    <row r="938" spans="1:5" x14ac:dyDescent="0.5">
      <c r="A938" s="7">
        <v>2910110</v>
      </c>
      <c r="B938" s="8" t="s">
        <v>730</v>
      </c>
      <c r="C938" s="8">
        <v>102</v>
      </c>
      <c r="D938" s="8" t="s">
        <v>731</v>
      </c>
      <c r="E938" s="8">
        <v>2010110</v>
      </c>
    </row>
    <row r="939" spans="1:5" x14ac:dyDescent="0.5">
      <c r="A939" s="7">
        <v>2910480</v>
      </c>
      <c r="B939" s="8" t="s">
        <v>949</v>
      </c>
      <c r="C939" s="8">
        <v>143</v>
      </c>
      <c r="D939" s="8" t="s">
        <v>950</v>
      </c>
      <c r="E939" s="8">
        <v>2910480</v>
      </c>
    </row>
    <row r="940" spans="1:5" x14ac:dyDescent="0.5">
      <c r="A940" s="7">
        <v>2910490</v>
      </c>
      <c r="B940" s="8" t="s">
        <v>854</v>
      </c>
      <c r="C940" s="8">
        <v>144</v>
      </c>
      <c r="D940" s="8" t="s">
        <v>855</v>
      </c>
      <c r="E940" s="8">
        <v>2010490</v>
      </c>
    </row>
    <row r="941" spans="1:5" x14ac:dyDescent="0.5">
      <c r="A941" s="7">
        <v>2910510</v>
      </c>
      <c r="B941" s="8" t="s">
        <v>740</v>
      </c>
      <c r="C941" s="8">
        <v>146</v>
      </c>
      <c r="D941" s="8" t="s">
        <v>741</v>
      </c>
      <c r="E941" s="8">
        <v>2810510</v>
      </c>
    </row>
    <row r="942" spans="1:5" x14ac:dyDescent="0.5">
      <c r="A942" s="7">
        <v>2910540</v>
      </c>
      <c r="B942" s="8" t="s">
        <v>816</v>
      </c>
      <c r="C942" s="8">
        <v>150</v>
      </c>
      <c r="D942" s="8" t="s">
        <v>603</v>
      </c>
      <c r="E942" s="8">
        <v>2910540</v>
      </c>
    </row>
    <row r="943" spans="1:5" x14ac:dyDescent="0.5">
      <c r="A943" s="7">
        <v>2910550</v>
      </c>
      <c r="B943" s="8" t="s">
        <v>604</v>
      </c>
      <c r="C943" s="8">
        <v>153</v>
      </c>
      <c r="D943" s="8" t="s">
        <v>801</v>
      </c>
      <c r="E943" s="8">
        <v>2910550</v>
      </c>
    </row>
    <row r="944" spans="1:5" x14ac:dyDescent="0.5">
      <c r="A944" s="7">
        <v>2910560</v>
      </c>
      <c r="B944" s="8" t="s">
        <v>606</v>
      </c>
      <c r="C944" s="8">
        <v>156</v>
      </c>
      <c r="D944" s="8" t="s">
        <v>842</v>
      </c>
      <c r="E944" s="8">
        <v>2110560</v>
      </c>
    </row>
    <row r="945" spans="1:5" x14ac:dyDescent="0.5">
      <c r="A945" s="7">
        <v>2910570</v>
      </c>
      <c r="B945" s="8" t="s">
        <v>810</v>
      </c>
      <c r="C945" s="8">
        <v>157</v>
      </c>
      <c r="D945" s="8" t="s">
        <v>811</v>
      </c>
      <c r="E945" s="8">
        <v>2810570</v>
      </c>
    </row>
    <row r="946" spans="1:5" x14ac:dyDescent="0.5">
      <c r="A946" s="7">
        <v>2910610</v>
      </c>
      <c r="B946" s="8" t="s">
        <v>746</v>
      </c>
      <c r="C946" s="8">
        <v>163</v>
      </c>
      <c r="D946" s="8" t="s">
        <v>747</v>
      </c>
      <c r="E946" s="8">
        <v>2910610</v>
      </c>
    </row>
    <row r="947" spans="1:5" x14ac:dyDescent="0.5">
      <c r="A947" s="7">
        <v>2910620</v>
      </c>
      <c r="B947" s="8" t="s">
        <v>748</v>
      </c>
      <c r="C947" s="8">
        <v>164</v>
      </c>
      <c r="D947" s="8" t="s">
        <v>749</v>
      </c>
      <c r="E947" s="8">
        <v>1610620</v>
      </c>
    </row>
    <row r="948" spans="1:5" x14ac:dyDescent="0.5">
      <c r="A948" s="7">
        <v>2910660</v>
      </c>
      <c r="B948" s="8" t="s">
        <v>892</v>
      </c>
      <c r="C948" s="8">
        <v>168</v>
      </c>
      <c r="D948" s="8" t="s">
        <v>893</v>
      </c>
      <c r="E948" s="8">
        <v>2210660</v>
      </c>
    </row>
    <row r="949" spans="1:5" x14ac:dyDescent="0.5">
      <c r="A949" s="7">
        <v>2910720</v>
      </c>
      <c r="B949" s="8" t="s">
        <v>894</v>
      </c>
      <c r="C949" s="8">
        <v>171</v>
      </c>
      <c r="D949" s="8" t="s">
        <v>895</v>
      </c>
      <c r="E949" s="8">
        <v>2210720</v>
      </c>
    </row>
    <row r="950" spans="1:5" x14ac:dyDescent="0.5">
      <c r="A950" s="7">
        <v>2910850</v>
      </c>
      <c r="B950" s="8" t="s">
        <v>876</v>
      </c>
      <c r="C950" s="8">
        <v>187</v>
      </c>
      <c r="D950" s="8" t="s">
        <v>877</v>
      </c>
      <c r="E950" s="8">
        <v>2010850</v>
      </c>
    </row>
    <row r="951" spans="1:5" x14ac:dyDescent="0.5">
      <c r="A951" s="7">
        <v>2910860</v>
      </c>
      <c r="B951" s="8" t="s">
        <v>817</v>
      </c>
      <c r="C951" s="8">
        <v>188</v>
      </c>
      <c r="D951" s="8" t="s">
        <v>818</v>
      </c>
      <c r="E951" s="8">
        <v>2310860</v>
      </c>
    </row>
    <row r="952" spans="1:5" x14ac:dyDescent="0.5">
      <c r="A952" s="7">
        <v>2911060</v>
      </c>
      <c r="B952" s="8" t="s">
        <v>622</v>
      </c>
      <c r="C952" s="8">
        <v>205</v>
      </c>
      <c r="D952" s="8" t="s">
        <v>804</v>
      </c>
      <c r="E952" s="8">
        <v>1911060</v>
      </c>
    </row>
    <row r="953" spans="1:5" x14ac:dyDescent="0.5">
      <c r="A953" s="7">
        <v>2911170</v>
      </c>
      <c r="B953" s="8" t="s">
        <v>827</v>
      </c>
      <c r="C953" s="8">
        <v>150</v>
      </c>
      <c r="D953" s="8" t="s">
        <v>603</v>
      </c>
      <c r="E953" s="8">
        <v>2910540</v>
      </c>
    </row>
    <row r="954" spans="1:5" x14ac:dyDescent="0.5">
      <c r="A954" s="7">
        <v>2911250</v>
      </c>
      <c r="B954" s="8" t="s">
        <v>629</v>
      </c>
      <c r="C954" s="8">
        <v>221</v>
      </c>
      <c r="D954" s="8" t="s">
        <v>758</v>
      </c>
      <c r="E954" s="8">
        <v>2911250</v>
      </c>
    </row>
    <row r="955" spans="1:5" x14ac:dyDescent="0.5">
      <c r="A955" s="7">
        <v>2911260</v>
      </c>
      <c r="B955" s="8" t="s">
        <v>631</v>
      </c>
      <c r="C955" s="8">
        <v>222</v>
      </c>
      <c r="D955" s="8" t="s">
        <v>632</v>
      </c>
      <c r="E955" s="8">
        <v>2111260</v>
      </c>
    </row>
    <row r="956" spans="1:5" x14ac:dyDescent="0.5">
      <c r="A956" s="7">
        <v>2911390</v>
      </c>
      <c r="B956" s="8" t="s">
        <v>775</v>
      </c>
      <c r="C956" s="8">
        <v>236</v>
      </c>
      <c r="D956" s="8" t="s">
        <v>776</v>
      </c>
      <c r="E956" s="8">
        <v>2011390</v>
      </c>
    </row>
    <row r="957" spans="1:5" x14ac:dyDescent="0.5">
      <c r="A957" s="7">
        <v>2911400</v>
      </c>
      <c r="B957" s="8" t="s">
        <v>781</v>
      </c>
      <c r="C957" s="8">
        <v>238</v>
      </c>
      <c r="D957" s="8" t="s">
        <v>782</v>
      </c>
      <c r="E957" s="8">
        <v>2911400</v>
      </c>
    </row>
    <row r="958" spans="1:5" x14ac:dyDescent="0.5">
      <c r="A958" s="7">
        <v>2911410</v>
      </c>
      <c r="B958" s="8" t="s">
        <v>878</v>
      </c>
      <c r="C958" s="8">
        <v>239</v>
      </c>
      <c r="D958" s="8" t="s">
        <v>879</v>
      </c>
      <c r="E958" s="8">
        <v>3111410</v>
      </c>
    </row>
    <row r="959" spans="1:5" x14ac:dyDescent="0.5">
      <c r="A959" s="7">
        <v>2911450</v>
      </c>
      <c r="B959" s="8" t="s">
        <v>785</v>
      </c>
      <c r="C959" s="8">
        <v>243</v>
      </c>
      <c r="D959" s="8" t="s">
        <v>786</v>
      </c>
      <c r="E959" s="8">
        <v>2911450</v>
      </c>
    </row>
    <row r="960" spans="1:5" x14ac:dyDescent="0.5">
      <c r="A960" s="7">
        <v>2911480</v>
      </c>
      <c r="B960" s="8" t="s">
        <v>880</v>
      </c>
      <c r="C960" s="8">
        <v>246</v>
      </c>
      <c r="D960" s="8" t="s">
        <v>881</v>
      </c>
      <c r="E960" s="8">
        <v>3111480</v>
      </c>
    </row>
    <row r="961" spans="1:5" x14ac:dyDescent="0.5">
      <c r="A961" s="7">
        <v>2911490</v>
      </c>
      <c r="B961" s="8" t="s">
        <v>917</v>
      </c>
      <c r="C961" s="8">
        <v>247</v>
      </c>
      <c r="D961" s="8" t="s">
        <v>918</v>
      </c>
      <c r="E961" s="8">
        <v>2711490</v>
      </c>
    </row>
    <row r="962" spans="1:5" x14ac:dyDescent="0.5">
      <c r="A962" s="7">
        <v>2911530</v>
      </c>
      <c r="B962" s="8" t="s">
        <v>761</v>
      </c>
      <c r="C962" s="8">
        <v>250</v>
      </c>
      <c r="D962" s="8" t="s">
        <v>762</v>
      </c>
      <c r="E962" s="8">
        <v>1211530</v>
      </c>
    </row>
    <row r="963" spans="1:5" x14ac:dyDescent="0.5">
      <c r="A963" s="7">
        <v>2911590</v>
      </c>
      <c r="B963" s="8" t="s">
        <v>779</v>
      </c>
      <c r="C963" s="8">
        <v>259</v>
      </c>
      <c r="D963" s="8" t="s">
        <v>636</v>
      </c>
      <c r="E963" s="8">
        <v>2811590</v>
      </c>
    </row>
    <row r="964" spans="1:5" x14ac:dyDescent="0.5">
      <c r="A964" s="7">
        <v>2911600</v>
      </c>
      <c r="B964" s="8" t="s">
        <v>780</v>
      </c>
      <c r="C964" s="8">
        <v>259</v>
      </c>
      <c r="D964" s="8" t="s">
        <v>636</v>
      </c>
      <c r="E964" s="8">
        <v>2811590</v>
      </c>
    </row>
    <row r="965" spans="1:5" x14ac:dyDescent="0.5">
      <c r="A965" s="7">
        <v>2911620</v>
      </c>
      <c r="B965" s="8" t="s">
        <v>882</v>
      </c>
      <c r="C965" s="8">
        <v>261</v>
      </c>
      <c r="D965" s="8" t="s">
        <v>883</v>
      </c>
      <c r="E965" s="8">
        <v>3111620</v>
      </c>
    </row>
    <row r="966" spans="1:5" x14ac:dyDescent="0.5">
      <c r="A966" s="7">
        <v>2911660</v>
      </c>
      <c r="B966" s="8" t="s">
        <v>790</v>
      </c>
      <c r="C966" s="8">
        <v>265</v>
      </c>
      <c r="D966" s="8" t="s">
        <v>791</v>
      </c>
      <c r="E966" s="8">
        <v>2111660</v>
      </c>
    </row>
    <row r="967" spans="1:5" x14ac:dyDescent="0.5">
      <c r="A967" s="7">
        <v>2911791</v>
      </c>
      <c r="B967" s="8" t="s">
        <v>951</v>
      </c>
      <c r="C967" s="8">
        <v>276</v>
      </c>
      <c r="D967" s="8" t="s">
        <v>952</v>
      </c>
      <c r="E967" s="8">
        <v>2911791</v>
      </c>
    </row>
    <row r="968" spans="1:5" x14ac:dyDescent="0.5">
      <c r="A968" s="7">
        <v>2911792</v>
      </c>
      <c r="B968" s="8" t="s">
        <v>953</v>
      </c>
      <c r="C968" s="8">
        <v>277</v>
      </c>
      <c r="D968" s="8" t="s">
        <v>954</v>
      </c>
      <c r="E968" s="8">
        <v>2911792</v>
      </c>
    </row>
    <row r="969" spans="1:5" x14ac:dyDescent="0.5">
      <c r="A969" s="7">
        <v>2913850</v>
      </c>
      <c r="B969" s="8" t="s">
        <v>884</v>
      </c>
      <c r="C969" s="8">
        <v>187</v>
      </c>
      <c r="D969" s="8" t="s">
        <v>877</v>
      </c>
      <c r="E969" s="8">
        <v>2010850</v>
      </c>
    </row>
    <row r="970" spans="1:5" x14ac:dyDescent="0.5">
      <c r="A970" s="7">
        <v>3010070</v>
      </c>
      <c r="B970" s="8" t="s">
        <v>873</v>
      </c>
      <c r="C970" s="8">
        <v>100</v>
      </c>
      <c r="D970" s="8" t="s">
        <v>578</v>
      </c>
      <c r="E970" s="8" t="s">
        <v>579</v>
      </c>
    </row>
    <row r="971" spans="1:5" x14ac:dyDescent="0.5">
      <c r="A971" s="7">
        <v>3010850</v>
      </c>
      <c r="B971" s="8" t="s">
        <v>876</v>
      </c>
      <c r="C971" s="8">
        <v>187</v>
      </c>
      <c r="D971" s="8" t="s">
        <v>877</v>
      </c>
      <c r="E971" s="8">
        <v>2010850</v>
      </c>
    </row>
    <row r="972" spans="1:5" x14ac:dyDescent="0.5">
      <c r="A972" s="7">
        <v>3011250</v>
      </c>
      <c r="B972" s="8" t="s">
        <v>629</v>
      </c>
      <c r="C972" s="8">
        <v>221</v>
      </c>
      <c r="D972" s="8" t="s">
        <v>758</v>
      </c>
      <c r="E972" s="8">
        <v>2911250</v>
      </c>
    </row>
    <row r="973" spans="1:5" x14ac:dyDescent="0.5">
      <c r="A973" s="7">
        <v>3011410</v>
      </c>
      <c r="B973" s="8" t="s">
        <v>878</v>
      </c>
      <c r="C973" s="8">
        <v>239</v>
      </c>
      <c r="D973" s="8" t="s">
        <v>879</v>
      </c>
      <c r="E973" s="8">
        <v>3111410</v>
      </c>
    </row>
    <row r="974" spans="1:5" x14ac:dyDescent="0.5">
      <c r="A974" s="7">
        <v>3011480</v>
      </c>
      <c r="B974" s="8" t="s">
        <v>880</v>
      </c>
      <c r="C974" s="8">
        <v>246</v>
      </c>
      <c r="D974" s="8" t="s">
        <v>881</v>
      </c>
      <c r="E974" s="8">
        <v>3111480</v>
      </c>
    </row>
    <row r="975" spans="1:5" x14ac:dyDescent="0.5">
      <c r="A975" s="7">
        <v>3011530</v>
      </c>
      <c r="B975" s="8" t="s">
        <v>761</v>
      </c>
      <c r="C975" s="8">
        <v>250</v>
      </c>
      <c r="D975" s="8" t="s">
        <v>762</v>
      </c>
      <c r="E975" s="8">
        <v>1211530</v>
      </c>
    </row>
    <row r="976" spans="1:5" x14ac:dyDescent="0.5">
      <c r="A976" s="7">
        <v>3011620</v>
      </c>
      <c r="B976" s="8" t="s">
        <v>882</v>
      </c>
      <c r="C976" s="8">
        <v>261</v>
      </c>
      <c r="D976" s="8" t="s">
        <v>883</v>
      </c>
      <c r="E976" s="8">
        <v>3111620</v>
      </c>
    </row>
    <row r="977" spans="1:5" x14ac:dyDescent="0.5">
      <c r="A977" s="7">
        <v>3011791</v>
      </c>
      <c r="B977" s="8" t="s">
        <v>951</v>
      </c>
      <c r="C977" s="8">
        <v>276</v>
      </c>
      <c r="D977" s="8" t="s">
        <v>952</v>
      </c>
      <c r="E977" s="8">
        <v>2911791</v>
      </c>
    </row>
    <row r="978" spans="1:5" x14ac:dyDescent="0.5">
      <c r="A978" s="7">
        <v>3011792</v>
      </c>
      <c r="B978" s="8" t="s">
        <v>953</v>
      </c>
      <c r="C978" s="8">
        <v>277</v>
      </c>
      <c r="D978" s="8" t="s">
        <v>954</v>
      </c>
      <c r="E978" s="8">
        <v>2911792</v>
      </c>
    </row>
    <row r="979" spans="1:5" x14ac:dyDescent="0.5">
      <c r="A979" s="7">
        <v>3013850</v>
      </c>
      <c r="B979" s="8" t="s">
        <v>884</v>
      </c>
      <c r="C979" s="8">
        <v>187</v>
      </c>
      <c r="D979" s="8" t="s">
        <v>877</v>
      </c>
      <c r="E979" s="8">
        <v>2010850</v>
      </c>
    </row>
    <row r="980" spans="1:5" x14ac:dyDescent="0.5">
      <c r="A980" s="7">
        <v>3014820</v>
      </c>
      <c r="B980" s="8" t="s">
        <v>955</v>
      </c>
      <c r="C980" s="8">
        <v>429</v>
      </c>
      <c r="D980" s="8" t="s">
        <v>956</v>
      </c>
      <c r="E980" s="8">
        <v>3014820</v>
      </c>
    </row>
    <row r="981" spans="1:5" x14ac:dyDescent="0.5">
      <c r="A981" s="7">
        <v>3014950</v>
      </c>
      <c r="B981" s="8" t="s">
        <v>885</v>
      </c>
      <c r="C981" s="8">
        <v>440</v>
      </c>
      <c r="D981" s="8" t="s">
        <v>886</v>
      </c>
      <c r="E981" s="8">
        <v>3114950</v>
      </c>
    </row>
    <row r="982" spans="1:5" x14ac:dyDescent="0.5">
      <c r="A982" s="7">
        <v>3110070</v>
      </c>
      <c r="B982" s="8" t="s">
        <v>873</v>
      </c>
      <c r="C982" s="8">
        <v>100</v>
      </c>
      <c r="D982" s="8" t="s">
        <v>578</v>
      </c>
      <c r="E982" s="8" t="s">
        <v>579</v>
      </c>
    </row>
    <row r="983" spans="1:5" x14ac:dyDescent="0.5">
      <c r="A983" s="7">
        <v>3110130</v>
      </c>
      <c r="B983" s="8" t="s">
        <v>957</v>
      </c>
      <c r="C983" s="8">
        <v>104</v>
      </c>
      <c r="D983" s="8" t="s">
        <v>958</v>
      </c>
      <c r="E983" s="8">
        <v>3110130</v>
      </c>
    </row>
    <row r="984" spans="1:5" x14ac:dyDescent="0.5">
      <c r="A984" s="7">
        <v>3110620</v>
      </c>
      <c r="B984" s="8" t="s">
        <v>748</v>
      </c>
      <c r="C984" s="8">
        <v>164</v>
      </c>
      <c r="D984" s="8" t="s">
        <v>749</v>
      </c>
      <c r="E984" s="8">
        <v>1610620</v>
      </c>
    </row>
    <row r="985" spans="1:5" x14ac:dyDescent="0.5">
      <c r="A985" s="7">
        <v>3110800</v>
      </c>
      <c r="B985" s="8" t="s">
        <v>616</v>
      </c>
      <c r="C985" s="8">
        <v>182</v>
      </c>
      <c r="D985" s="8" t="s">
        <v>755</v>
      </c>
      <c r="E985" s="8">
        <v>3110800</v>
      </c>
    </row>
    <row r="986" spans="1:5" x14ac:dyDescent="0.5">
      <c r="A986" s="7">
        <v>3110860</v>
      </c>
      <c r="B986" s="8" t="s">
        <v>817</v>
      </c>
      <c r="C986" s="8">
        <v>191</v>
      </c>
      <c r="D986" s="8" t="s">
        <v>926</v>
      </c>
      <c r="E986" s="8">
        <v>2710860</v>
      </c>
    </row>
    <row r="987" spans="1:5" x14ac:dyDescent="0.5">
      <c r="A987" s="7">
        <v>3110940</v>
      </c>
      <c r="B987" s="8" t="s">
        <v>908</v>
      </c>
      <c r="C987" s="8">
        <v>197</v>
      </c>
      <c r="D987" s="8" t="s">
        <v>909</v>
      </c>
      <c r="E987" s="8">
        <v>3310940</v>
      </c>
    </row>
    <row r="988" spans="1:5" x14ac:dyDescent="0.5">
      <c r="A988" s="7">
        <v>3111250</v>
      </c>
      <c r="B988" s="8" t="s">
        <v>629</v>
      </c>
      <c r="C988" s="8">
        <v>221</v>
      </c>
      <c r="D988" s="8" t="s">
        <v>758</v>
      </c>
      <c r="E988" s="8">
        <v>2911250</v>
      </c>
    </row>
    <row r="989" spans="1:5" x14ac:dyDescent="0.5">
      <c r="A989" s="7">
        <v>3111320</v>
      </c>
      <c r="B989" s="8" t="s">
        <v>959</v>
      </c>
      <c r="C989" s="8">
        <v>239</v>
      </c>
      <c r="D989" s="8" t="s">
        <v>879</v>
      </c>
      <c r="E989" s="8">
        <v>3111410</v>
      </c>
    </row>
    <row r="990" spans="1:5" x14ac:dyDescent="0.5">
      <c r="A990" s="7">
        <v>3111410</v>
      </c>
      <c r="B990" s="8" t="s">
        <v>878</v>
      </c>
      <c r="C990" s="8">
        <v>239</v>
      </c>
      <c r="D990" s="8" t="s">
        <v>879</v>
      </c>
      <c r="E990" s="8">
        <v>3111410</v>
      </c>
    </row>
    <row r="991" spans="1:5" x14ac:dyDescent="0.5">
      <c r="A991" s="7">
        <v>3111480</v>
      </c>
      <c r="B991" s="8" t="s">
        <v>880</v>
      </c>
      <c r="C991" s="8">
        <v>246</v>
      </c>
      <c r="D991" s="8" t="s">
        <v>881</v>
      </c>
      <c r="E991" s="8">
        <v>3111480</v>
      </c>
    </row>
    <row r="992" spans="1:5" x14ac:dyDescent="0.5">
      <c r="A992" s="7">
        <v>3111490</v>
      </c>
      <c r="B992" s="8" t="s">
        <v>917</v>
      </c>
      <c r="C992" s="8">
        <v>247</v>
      </c>
      <c r="D992" s="8" t="s">
        <v>918</v>
      </c>
      <c r="E992" s="8">
        <v>2711490</v>
      </c>
    </row>
    <row r="993" spans="1:5" x14ac:dyDescent="0.5">
      <c r="A993" s="7">
        <v>3111500</v>
      </c>
      <c r="B993" s="8" t="s">
        <v>960</v>
      </c>
      <c r="C993" s="8">
        <v>239</v>
      </c>
      <c r="D993" s="8" t="s">
        <v>879</v>
      </c>
      <c r="E993" s="8">
        <v>3111410</v>
      </c>
    </row>
    <row r="994" spans="1:5" x14ac:dyDescent="0.5">
      <c r="A994" s="7">
        <v>3111620</v>
      </c>
      <c r="B994" s="8" t="s">
        <v>882</v>
      </c>
      <c r="C994" s="8">
        <v>261</v>
      </c>
      <c r="D994" s="8" t="s">
        <v>883</v>
      </c>
      <c r="E994" s="8">
        <v>3111620</v>
      </c>
    </row>
    <row r="995" spans="1:5" x14ac:dyDescent="0.5">
      <c r="A995" s="7">
        <v>3111790</v>
      </c>
      <c r="B995" s="8" t="s">
        <v>961</v>
      </c>
      <c r="C995" s="8">
        <v>275</v>
      </c>
      <c r="D995" s="8" t="s">
        <v>945</v>
      </c>
      <c r="E995" s="8">
        <v>3111790</v>
      </c>
    </row>
    <row r="996" spans="1:5" x14ac:dyDescent="0.5">
      <c r="A996" s="7">
        <v>3113850</v>
      </c>
      <c r="B996" s="8" t="s">
        <v>884</v>
      </c>
      <c r="C996" s="8">
        <v>187</v>
      </c>
      <c r="D996" s="8" t="s">
        <v>877</v>
      </c>
      <c r="E996" s="8">
        <v>2010850</v>
      </c>
    </row>
    <row r="997" spans="1:5" x14ac:dyDescent="0.5">
      <c r="A997" s="7">
        <v>3114210</v>
      </c>
      <c r="B997" s="8" t="s">
        <v>962</v>
      </c>
      <c r="C997" s="8">
        <v>377</v>
      </c>
      <c r="D997" s="8" t="s">
        <v>963</v>
      </c>
      <c r="E997" s="8">
        <v>4014200</v>
      </c>
    </row>
    <row r="998" spans="1:5" x14ac:dyDescent="0.5">
      <c r="A998" s="7">
        <v>3114690</v>
      </c>
      <c r="B998" s="8" t="s">
        <v>964</v>
      </c>
      <c r="C998" s="8">
        <v>409</v>
      </c>
      <c r="D998" s="8" t="s">
        <v>965</v>
      </c>
      <c r="E998" s="8">
        <v>3114690</v>
      </c>
    </row>
    <row r="999" spans="1:5" x14ac:dyDescent="0.5">
      <c r="A999" s="7">
        <v>3114950</v>
      </c>
      <c r="B999" s="8" t="s">
        <v>885</v>
      </c>
      <c r="C999" s="8">
        <v>440</v>
      </c>
      <c r="D999" s="8" t="s">
        <v>886</v>
      </c>
      <c r="E999" s="8">
        <v>3114950</v>
      </c>
    </row>
    <row r="1000" spans="1:5" x14ac:dyDescent="0.5">
      <c r="A1000" s="7">
        <v>3210940</v>
      </c>
      <c r="B1000" s="8" t="s">
        <v>908</v>
      </c>
      <c r="C1000" s="8">
        <v>197</v>
      </c>
      <c r="D1000" s="8" t="s">
        <v>909</v>
      </c>
      <c r="E1000" s="8">
        <v>3310940</v>
      </c>
    </row>
    <row r="1001" spans="1:5" x14ac:dyDescent="0.5">
      <c r="A1001" s="7">
        <v>3211110</v>
      </c>
      <c r="B1001" s="8" t="s">
        <v>929</v>
      </c>
      <c r="C1001" s="8">
        <v>209</v>
      </c>
      <c r="D1001" s="8" t="s">
        <v>930</v>
      </c>
      <c r="E1001" s="8">
        <v>3411110</v>
      </c>
    </row>
    <row r="1002" spans="1:5" x14ac:dyDescent="0.5">
      <c r="A1002" s="7">
        <v>3211320</v>
      </c>
      <c r="B1002" s="8" t="s">
        <v>959</v>
      </c>
      <c r="C1002" s="8">
        <v>239</v>
      </c>
      <c r="D1002" s="8" t="s">
        <v>879</v>
      </c>
      <c r="E1002" s="8">
        <v>3111410</v>
      </c>
    </row>
    <row r="1003" spans="1:5" x14ac:dyDescent="0.5">
      <c r="A1003" s="7">
        <v>3211480</v>
      </c>
      <c r="B1003" s="8" t="s">
        <v>880</v>
      </c>
      <c r="C1003" s="8">
        <v>246</v>
      </c>
      <c r="D1003" s="8" t="s">
        <v>881</v>
      </c>
      <c r="E1003" s="8">
        <v>3111480</v>
      </c>
    </row>
    <row r="1004" spans="1:5" x14ac:dyDescent="0.5">
      <c r="A1004" s="7">
        <v>3211620</v>
      </c>
      <c r="B1004" s="8" t="s">
        <v>882</v>
      </c>
      <c r="C1004" s="8">
        <v>262</v>
      </c>
      <c r="D1004" s="8" t="s">
        <v>966</v>
      </c>
      <c r="E1004" s="8">
        <v>3211620</v>
      </c>
    </row>
    <row r="1005" spans="1:5" x14ac:dyDescent="0.5">
      <c r="A1005" s="7">
        <v>3213040</v>
      </c>
      <c r="B1005" s="8" t="s">
        <v>967</v>
      </c>
      <c r="C1005" s="8">
        <v>280</v>
      </c>
      <c r="D1005" s="8" t="s">
        <v>968</v>
      </c>
      <c r="E1005" s="8">
        <v>4413040</v>
      </c>
    </row>
    <row r="1006" spans="1:5" x14ac:dyDescent="0.5">
      <c r="A1006" s="7">
        <v>3213080</v>
      </c>
      <c r="B1006" s="8" t="s">
        <v>969</v>
      </c>
      <c r="C1006" s="8">
        <v>283</v>
      </c>
      <c r="D1006" s="8" t="s">
        <v>970</v>
      </c>
      <c r="E1006" s="8">
        <v>3213080</v>
      </c>
    </row>
    <row r="1007" spans="1:5" x14ac:dyDescent="0.5">
      <c r="A1007" s="7">
        <v>3213230</v>
      </c>
      <c r="B1007" s="8" t="s">
        <v>971</v>
      </c>
      <c r="C1007" s="8">
        <v>295</v>
      </c>
      <c r="D1007" s="8" t="s">
        <v>972</v>
      </c>
      <c r="E1007" s="8">
        <v>3713230</v>
      </c>
    </row>
    <row r="1008" spans="1:5" x14ac:dyDescent="0.5">
      <c r="A1008" s="7">
        <v>3213340</v>
      </c>
      <c r="B1008" s="8" t="s">
        <v>973</v>
      </c>
      <c r="C1008" s="8">
        <v>304</v>
      </c>
      <c r="D1008" s="8" t="s">
        <v>974</v>
      </c>
      <c r="E1008" s="8">
        <v>4413340</v>
      </c>
    </row>
    <row r="1009" spans="1:5" x14ac:dyDescent="0.5">
      <c r="A1009" s="7">
        <v>3213640</v>
      </c>
      <c r="B1009" s="8" t="s">
        <v>975</v>
      </c>
      <c r="C1009" s="8">
        <v>330</v>
      </c>
      <c r="D1009" s="8" t="s">
        <v>976</v>
      </c>
      <c r="E1009" s="8">
        <v>4413640</v>
      </c>
    </row>
    <row r="1010" spans="1:5" x14ac:dyDescent="0.5">
      <c r="A1010" s="7">
        <v>3213670</v>
      </c>
      <c r="B1010" s="8" t="s">
        <v>977</v>
      </c>
      <c r="C1010" s="8">
        <v>335</v>
      </c>
      <c r="D1010" s="8" t="s">
        <v>978</v>
      </c>
      <c r="E1010" s="8">
        <v>4413670</v>
      </c>
    </row>
    <row r="1011" spans="1:5" x14ac:dyDescent="0.5">
      <c r="A1011" s="7">
        <v>3213710</v>
      </c>
      <c r="B1011" s="8" t="s">
        <v>979</v>
      </c>
      <c r="C1011" s="8">
        <v>339</v>
      </c>
      <c r="D1011" s="8" t="s">
        <v>980</v>
      </c>
      <c r="E1011" s="8">
        <v>3713710</v>
      </c>
    </row>
    <row r="1012" spans="1:5" x14ac:dyDescent="0.5">
      <c r="A1012" s="7">
        <v>3213830</v>
      </c>
      <c r="B1012" s="8" t="s">
        <v>981</v>
      </c>
      <c r="C1012" s="8">
        <v>352</v>
      </c>
      <c r="D1012" s="8" t="s">
        <v>982</v>
      </c>
      <c r="E1012" s="8">
        <v>3513830</v>
      </c>
    </row>
    <row r="1013" spans="1:5" x14ac:dyDescent="0.5">
      <c r="A1013" s="7">
        <v>3213930</v>
      </c>
      <c r="B1013" s="8" t="s">
        <v>932</v>
      </c>
      <c r="C1013" s="8">
        <v>358</v>
      </c>
      <c r="D1013" s="8" t="s">
        <v>933</v>
      </c>
      <c r="E1013" s="8">
        <v>2613930</v>
      </c>
    </row>
    <row r="1014" spans="1:5" x14ac:dyDescent="0.5">
      <c r="A1014" s="7">
        <v>3214220</v>
      </c>
      <c r="B1014" s="8" t="s">
        <v>983</v>
      </c>
      <c r="C1014" s="8">
        <v>378</v>
      </c>
      <c r="D1014" s="8" t="s">
        <v>984</v>
      </c>
      <c r="E1014" s="8">
        <v>3214220</v>
      </c>
    </row>
    <row r="1015" spans="1:5" x14ac:dyDescent="0.5">
      <c r="A1015" s="7">
        <v>3214230</v>
      </c>
      <c r="B1015" s="8" t="s">
        <v>985</v>
      </c>
      <c r="C1015" s="8">
        <v>379</v>
      </c>
      <c r="D1015" s="8" t="s">
        <v>986</v>
      </c>
      <c r="E1015" s="8">
        <v>3214230</v>
      </c>
    </row>
    <row r="1016" spans="1:5" x14ac:dyDescent="0.5">
      <c r="A1016" s="7">
        <v>3214710</v>
      </c>
      <c r="B1016" s="8" t="s">
        <v>987</v>
      </c>
      <c r="C1016" s="8">
        <v>411</v>
      </c>
      <c r="D1016" s="8" t="s">
        <v>988</v>
      </c>
      <c r="E1016" s="8">
        <v>3214710</v>
      </c>
    </row>
    <row r="1017" spans="1:5" x14ac:dyDescent="0.5">
      <c r="A1017" s="7">
        <v>3214720</v>
      </c>
      <c r="B1017" s="8" t="s">
        <v>989</v>
      </c>
      <c r="C1017" s="8">
        <v>415</v>
      </c>
      <c r="D1017" s="8" t="s">
        <v>990</v>
      </c>
      <c r="E1017" s="8">
        <v>3214720</v>
      </c>
    </row>
    <row r="1018" spans="1:5" x14ac:dyDescent="0.5">
      <c r="A1018" s="7">
        <v>3214730</v>
      </c>
      <c r="B1018" s="8" t="s">
        <v>991</v>
      </c>
      <c r="C1018" s="8">
        <v>417</v>
      </c>
      <c r="D1018" s="8" t="s">
        <v>992</v>
      </c>
      <c r="E1018" s="8">
        <v>3614730</v>
      </c>
    </row>
    <row r="1019" spans="1:5" x14ac:dyDescent="0.5">
      <c r="A1019" s="7">
        <v>3214740</v>
      </c>
      <c r="B1019" s="8" t="s">
        <v>993</v>
      </c>
      <c r="C1019" s="8">
        <v>420</v>
      </c>
      <c r="D1019" s="8" t="s">
        <v>994</v>
      </c>
      <c r="E1019" s="8">
        <v>4414740</v>
      </c>
    </row>
    <row r="1020" spans="1:5" x14ac:dyDescent="0.5">
      <c r="A1020" s="7">
        <v>3215040</v>
      </c>
      <c r="B1020" s="8" t="s">
        <v>922</v>
      </c>
      <c r="C1020" s="8">
        <v>446</v>
      </c>
      <c r="D1020" s="8" t="s">
        <v>923</v>
      </c>
      <c r="E1020" s="8">
        <v>2515040</v>
      </c>
    </row>
    <row r="1021" spans="1:5" x14ac:dyDescent="0.5">
      <c r="A1021" s="7">
        <v>3215190</v>
      </c>
      <c r="B1021" s="8" t="s">
        <v>995</v>
      </c>
      <c r="C1021" s="8">
        <v>453</v>
      </c>
      <c r="D1021" s="8" t="s">
        <v>996</v>
      </c>
      <c r="E1021" s="8">
        <v>3615190</v>
      </c>
    </row>
    <row r="1022" spans="1:5" x14ac:dyDescent="0.5">
      <c r="A1022" s="7">
        <v>3215230</v>
      </c>
      <c r="B1022" s="8" t="s">
        <v>997</v>
      </c>
      <c r="C1022" s="8">
        <v>455</v>
      </c>
      <c r="D1022" s="8" t="s">
        <v>998</v>
      </c>
      <c r="E1022" s="8">
        <v>3515230</v>
      </c>
    </row>
    <row r="1023" spans="1:5" x14ac:dyDescent="0.5">
      <c r="A1023" s="7">
        <v>3310540</v>
      </c>
      <c r="B1023" s="8" t="s">
        <v>816</v>
      </c>
      <c r="C1023" s="8">
        <v>149</v>
      </c>
      <c r="D1023" s="8" t="s">
        <v>764</v>
      </c>
      <c r="E1023" s="8">
        <v>2810540</v>
      </c>
    </row>
    <row r="1024" spans="1:5" x14ac:dyDescent="0.5">
      <c r="A1024" s="7">
        <v>3310590</v>
      </c>
      <c r="B1024" s="8" t="s">
        <v>900</v>
      </c>
      <c r="C1024" s="8">
        <v>161</v>
      </c>
      <c r="D1024" s="8" t="s">
        <v>901</v>
      </c>
      <c r="E1024" s="8">
        <v>2410590</v>
      </c>
    </row>
    <row r="1025" spans="1:5" x14ac:dyDescent="0.5">
      <c r="A1025" s="7">
        <v>3310800</v>
      </c>
      <c r="B1025" s="8" t="s">
        <v>616</v>
      </c>
      <c r="C1025" s="8">
        <v>181</v>
      </c>
      <c r="D1025" s="8" t="s">
        <v>845</v>
      </c>
      <c r="E1025" s="8">
        <v>2810800</v>
      </c>
    </row>
    <row r="1026" spans="1:5" x14ac:dyDescent="0.5">
      <c r="A1026" s="7">
        <v>3310810</v>
      </c>
      <c r="B1026" s="8" t="s">
        <v>756</v>
      </c>
      <c r="C1026" s="8">
        <v>183</v>
      </c>
      <c r="D1026" s="8" t="s">
        <v>712</v>
      </c>
      <c r="E1026" s="8">
        <v>1210810</v>
      </c>
    </row>
    <row r="1027" spans="1:5" x14ac:dyDescent="0.5">
      <c r="A1027" s="7">
        <v>3310860</v>
      </c>
      <c r="B1027" s="8" t="s">
        <v>817</v>
      </c>
      <c r="C1027" s="8">
        <v>191</v>
      </c>
      <c r="D1027" s="8" t="s">
        <v>926</v>
      </c>
      <c r="E1027" s="8">
        <v>2710860</v>
      </c>
    </row>
    <row r="1028" spans="1:5" x14ac:dyDescent="0.5">
      <c r="A1028" s="7">
        <v>3310940</v>
      </c>
      <c r="B1028" s="8" t="s">
        <v>908</v>
      </c>
      <c r="C1028" s="8">
        <v>197</v>
      </c>
      <c r="D1028" s="8" t="s">
        <v>909</v>
      </c>
      <c r="E1028" s="8">
        <v>3310940</v>
      </c>
    </row>
    <row r="1029" spans="1:5" x14ac:dyDescent="0.5">
      <c r="A1029" s="7">
        <v>3311070</v>
      </c>
      <c r="B1029" s="8" t="s">
        <v>825</v>
      </c>
      <c r="C1029" s="8">
        <v>206</v>
      </c>
      <c r="D1029" s="8" t="s">
        <v>826</v>
      </c>
      <c r="E1029" s="8">
        <v>2311070</v>
      </c>
    </row>
    <row r="1030" spans="1:5" x14ac:dyDescent="0.5">
      <c r="A1030" s="7">
        <v>3311110</v>
      </c>
      <c r="B1030" s="8" t="s">
        <v>929</v>
      </c>
      <c r="C1030" s="8">
        <v>209</v>
      </c>
      <c r="D1030" s="8" t="s">
        <v>930</v>
      </c>
      <c r="E1030" s="8">
        <v>3411110</v>
      </c>
    </row>
    <row r="1031" spans="1:5" x14ac:dyDescent="0.5">
      <c r="A1031" s="7">
        <v>3311170</v>
      </c>
      <c r="B1031" s="8" t="s">
        <v>827</v>
      </c>
      <c r="C1031" s="8">
        <v>149</v>
      </c>
      <c r="D1031" s="8" t="s">
        <v>764</v>
      </c>
      <c r="E1031" s="8">
        <v>2810540</v>
      </c>
    </row>
    <row r="1032" spans="1:5" x14ac:dyDescent="0.5">
      <c r="A1032" s="7">
        <v>3311260</v>
      </c>
      <c r="B1032" s="8" t="s">
        <v>631</v>
      </c>
      <c r="C1032" s="8">
        <v>222</v>
      </c>
      <c r="D1032" s="8" t="s">
        <v>632</v>
      </c>
      <c r="E1032" s="8">
        <v>2111260</v>
      </c>
    </row>
    <row r="1033" spans="1:5" x14ac:dyDescent="0.5">
      <c r="A1033" s="7">
        <v>3311320</v>
      </c>
      <c r="B1033" s="8" t="s">
        <v>959</v>
      </c>
      <c r="C1033" s="8">
        <v>239</v>
      </c>
      <c r="D1033" s="8" t="s">
        <v>879</v>
      </c>
      <c r="E1033" s="8">
        <v>3111410</v>
      </c>
    </row>
    <row r="1034" spans="1:5" x14ac:dyDescent="0.5">
      <c r="A1034" s="7">
        <v>3311470</v>
      </c>
      <c r="B1034" s="8" t="s">
        <v>947</v>
      </c>
      <c r="C1034" s="8">
        <v>245</v>
      </c>
      <c r="D1034" s="8" t="s">
        <v>948</v>
      </c>
      <c r="E1034" s="8">
        <v>2711470</v>
      </c>
    </row>
    <row r="1035" spans="1:5" x14ac:dyDescent="0.5">
      <c r="A1035" s="7">
        <v>3311490</v>
      </c>
      <c r="B1035" s="8" t="s">
        <v>917</v>
      </c>
      <c r="C1035" s="8">
        <v>247</v>
      </c>
      <c r="D1035" s="8" t="s">
        <v>918</v>
      </c>
      <c r="E1035" s="8">
        <v>2711490</v>
      </c>
    </row>
    <row r="1036" spans="1:5" x14ac:dyDescent="0.5">
      <c r="A1036" s="7">
        <v>3311590</v>
      </c>
      <c r="B1036" s="8" t="s">
        <v>779</v>
      </c>
      <c r="C1036" s="8">
        <v>259</v>
      </c>
      <c r="D1036" s="8" t="s">
        <v>636</v>
      </c>
      <c r="E1036" s="8">
        <v>2811590</v>
      </c>
    </row>
    <row r="1037" spans="1:5" x14ac:dyDescent="0.5">
      <c r="A1037" s="7">
        <v>3311620</v>
      </c>
      <c r="B1037" s="8" t="s">
        <v>882</v>
      </c>
      <c r="C1037" s="8">
        <v>261</v>
      </c>
      <c r="D1037" s="8" t="s">
        <v>883</v>
      </c>
      <c r="E1037" s="8">
        <v>3111620</v>
      </c>
    </row>
    <row r="1038" spans="1:5" x14ac:dyDescent="0.5">
      <c r="A1038" s="7">
        <v>3313410</v>
      </c>
      <c r="B1038" s="8" t="s">
        <v>999</v>
      </c>
      <c r="C1038" s="8">
        <v>100</v>
      </c>
      <c r="D1038" s="8" t="s">
        <v>578</v>
      </c>
      <c r="E1038" s="8" t="s">
        <v>579</v>
      </c>
    </row>
    <row r="1039" spans="1:5" x14ac:dyDescent="0.5">
      <c r="A1039" s="7">
        <v>3314950</v>
      </c>
      <c r="B1039" s="8" t="s">
        <v>885</v>
      </c>
      <c r="C1039" s="8">
        <v>440</v>
      </c>
      <c r="D1039" s="8" t="s">
        <v>886</v>
      </c>
      <c r="E1039" s="8">
        <v>3114950</v>
      </c>
    </row>
    <row r="1040" spans="1:5" x14ac:dyDescent="0.5">
      <c r="A1040" s="7">
        <v>3410070</v>
      </c>
      <c r="B1040" s="8" t="s">
        <v>873</v>
      </c>
      <c r="C1040" s="8">
        <v>100</v>
      </c>
      <c r="D1040" s="8" t="s">
        <v>578</v>
      </c>
      <c r="E1040" s="8" t="s">
        <v>579</v>
      </c>
    </row>
    <row r="1041" spans="1:5" x14ac:dyDescent="0.5">
      <c r="A1041" s="7">
        <v>3410940</v>
      </c>
      <c r="B1041" s="8" t="s">
        <v>908</v>
      </c>
      <c r="C1041" s="8">
        <v>197</v>
      </c>
      <c r="D1041" s="8" t="s">
        <v>909</v>
      </c>
      <c r="E1041" s="8">
        <v>3310940</v>
      </c>
    </row>
    <row r="1042" spans="1:5" x14ac:dyDescent="0.5">
      <c r="A1042" s="7">
        <v>3411110</v>
      </c>
      <c r="B1042" s="8" t="s">
        <v>929</v>
      </c>
      <c r="C1042" s="8">
        <v>209</v>
      </c>
      <c r="D1042" s="8" t="s">
        <v>930</v>
      </c>
      <c r="E1042" s="8">
        <v>3411110</v>
      </c>
    </row>
    <row r="1043" spans="1:5" x14ac:dyDescent="0.5">
      <c r="A1043" s="7">
        <v>3411190</v>
      </c>
      <c r="B1043" s="8" t="s">
        <v>902</v>
      </c>
      <c r="C1043" s="8">
        <v>215</v>
      </c>
      <c r="D1043" s="8" t="s">
        <v>1000</v>
      </c>
      <c r="E1043" s="8">
        <v>3411190</v>
      </c>
    </row>
    <row r="1044" spans="1:5" x14ac:dyDescent="0.5">
      <c r="A1044" s="7">
        <v>3411320</v>
      </c>
      <c r="B1044" s="8" t="s">
        <v>959</v>
      </c>
      <c r="C1044" s="8">
        <v>239</v>
      </c>
      <c r="D1044" s="8" t="s">
        <v>879</v>
      </c>
      <c r="E1044" s="8">
        <v>3111410</v>
      </c>
    </row>
    <row r="1045" spans="1:5" x14ac:dyDescent="0.5">
      <c r="A1045" s="7">
        <v>3411480</v>
      </c>
      <c r="B1045" s="8" t="s">
        <v>880</v>
      </c>
      <c r="C1045" s="8">
        <v>246</v>
      </c>
      <c r="D1045" s="8" t="s">
        <v>881</v>
      </c>
      <c r="E1045" s="8">
        <v>3111480</v>
      </c>
    </row>
    <row r="1046" spans="1:5" x14ac:dyDescent="0.5">
      <c r="A1046" s="7">
        <v>3411490</v>
      </c>
      <c r="B1046" s="8" t="s">
        <v>917</v>
      </c>
      <c r="C1046" s="8">
        <v>247</v>
      </c>
      <c r="D1046" s="8" t="s">
        <v>918</v>
      </c>
      <c r="E1046" s="8">
        <v>2711490</v>
      </c>
    </row>
    <row r="1047" spans="1:5" x14ac:dyDescent="0.5">
      <c r="A1047" s="7">
        <v>3411620</v>
      </c>
      <c r="B1047" s="8" t="s">
        <v>882</v>
      </c>
      <c r="C1047" s="8">
        <v>261</v>
      </c>
      <c r="D1047" s="8" t="s">
        <v>883</v>
      </c>
      <c r="E1047" s="8">
        <v>3111620</v>
      </c>
    </row>
    <row r="1048" spans="1:5" x14ac:dyDescent="0.5">
      <c r="A1048" s="7">
        <v>3413930</v>
      </c>
      <c r="B1048" s="8" t="s">
        <v>932</v>
      </c>
      <c r="C1048" s="8">
        <v>358</v>
      </c>
      <c r="D1048" s="8" t="s">
        <v>933</v>
      </c>
      <c r="E1048" s="8">
        <v>2613930</v>
      </c>
    </row>
    <row r="1049" spans="1:5" x14ac:dyDescent="0.5">
      <c r="A1049" s="7">
        <v>3414951</v>
      </c>
      <c r="B1049" s="8" t="s">
        <v>934</v>
      </c>
      <c r="C1049" s="8">
        <v>441</v>
      </c>
      <c r="D1049" s="8" t="s">
        <v>935</v>
      </c>
      <c r="E1049" s="8">
        <v>3414951</v>
      </c>
    </row>
    <row r="1050" spans="1:5" x14ac:dyDescent="0.5">
      <c r="A1050" s="7">
        <v>3414952</v>
      </c>
      <c r="B1050" s="8" t="s">
        <v>1001</v>
      </c>
      <c r="C1050" s="8">
        <v>442</v>
      </c>
      <c r="D1050" s="8" t="s">
        <v>1002</v>
      </c>
      <c r="E1050" s="8">
        <v>3414952</v>
      </c>
    </row>
    <row r="1051" spans="1:5" x14ac:dyDescent="0.5">
      <c r="A1051" s="7">
        <v>3415041</v>
      </c>
      <c r="B1051" s="8" t="s">
        <v>936</v>
      </c>
      <c r="C1051" s="8">
        <v>447</v>
      </c>
      <c r="D1051" s="8" t="s">
        <v>937</v>
      </c>
      <c r="E1051" s="8">
        <v>2615041</v>
      </c>
    </row>
    <row r="1052" spans="1:5" x14ac:dyDescent="0.5">
      <c r="A1052" s="7">
        <v>3415042</v>
      </c>
      <c r="B1052" s="8" t="s">
        <v>938</v>
      </c>
      <c r="C1052" s="8">
        <v>448</v>
      </c>
      <c r="D1052" s="8" t="s">
        <v>939</v>
      </c>
      <c r="E1052" s="8">
        <v>2615042</v>
      </c>
    </row>
    <row r="1053" spans="1:5" x14ac:dyDescent="0.5">
      <c r="A1053" s="7">
        <v>3510940</v>
      </c>
      <c r="B1053" s="8" t="s">
        <v>908</v>
      </c>
      <c r="C1053" s="8">
        <v>197</v>
      </c>
      <c r="D1053" s="8" t="s">
        <v>909</v>
      </c>
      <c r="E1053" s="8">
        <v>3310940</v>
      </c>
    </row>
    <row r="1054" spans="1:5" x14ac:dyDescent="0.5">
      <c r="A1054" s="7">
        <v>3510950</v>
      </c>
      <c r="B1054" s="8" t="s">
        <v>927</v>
      </c>
      <c r="C1054" s="8">
        <v>198</v>
      </c>
      <c r="D1054" s="8" t="s">
        <v>928</v>
      </c>
      <c r="E1054" s="8">
        <v>2610950</v>
      </c>
    </row>
    <row r="1055" spans="1:5" x14ac:dyDescent="0.5">
      <c r="A1055" s="7">
        <v>3511110</v>
      </c>
      <c r="B1055" s="8" t="s">
        <v>929</v>
      </c>
      <c r="C1055" s="8">
        <v>209</v>
      </c>
      <c r="D1055" s="8" t="s">
        <v>930</v>
      </c>
      <c r="E1055" s="8">
        <v>3411110</v>
      </c>
    </row>
    <row r="1056" spans="1:5" x14ac:dyDescent="0.5">
      <c r="A1056" s="7">
        <v>3511320</v>
      </c>
      <c r="B1056" s="8" t="s">
        <v>959</v>
      </c>
      <c r="C1056" s="8">
        <v>239</v>
      </c>
      <c r="D1056" s="8" t="s">
        <v>879</v>
      </c>
      <c r="E1056" s="8">
        <v>3111410</v>
      </c>
    </row>
    <row r="1057" spans="1:5" x14ac:dyDescent="0.5">
      <c r="A1057" s="7">
        <v>3511480</v>
      </c>
      <c r="B1057" s="8" t="s">
        <v>880</v>
      </c>
      <c r="C1057" s="8">
        <v>246</v>
      </c>
      <c r="D1057" s="8" t="s">
        <v>881</v>
      </c>
      <c r="E1057" s="8">
        <v>3111480</v>
      </c>
    </row>
    <row r="1058" spans="1:5" x14ac:dyDescent="0.5">
      <c r="A1058" s="7">
        <v>3511490</v>
      </c>
      <c r="B1058" s="8" t="s">
        <v>917</v>
      </c>
      <c r="C1058" s="8">
        <v>247</v>
      </c>
      <c r="D1058" s="8" t="s">
        <v>918</v>
      </c>
      <c r="E1058" s="8">
        <v>2711490</v>
      </c>
    </row>
    <row r="1059" spans="1:5" x14ac:dyDescent="0.5">
      <c r="A1059" s="7">
        <v>3511550</v>
      </c>
      <c r="B1059" s="8" t="s">
        <v>727</v>
      </c>
      <c r="C1059" s="8">
        <v>254</v>
      </c>
      <c r="D1059" s="8" t="s">
        <v>931</v>
      </c>
      <c r="E1059" s="8">
        <v>2611550</v>
      </c>
    </row>
    <row r="1060" spans="1:5" x14ac:dyDescent="0.5">
      <c r="A1060" s="7">
        <v>3511620</v>
      </c>
      <c r="B1060" s="8" t="s">
        <v>882</v>
      </c>
      <c r="C1060" s="8">
        <v>262</v>
      </c>
      <c r="D1060" s="8" t="s">
        <v>966</v>
      </c>
      <c r="E1060" s="8">
        <v>3211620</v>
      </c>
    </row>
    <row r="1061" spans="1:5" x14ac:dyDescent="0.5">
      <c r="A1061" s="7">
        <v>3513080</v>
      </c>
      <c r="B1061" s="8" t="s">
        <v>969</v>
      </c>
      <c r="C1061" s="8">
        <v>283</v>
      </c>
      <c r="D1061" s="8" t="s">
        <v>970</v>
      </c>
      <c r="E1061" s="8">
        <v>3213080</v>
      </c>
    </row>
    <row r="1062" spans="1:5" x14ac:dyDescent="0.5">
      <c r="A1062" s="7">
        <v>3513580</v>
      </c>
      <c r="B1062" s="8" t="s">
        <v>1003</v>
      </c>
      <c r="C1062" s="8">
        <v>324</v>
      </c>
      <c r="D1062" s="8" t="s">
        <v>1004</v>
      </c>
      <c r="E1062" s="8">
        <v>3613580</v>
      </c>
    </row>
    <row r="1063" spans="1:5" x14ac:dyDescent="0.5">
      <c r="A1063" s="7">
        <v>3513830</v>
      </c>
      <c r="B1063" s="8" t="s">
        <v>981</v>
      </c>
      <c r="C1063" s="8">
        <v>352</v>
      </c>
      <c r="D1063" s="8" t="s">
        <v>982</v>
      </c>
      <c r="E1063" s="8">
        <v>3513830</v>
      </c>
    </row>
    <row r="1064" spans="1:5" x14ac:dyDescent="0.5">
      <c r="A1064" s="7">
        <v>3513900</v>
      </c>
      <c r="B1064" s="8" t="s">
        <v>1005</v>
      </c>
      <c r="C1064" s="8">
        <v>356</v>
      </c>
      <c r="D1064" s="8" t="s">
        <v>1006</v>
      </c>
      <c r="E1064" s="8">
        <v>3613900</v>
      </c>
    </row>
    <row r="1065" spans="1:5" x14ac:dyDescent="0.5">
      <c r="A1065" s="7">
        <v>3513920</v>
      </c>
      <c r="B1065" s="8" t="s">
        <v>1007</v>
      </c>
      <c r="C1065" s="8">
        <v>357</v>
      </c>
      <c r="D1065" s="8" t="s">
        <v>1008</v>
      </c>
      <c r="E1065" s="8">
        <v>3613920</v>
      </c>
    </row>
    <row r="1066" spans="1:5" x14ac:dyDescent="0.5">
      <c r="A1066" s="7">
        <v>3513930</v>
      </c>
      <c r="B1066" s="8" t="s">
        <v>932</v>
      </c>
      <c r="C1066" s="8">
        <v>358</v>
      </c>
      <c r="D1066" s="8" t="s">
        <v>933</v>
      </c>
      <c r="E1066" s="8">
        <v>2613930</v>
      </c>
    </row>
    <row r="1067" spans="1:5" x14ac:dyDescent="0.5">
      <c r="A1067" s="7">
        <v>3514100</v>
      </c>
      <c r="B1067" s="8" t="s">
        <v>1009</v>
      </c>
      <c r="C1067" s="8">
        <v>368</v>
      </c>
      <c r="D1067" s="8" t="s">
        <v>1010</v>
      </c>
      <c r="E1067" s="8">
        <v>3514100</v>
      </c>
    </row>
    <row r="1068" spans="1:5" x14ac:dyDescent="0.5">
      <c r="A1068" s="7">
        <v>3514220</v>
      </c>
      <c r="B1068" s="8" t="s">
        <v>983</v>
      </c>
      <c r="C1068" s="8">
        <v>378</v>
      </c>
      <c r="D1068" s="8" t="s">
        <v>984</v>
      </c>
      <c r="E1068" s="8">
        <v>3214220</v>
      </c>
    </row>
    <row r="1069" spans="1:5" x14ac:dyDescent="0.5">
      <c r="A1069" s="7">
        <v>3514230</v>
      </c>
      <c r="B1069" s="8" t="s">
        <v>985</v>
      </c>
      <c r="C1069" s="8">
        <v>379</v>
      </c>
      <c r="D1069" s="8" t="s">
        <v>986</v>
      </c>
      <c r="E1069" s="8">
        <v>3214230</v>
      </c>
    </row>
    <row r="1070" spans="1:5" x14ac:dyDescent="0.5">
      <c r="A1070" s="7">
        <v>3514710</v>
      </c>
      <c r="B1070" s="8" t="s">
        <v>987</v>
      </c>
      <c r="C1070" s="8">
        <v>411</v>
      </c>
      <c r="D1070" s="8" t="s">
        <v>988</v>
      </c>
      <c r="E1070" s="8">
        <v>3214710</v>
      </c>
    </row>
    <row r="1071" spans="1:5" x14ac:dyDescent="0.5">
      <c r="A1071" s="7">
        <v>3514720</v>
      </c>
      <c r="B1071" s="8" t="s">
        <v>989</v>
      </c>
      <c r="C1071" s="8">
        <v>415</v>
      </c>
      <c r="D1071" s="8" t="s">
        <v>990</v>
      </c>
      <c r="E1071" s="8">
        <v>3214720</v>
      </c>
    </row>
    <row r="1072" spans="1:5" x14ac:dyDescent="0.5">
      <c r="A1072" s="7">
        <v>3514950</v>
      </c>
      <c r="B1072" s="8" t="s">
        <v>885</v>
      </c>
      <c r="C1072" s="8">
        <v>443</v>
      </c>
      <c r="D1072" s="8" t="s">
        <v>1011</v>
      </c>
      <c r="E1072" s="8">
        <v>3514950</v>
      </c>
    </row>
    <row r="1073" spans="1:5" x14ac:dyDescent="0.5">
      <c r="A1073" s="7">
        <v>3515040</v>
      </c>
      <c r="B1073" s="8" t="s">
        <v>922</v>
      </c>
      <c r="C1073" s="8">
        <v>446</v>
      </c>
      <c r="D1073" s="8" t="s">
        <v>923</v>
      </c>
      <c r="E1073" s="8">
        <v>2515040</v>
      </c>
    </row>
    <row r="1074" spans="1:5" x14ac:dyDescent="0.5">
      <c r="A1074" s="7">
        <v>3515190</v>
      </c>
      <c r="B1074" s="8" t="s">
        <v>995</v>
      </c>
      <c r="C1074" s="8">
        <v>453</v>
      </c>
      <c r="D1074" s="8" t="s">
        <v>996</v>
      </c>
      <c r="E1074" s="8">
        <v>3615190</v>
      </c>
    </row>
    <row r="1075" spans="1:5" x14ac:dyDescent="0.5">
      <c r="A1075" s="7">
        <v>3515230</v>
      </c>
      <c r="B1075" s="8" t="s">
        <v>997</v>
      </c>
      <c r="C1075" s="8">
        <v>455</v>
      </c>
      <c r="D1075" s="8" t="s">
        <v>998</v>
      </c>
      <c r="E1075" s="8">
        <v>3515230</v>
      </c>
    </row>
    <row r="1076" spans="1:5" x14ac:dyDescent="0.5">
      <c r="A1076" s="7">
        <v>3515240</v>
      </c>
      <c r="B1076" s="8" t="s">
        <v>1012</v>
      </c>
      <c r="C1076" s="8">
        <v>456</v>
      </c>
      <c r="D1076" s="8" t="s">
        <v>1013</v>
      </c>
      <c r="E1076" s="8">
        <v>3515240</v>
      </c>
    </row>
    <row r="1077" spans="1:5" x14ac:dyDescent="0.5">
      <c r="A1077" s="7">
        <v>3515250</v>
      </c>
      <c r="B1077" s="8" t="s">
        <v>1014</v>
      </c>
      <c r="C1077" s="8">
        <v>349</v>
      </c>
      <c r="D1077" s="8" t="s">
        <v>1015</v>
      </c>
      <c r="E1077" s="8">
        <v>3515250</v>
      </c>
    </row>
    <row r="1078" spans="1:5" x14ac:dyDescent="0.5">
      <c r="A1078" s="7">
        <v>3613230</v>
      </c>
      <c r="B1078" s="8" t="s">
        <v>971</v>
      </c>
      <c r="C1078" s="8">
        <v>295</v>
      </c>
      <c r="D1078" s="8" t="s">
        <v>972</v>
      </c>
      <c r="E1078" s="8">
        <v>3713230</v>
      </c>
    </row>
    <row r="1079" spans="1:5" x14ac:dyDescent="0.5">
      <c r="A1079" s="7">
        <v>3613380</v>
      </c>
      <c r="B1079" s="8" t="s">
        <v>1016</v>
      </c>
      <c r="C1079" s="8">
        <v>306</v>
      </c>
      <c r="D1079" s="8" t="s">
        <v>1017</v>
      </c>
      <c r="E1079" s="8">
        <v>3613380</v>
      </c>
    </row>
    <row r="1080" spans="1:5" x14ac:dyDescent="0.5">
      <c r="A1080" s="7">
        <v>3613390</v>
      </c>
      <c r="B1080" s="8" t="s">
        <v>1018</v>
      </c>
      <c r="C1080" s="8">
        <v>307</v>
      </c>
      <c r="D1080" s="8" t="s">
        <v>1019</v>
      </c>
      <c r="E1080" s="8">
        <v>3613390</v>
      </c>
    </row>
    <row r="1081" spans="1:5" x14ac:dyDescent="0.5">
      <c r="A1081" s="7">
        <v>3613580</v>
      </c>
      <c r="B1081" s="8" t="s">
        <v>1003</v>
      </c>
      <c r="C1081" s="8">
        <v>324</v>
      </c>
      <c r="D1081" s="8" t="s">
        <v>1004</v>
      </c>
      <c r="E1081" s="8">
        <v>3613580</v>
      </c>
    </row>
    <row r="1082" spans="1:5" x14ac:dyDescent="0.5">
      <c r="A1082" s="7">
        <v>3613710</v>
      </c>
      <c r="B1082" s="8" t="s">
        <v>979</v>
      </c>
      <c r="C1082" s="8">
        <v>339</v>
      </c>
      <c r="D1082" s="8" t="s">
        <v>980</v>
      </c>
      <c r="E1082" s="8">
        <v>3713710</v>
      </c>
    </row>
    <row r="1083" spans="1:5" x14ac:dyDescent="0.5">
      <c r="A1083" s="7">
        <v>3613830</v>
      </c>
      <c r="B1083" s="8" t="s">
        <v>981</v>
      </c>
      <c r="C1083" s="8">
        <v>352</v>
      </c>
      <c r="D1083" s="8" t="s">
        <v>982</v>
      </c>
      <c r="E1083" s="8">
        <v>3513830</v>
      </c>
    </row>
    <row r="1084" spans="1:5" x14ac:dyDescent="0.5">
      <c r="A1084" s="7">
        <v>3613900</v>
      </c>
      <c r="B1084" s="8" t="s">
        <v>1005</v>
      </c>
      <c r="C1084" s="8">
        <v>356</v>
      </c>
      <c r="D1084" s="8" t="s">
        <v>1006</v>
      </c>
      <c r="E1084" s="8">
        <v>3613900</v>
      </c>
    </row>
    <row r="1085" spans="1:5" x14ac:dyDescent="0.5">
      <c r="A1085" s="7">
        <v>3613920</v>
      </c>
      <c r="B1085" s="8" t="s">
        <v>1007</v>
      </c>
      <c r="C1085" s="8">
        <v>357</v>
      </c>
      <c r="D1085" s="8" t="s">
        <v>1008</v>
      </c>
      <c r="E1085" s="8">
        <v>3613920</v>
      </c>
    </row>
    <row r="1086" spans="1:5" x14ac:dyDescent="0.5">
      <c r="A1086" s="7">
        <v>3614220</v>
      </c>
      <c r="B1086" s="8" t="s">
        <v>983</v>
      </c>
      <c r="C1086" s="8">
        <v>378</v>
      </c>
      <c r="D1086" s="8" t="s">
        <v>984</v>
      </c>
      <c r="E1086" s="8">
        <v>3214220</v>
      </c>
    </row>
    <row r="1087" spans="1:5" x14ac:dyDescent="0.5">
      <c r="A1087" s="7">
        <v>3614340</v>
      </c>
      <c r="B1087" s="8" t="s">
        <v>1020</v>
      </c>
      <c r="C1087" s="8">
        <v>386</v>
      </c>
      <c r="D1087" s="8" t="s">
        <v>1021</v>
      </c>
      <c r="E1087" s="8">
        <v>3614340</v>
      </c>
    </row>
    <row r="1088" spans="1:5" x14ac:dyDescent="0.5">
      <c r="A1088" s="7">
        <v>3614370</v>
      </c>
      <c r="B1088" s="8" t="s">
        <v>1022</v>
      </c>
      <c r="C1088" s="8">
        <v>390</v>
      </c>
      <c r="D1088" s="8" t="s">
        <v>1023</v>
      </c>
      <c r="E1088" s="8">
        <v>3614370</v>
      </c>
    </row>
    <row r="1089" spans="1:5" x14ac:dyDescent="0.5">
      <c r="A1089" s="7">
        <v>3614380</v>
      </c>
      <c r="B1089" s="8" t="s">
        <v>1024</v>
      </c>
      <c r="C1089" s="8">
        <v>391</v>
      </c>
      <c r="D1089" s="8" t="s">
        <v>1025</v>
      </c>
      <c r="E1089" s="8">
        <v>3614380</v>
      </c>
    </row>
    <row r="1090" spans="1:5" x14ac:dyDescent="0.5">
      <c r="A1090" s="7">
        <v>3614390</v>
      </c>
      <c r="B1090" s="8" t="s">
        <v>1026</v>
      </c>
      <c r="C1090" s="8">
        <v>392</v>
      </c>
      <c r="D1090" s="8" t="s">
        <v>1027</v>
      </c>
      <c r="E1090" s="8">
        <v>3614390</v>
      </c>
    </row>
    <row r="1091" spans="1:5" x14ac:dyDescent="0.5">
      <c r="A1091" s="7">
        <v>3614400</v>
      </c>
      <c r="B1091" s="8" t="s">
        <v>1028</v>
      </c>
      <c r="C1091" s="8">
        <v>393</v>
      </c>
      <c r="D1091" s="8" t="s">
        <v>1029</v>
      </c>
      <c r="E1091" s="8">
        <v>3614400</v>
      </c>
    </row>
    <row r="1092" spans="1:5" x14ac:dyDescent="0.5">
      <c r="A1092" s="7">
        <v>3614420</v>
      </c>
      <c r="B1092" s="8" t="s">
        <v>1030</v>
      </c>
      <c r="C1092" s="8">
        <v>394</v>
      </c>
      <c r="D1092" s="8" t="s">
        <v>1031</v>
      </c>
      <c r="E1092" s="8">
        <v>3614420</v>
      </c>
    </row>
    <row r="1093" spans="1:5" x14ac:dyDescent="0.5">
      <c r="A1093" s="7">
        <v>3614670</v>
      </c>
      <c r="B1093" s="8" t="s">
        <v>1032</v>
      </c>
      <c r="C1093" s="8">
        <v>407</v>
      </c>
      <c r="D1093" s="8" t="s">
        <v>1033</v>
      </c>
      <c r="E1093" s="8">
        <v>3614670</v>
      </c>
    </row>
    <row r="1094" spans="1:5" x14ac:dyDescent="0.5">
      <c r="A1094" s="7">
        <v>3614730</v>
      </c>
      <c r="B1094" s="8" t="s">
        <v>991</v>
      </c>
      <c r="C1094" s="8">
        <v>417</v>
      </c>
      <c r="D1094" s="8" t="s">
        <v>992</v>
      </c>
      <c r="E1094" s="8">
        <v>3614730</v>
      </c>
    </row>
    <row r="1095" spans="1:5" x14ac:dyDescent="0.5">
      <c r="A1095" s="7">
        <v>3614740</v>
      </c>
      <c r="B1095" s="8" t="s">
        <v>993</v>
      </c>
      <c r="C1095" s="8">
        <v>419</v>
      </c>
      <c r="D1095" s="8" t="s">
        <v>1034</v>
      </c>
      <c r="E1095" s="8">
        <v>3614740</v>
      </c>
    </row>
    <row r="1096" spans="1:5" x14ac:dyDescent="0.5">
      <c r="A1096" s="7">
        <v>3614760</v>
      </c>
      <c r="B1096" s="8" t="s">
        <v>1035</v>
      </c>
      <c r="C1096" s="8">
        <v>423</v>
      </c>
      <c r="D1096" s="8" t="s">
        <v>1036</v>
      </c>
      <c r="E1096" s="8">
        <v>3614760</v>
      </c>
    </row>
    <row r="1097" spans="1:5" x14ac:dyDescent="0.5">
      <c r="A1097" s="7">
        <v>3614800</v>
      </c>
      <c r="B1097" s="8" t="s">
        <v>1037</v>
      </c>
      <c r="C1097" s="8">
        <v>427</v>
      </c>
      <c r="D1097" s="8" t="s">
        <v>1038</v>
      </c>
      <c r="E1097" s="8">
        <v>5514800</v>
      </c>
    </row>
    <row r="1098" spans="1:5" x14ac:dyDescent="0.5">
      <c r="A1098" s="7">
        <v>3614860</v>
      </c>
      <c r="B1098" s="8" t="s">
        <v>1039</v>
      </c>
      <c r="C1098" s="8">
        <v>433</v>
      </c>
      <c r="D1098" s="8" t="s">
        <v>1040</v>
      </c>
      <c r="E1098" s="8">
        <v>3614860</v>
      </c>
    </row>
    <row r="1099" spans="1:5" x14ac:dyDescent="0.5">
      <c r="A1099" s="7">
        <v>3614900</v>
      </c>
      <c r="B1099" s="8" t="s">
        <v>1041</v>
      </c>
      <c r="C1099" s="8">
        <v>435</v>
      </c>
      <c r="D1099" s="8" t="s">
        <v>1042</v>
      </c>
      <c r="E1099" s="8">
        <v>5814900</v>
      </c>
    </row>
    <row r="1100" spans="1:5" x14ac:dyDescent="0.5">
      <c r="A1100" s="7">
        <v>3614950</v>
      </c>
      <c r="B1100" s="8" t="s">
        <v>885</v>
      </c>
      <c r="C1100" s="8">
        <v>443</v>
      </c>
      <c r="D1100" s="8" t="s">
        <v>1011</v>
      </c>
      <c r="E1100" s="8">
        <v>3514950</v>
      </c>
    </row>
    <row r="1101" spans="1:5" x14ac:dyDescent="0.5">
      <c r="A1101" s="7">
        <v>3615190</v>
      </c>
      <c r="B1101" s="8" t="s">
        <v>995</v>
      </c>
      <c r="C1101" s="8">
        <v>453</v>
      </c>
      <c r="D1101" s="8" t="s">
        <v>996</v>
      </c>
      <c r="E1101" s="8">
        <v>3615190</v>
      </c>
    </row>
    <row r="1102" spans="1:5" x14ac:dyDescent="0.5">
      <c r="A1102" s="7">
        <v>3713230</v>
      </c>
      <c r="B1102" s="8" t="s">
        <v>971</v>
      </c>
      <c r="C1102" s="8">
        <v>295</v>
      </c>
      <c r="D1102" s="8" t="s">
        <v>972</v>
      </c>
      <c r="E1102" s="8">
        <v>3713230</v>
      </c>
    </row>
    <row r="1103" spans="1:5" x14ac:dyDescent="0.5">
      <c r="A1103" s="7">
        <v>3713390</v>
      </c>
      <c r="B1103" s="8" t="s">
        <v>1018</v>
      </c>
      <c r="C1103" s="8">
        <v>307</v>
      </c>
      <c r="D1103" s="8" t="s">
        <v>1019</v>
      </c>
      <c r="E1103" s="8">
        <v>3613390</v>
      </c>
    </row>
    <row r="1104" spans="1:5" x14ac:dyDescent="0.5">
      <c r="A1104" s="7">
        <v>3713480</v>
      </c>
      <c r="B1104" s="8" t="s">
        <v>1043</v>
      </c>
      <c r="C1104" s="8">
        <v>316</v>
      </c>
      <c r="D1104" s="8" t="s">
        <v>1044</v>
      </c>
      <c r="E1104" s="8">
        <v>3713480</v>
      </c>
    </row>
    <row r="1105" spans="1:5" x14ac:dyDescent="0.5">
      <c r="A1105" s="7">
        <v>3713710</v>
      </c>
      <c r="B1105" s="8" t="s">
        <v>979</v>
      </c>
      <c r="C1105" s="8">
        <v>339</v>
      </c>
      <c r="D1105" s="8" t="s">
        <v>980</v>
      </c>
      <c r="E1105" s="8">
        <v>3713710</v>
      </c>
    </row>
    <row r="1106" spans="1:5" x14ac:dyDescent="0.5">
      <c r="A1106" s="7">
        <v>3713780</v>
      </c>
      <c r="B1106" s="8" t="s">
        <v>1045</v>
      </c>
      <c r="C1106" s="8">
        <v>346</v>
      </c>
      <c r="D1106" s="8" t="s">
        <v>1046</v>
      </c>
      <c r="E1106" s="8">
        <v>4413780</v>
      </c>
    </row>
    <row r="1107" spans="1:5" x14ac:dyDescent="0.5">
      <c r="A1107" s="7">
        <v>3714220</v>
      </c>
      <c r="B1107" s="8" t="s">
        <v>983</v>
      </c>
      <c r="C1107" s="8">
        <v>378</v>
      </c>
      <c r="D1107" s="8" t="s">
        <v>984</v>
      </c>
      <c r="E1107" s="8">
        <v>3214220</v>
      </c>
    </row>
    <row r="1108" spans="1:5" x14ac:dyDescent="0.5">
      <c r="A1108" s="7">
        <v>3714280</v>
      </c>
      <c r="B1108" s="8" t="s">
        <v>1047</v>
      </c>
      <c r="C1108" s="8">
        <v>382</v>
      </c>
      <c r="D1108" s="8" t="s">
        <v>1048</v>
      </c>
      <c r="E1108" s="8">
        <v>4414280</v>
      </c>
    </row>
    <row r="1109" spans="1:5" x14ac:dyDescent="0.5">
      <c r="A1109" s="7">
        <v>3714290</v>
      </c>
      <c r="B1109" s="8" t="s">
        <v>1049</v>
      </c>
      <c r="C1109" s="8">
        <v>383</v>
      </c>
      <c r="D1109" s="8" t="s">
        <v>1050</v>
      </c>
      <c r="E1109" s="8">
        <v>3714290</v>
      </c>
    </row>
    <row r="1110" spans="1:5" x14ac:dyDescent="0.5">
      <c r="A1110" s="7">
        <v>3714340</v>
      </c>
      <c r="B1110" s="8" t="s">
        <v>1020</v>
      </c>
      <c r="C1110" s="8">
        <v>386</v>
      </c>
      <c r="D1110" s="8" t="s">
        <v>1021</v>
      </c>
      <c r="E1110" s="8">
        <v>3614340</v>
      </c>
    </row>
    <row r="1111" spans="1:5" x14ac:dyDescent="0.5">
      <c r="A1111" s="7">
        <v>3714510</v>
      </c>
      <c r="B1111" s="8" t="s">
        <v>1051</v>
      </c>
      <c r="C1111" s="8">
        <v>397</v>
      </c>
      <c r="D1111" s="8" t="s">
        <v>1052</v>
      </c>
      <c r="E1111" s="8">
        <v>5514500</v>
      </c>
    </row>
    <row r="1112" spans="1:5" x14ac:dyDescent="0.5">
      <c r="A1112" s="7">
        <v>3714580</v>
      </c>
      <c r="B1112" s="8" t="s">
        <v>1053</v>
      </c>
      <c r="C1112" s="8">
        <v>402</v>
      </c>
      <c r="D1112" s="8" t="s">
        <v>1054</v>
      </c>
      <c r="E1112" s="8">
        <v>3714580</v>
      </c>
    </row>
    <row r="1113" spans="1:5" x14ac:dyDescent="0.5">
      <c r="A1113" s="7">
        <v>3714730</v>
      </c>
      <c r="B1113" s="8" t="s">
        <v>991</v>
      </c>
      <c r="C1113" s="8">
        <v>417</v>
      </c>
      <c r="D1113" s="8" t="s">
        <v>992</v>
      </c>
      <c r="E1113" s="8">
        <v>3614730</v>
      </c>
    </row>
    <row r="1114" spans="1:5" x14ac:dyDescent="0.5">
      <c r="A1114" s="7">
        <v>3714740</v>
      </c>
      <c r="B1114" s="8" t="s">
        <v>993</v>
      </c>
      <c r="C1114" s="8">
        <v>420</v>
      </c>
      <c r="D1114" s="8" t="s">
        <v>994</v>
      </c>
      <c r="E1114" s="8">
        <v>4414740</v>
      </c>
    </row>
    <row r="1115" spans="1:5" x14ac:dyDescent="0.5">
      <c r="A1115" s="7">
        <v>3714800</v>
      </c>
      <c r="B1115" s="8" t="s">
        <v>1037</v>
      </c>
      <c r="C1115" s="8">
        <v>427</v>
      </c>
      <c r="D1115" s="8" t="s">
        <v>1038</v>
      </c>
      <c r="E1115" s="8">
        <v>5514800</v>
      </c>
    </row>
    <row r="1116" spans="1:5" x14ac:dyDescent="0.5">
      <c r="A1116" s="7">
        <v>3714900</v>
      </c>
      <c r="B1116" s="8" t="s">
        <v>1041</v>
      </c>
      <c r="C1116" s="8">
        <v>435</v>
      </c>
      <c r="D1116" s="8" t="s">
        <v>1042</v>
      </c>
      <c r="E1116" s="8">
        <v>5814900</v>
      </c>
    </row>
    <row r="1117" spans="1:5" x14ac:dyDescent="0.5">
      <c r="A1117" s="7">
        <v>3715060</v>
      </c>
      <c r="B1117" s="8" t="s">
        <v>1055</v>
      </c>
      <c r="C1117" s="8">
        <v>450</v>
      </c>
      <c r="D1117" s="8" t="s">
        <v>1056</v>
      </c>
      <c r="E1117" s="8">
        <v>4515130</v>
      </c>
    </row>
    <row r="1118" spans="1:5" x14ac:dyDescent="0.5">
      <c r="A1118" s="7">
        <v>3715190</v>
      </c>
      <c r="B1118" s="8" t="s">
        <v>995</v>
      </c>
      <c r="C1118" s="8">
        <v>453</v>
      </c>
      <c r="D1118" s="8" t="s">
        <v>996</v>
      </c>
      <c r="E1118" s="8">
        <v>3615190</v>
      </c>
    </row>
    <row r="1119" spans="1:5" x14ac:dyDescent="0.5">
      <c r="A1119" s="7">
        <v>3810130</v>
      </c>
      <c r="B1119" s="8" t="s">
        <v>957</v>
      </c>
      <c r="C1119" s="8">
        <v>104</v>
      </c>
      <c r="D1119" s="8" t="s">
        <v>958</v>
      </c>
      <c r="E1119" s="8">
        <v>3110130</v>
      </c>
    </row>
    <row r="1120" spans="1:5" x14ac:dyDescent="0.5">
      <c r="A1120" s="7">
        <v>3810940</v>
      </c>
      <c r="B1120" s="8" t="s">
        <v>908</v>
      </c>
      <c r="C1120" s="8">
        <v>197</v>
      </c>
      <c r="D1120" s="8" t="s">
        <v>909</v>
      </c>
      <c r="E1120" s="8">
        <v>3310940</v>
      </c>
    </row>
    <row r="1121" spans="1:5" x14ac:dyDescent="0.5">
      <c r="A1121" s="7">
        <v>3811320</v>
      </c>
      <c r="B1121" s="8" t="s">
        <v>959</v>
      </c>
      <c r="C1121" s="8">
        <v>239</v>
      </c>
      <c r="D1121" s="8" t="s">
        <v>879</v>
      </c>
      <c r="E1121" s="8">
        <v>3111410</v>
      </c>
    </row>
    <row r="1122" spans="1:5" x14ac:dyDescent="0.5">
      <c r="A1122" s="7">
        <v>3811480</v>
      </c>
      <c r="B1122" s="8" t="s">
        <v>880</v>
      </c>
      <c r="C1122" s="8">
        <v>246</v>
      </c>
      <c r="D1122" s="8" t="s">
        <v>881</v>
      </c>
      <c r="E1122" s="8">
        <v>3111480</v>
      </c>
    </row>
    <row r="1123" spans="1:5" x14ac:dyDescent="0.5">
      <c r="A1123" s="7">
        <v>3811490</v>
      </c>
      <c r="B1123" s="8" t="s">
        <v>917</v>
      </c>
      <c r="C1123" s="8">
        <v>247</v>
      </c>
      <c r="D1123" s="8" t="s">
        <v>918</v>
      </c>
      <c r="E1123" s="8">
        <v>2711490</v>
      </c>
    </row>
    <row r="1124" spans="1:5" x14ac:dyDescent="0.5">
      <c r="A1124" s="7">
        <v>3811500</v>
      </c>
      <c r="B1124" s="8" t="s">
        <v>960</v>
      </c>
      <c r="C1124" s="8">
        <v>239</v>
      </c>
      <c r="D1124" s="8" t="s">
        <v>879</v>
      </c>
      <c r="E1124" s="8">
        <v>3111410</v>
      </c>
    </row>
    <row r="1125" spans="1:5" x14ac:dyDescent="0.5">
      <c r="A1125" s="7">
        <v>3811620</v>
      </c>
      <c r="B1125" s="8" t="s">
        <v>882</v>
      </c>
      <c r="C1125" s="8">
        <v>261</v>
      </c>
      <c r="D1125" s="8" t="s">
        <v>883</v>
      </c>
      <c r="E1125" s="8">
        <v>3111620</v>
      </c>
    </row>
    <row r="1126" spans="1:5" x14ac:dyDescent="0.5">
      <c r="A1126" s="7">
        <v>3813080</v>
      </c>
      <c r="B1126" s="8" t="s">
        <v>969</v>
      </c>
      <c r="C1126" s="8">
        <v>283</v>
      </c>
      <c r="D1126" s="8" t="s">
        <v>970</v>
      </c>
      <c r="E1126" s="8">
        <v>3213080</v>
      </c>
    </row>
    <row r="1127" spans="1:5" x14ac:dyDescent="0.5">
      <c r="A1127" s="7">
        <v>3813100</v>
      </c>
      <c r="B1127" s="8" t="s">
        <v>1057</v>
      </c>
      <c r="C1127" s="8">
        <v>285</v>
      </c>
      <c r="D1127" s="8" t="s">
        <v>1058</v>
      </c>
      <c r="E1127" s="8">
        <v>4113100</v>
      </c>
    </row>
    <row r="1128" spans="1:5" x14ac:dyDescent="0.5">
      <c r="A1128" s="7">
        <v>3813140</v>
      </c>
      <c r="B1128" s="8" t="s">
        <v>1059</v>
      </c>
      <c r="C1128" s="8">
        <v>286</v>
      </c>
      <c r="D1128" s="8" t="s">
        <v>1060</v>
      </c>
      <c r="E1128" s="8">
        <v>5113130</v>
      </c>
    </row>
    <row r="1129" spans="1:5" x14ac:dyDescent="0.5">
      <c r="A1129" s="7">
        <v>3814210</v>
      </c>
      <c r="B1129" s="8" t="s">
        <v>962</v>
      </c>
      <c r="C1129" s="8">
        <v>377</v>
      </c>
      <c r="D1129" s="8" t="s">
        <v>963</v>
      </c>
      <c r="E1129" s="8">
        <v>4014200</v>
      </c>
    </row>
    <row r="1130" spans="1:5" x14ac:dyDescent="0.5">
      <c r="A1130" s="7">
        <v>3814230</v>
      </c>
      <c r="B1130" s="8" t="s">
        <v>985</v>
      </c>
      <c r="C1130" s="8">
        <v>379</v>
      </c>
      <c r="D1130" s="8" t="s">
        <v>986</v>
      </c>
      <c r="E1130" s="8">
        <v>3214230</v>
      </c>
    </row>
    <row r="1131" spans="1:5" x14ac:dyDescent="0.5">
      <c r="A1131" s="7">
        <v>3814690</v>
      </c>
      <c r="B1131" s="8" t="s">
        <v>964</v>
      </c>
      <c r="C1131" s="8">
        <v>409</v>
      </c>
      <c r="D1131" s="8" t="s">
        <v>965</v>
      </c>
      <c r="E1131" s="8">
        <v>3114690</v>
      </c>
    </row>
    <row r="1132" spans="1:5" x14ac:dyDescent="0.5">
      <c r="A1132" s="7">
        <v>3814880</v>
      </c>
      <c r="B1132" s="8" t="s">
        <v>1061</v>
      </c>
      <c r="C1132" s="8">
        <v>377</v>
      </c>
      <c r="D1132" s="8" t="s">
        <v>963</v>
      </c>
      <c r="E1132" s="8">
        <v>4014200</v>
      </c>
    </row>
    <row r="1133" spans="1:5" x14ac:dyDescent="0.5">
      <c r="A1133" s="7">
        <v>3814950</v>
      </c>
      <c r="B1133" s="8" t="s">
        <v>885</v>
      </c>
      <c r="C1133" s="8">
        <v>440</v>
      </c>
      <c r="D1133" s="8" t="s">
        <v>886</v>
      </c>
      <c r="E1133" s="8">
        <v>3114950</v>
      </c>
    </row>
    <row r="1134" spans="1:5" x14ac:dyDescent="0.5">
      <c r="A1134" s="7">
        <v>3910130</v>
      </c>
      <c r="B1134" s="8" t="s">
        <v>957</v>
      </c>
      <c r="C1134" s="8">
        <v>104</v>
      </c>
      <c r="D1134" s="8" t="s">
        <v>958</v>
      </c>
      <c r="E1134" s="8">
        <v>3110130</v>
      </c>
    </row>
    <row r="1135" spans="1:5" x14ac:dyDescent="0.5">
      <c r="A1135" s="7">
        <v>3911410</v>
      </c>
      <c r="B1135" s="8" t="s">
        <v>878</v>
      </c>
      <c r="C1135" s="8">
        <v>239</v>
      </c>
      <c r="D1135" s="8" t="s">
        <v>879</v>
      </c>
      <c r="E1135" s="8">
        <v>3111410</v>
      </c>
    </row>
    <row r="1136" spans="1:5" x14ac:dyDescent="0.5">
      <c r="A1136" s="7">
        <v>3911500</v>
      </c>
      <c r="B1136" s="8" t="s">
        <v>960</v>
      </c>
      <c r="C1136" s="8">
        <v>239</v>
      </c>
      <c r="D1136" s="8" t="s">
        <v>879</v>
      </c>
      <c r="E1136" s="8">
        <v>3111410</v>
      </c>
    </row>
    <row r="1137" spans="1:5" x14ac:dyDescent="0.5">
      <c r="A1137" s="7">
        <v>3911620</v>
      </c>
      <c r="B1137" s="8" t="s">
        <v>882</v>
      </c>
      <c r="C1137" s="8">
        <v>261</v>
      </c>
      <c r="D1137" s="8" t="s">
        <v>883</v>
      </c>
      <c r="E1137" s="8">
        <v>3111620</v>
      </c>
    </row>
    <row r="1138" spans="1:5" x14ac:dyDescent="0.5">
      <c r="A1138" s="7">
        <v>3913100</v>
      </c>
      <c r="B1138" s="8" t="s">
        <v>1057</v>
      </c>
      <c r="C1138" s="8">
        <v>285</v>
      </c>
      <c r="D1138" s="8" t="s">
        <v>1058</v>
      </c>
      <c r="E1138" s="8">
        <v>4113100</v>
      </c>
    </row>
    <row r="1139" spans="1:5" x14ac:dyDescent="0.5">
      <c r="A1139" s="7">
        <v>3913110</v>
      </c>
      <c r="B1139" s="8" t="s">
        <v>1062</v>
      </c>
      <c r="C1139" s="8">
        <v>285</v>
      </c>
      <c r="D1139" s="8" t="s">
        <v>1058</v>
      </c>
      <c r="E1139" s="8">
        <v>4113100</v>
      </c>
    </row>
    <row r="1140" spans="1:5" x14ac:dyDescent="0.5">
      <c r="A1140" s="7">
        <v>3913140</v>
      </c>
      <c r="B1140" s="8" t="s">
        <v>1059</v>
      </c>
      <c r="C1140" s="8">
        <v>286</v>
      </c>
      <c r="D1140" s="8" t="s">
        <v>1060</v>
      </c>
      <c r="E1140" s="8">
        <v>5113130</v>
      </c>
    </row>
    <row r="1141" spans="1:5" x14ac:dyDescent="0.5">
      <c r="A1141" s="7">
        <v>3913310</v>
      </c>
      <c r="B1141" s="8" t="s">
        <v>1063</v>
      </c>
      <c r="C1141" s="8">
        <v>302</v>
      </c>
      <c r="D1141" s="8" t="s">
        <v>1064</v>
      </c>
      <c r="E1141" s="8">
        <v>4013310</v>
      </c>
    </row>
    <row r="1142" spans="1:5" x14ac:dyDescent="0.5">
      <c r="A1142" s="7">
        <v>3913850</v>
      </c>
      <c r="B1142" s="8" t="s">
        <v>884</v>
      </c>
      <c r="C1142" s="8">
        <v>187</v>
      </c>
      <c r="D1142" s="8" t="s">
        <v>877</v>
      </c>
      <c r="E1142" s="8">
        <v>2010850</v>
      </c>
    </row>
    <row r="1143" spans="1:5" x14ac:dyDescent="0.5">
      <c r="A1143" s="7">
        <v>3913940</v>
      </c>
      <c r="B1143" s="8" t="s">
        <v>1065</v>
      </c>
      <c r="C1143" s="8">
        <v>359</v>
      </c>
      <c r="D1143" s="8" t="s">
        <v>1066</v>
      </c>
      <c r="E1143" s="8">
        <v>4113940</v>
      </c>
    </row>
    <row r="1144" spans="1:5" x14ac:dyDescent="0.5">
      <c r="A1144" s="7">
        <v>3914120</v>
      </c>
      <c r="B1144" s="8" t="s">
        <v>1067</v>
      </c>
      <c r="C1144" s="8">
        <v>370</v>
      </c>
      <c r="D1144" s="8" t="s">
        <v>1068</v>
      </c>
      <c r="E1144" s="8">
        <v>3914120</v>
      </c>
    </row>
    <row r="1145" spans="1:5" x14ac:dyDescent="0.5">
      <c r="A1145" s="7">
        <v>3914200</v>
      </c>
      <c r="B1145" s="8" t="s">
        <v>1069</v>
      </c>
      <c r="C1145" s="8">
        <v>377</v>
      </c>
      <c r="D1145" s="8" t="s">
        <v>963</v>
      </c>
      <c r="E1145" s="8">
        <v>4014200</v>
      </c>
    </row>
    <row r="1146" spans="1:5" x14ac:dyDescent="0.5">
      <c r="A1146" s="7">
        <v>3914690</v>
      </c>
      <c r="B1146" s="8" t="s">
        <v>964</v>
      </c>
      <c r="C1146" s="8">
        <v>409</v>
      </c>
      <c r="D1146" s="8" t="s">
        <v>965</v>
      </c>
      <c r="E1146" s="8">
        <v>3114690</v>
      </c>
    </row>
    <row r="1147" spans="1:5" x14ac:dyDescent="0.5">
      <c r="A1147" s="7">
        <v>3914820</v>
      </c>
      <c r="B1147" s="8" t="s">
        <v>955</v>
      </c>
      <c r="C1147" s="8">
        <v>429</v>
      </c>
      <c r="D1147" s="8" t="s">
        <v>956</v>
      </c>
      <c r="E1147" s="8">
        <v>3014820</v>
      </c>
    </row>
    <row r="1148" spans="1:5" x14ac:dyDescent="0.5">
      <c r="A1148" s="7">
        <v>3914950</v>
      </c>
      <c r="B1148" s="8" t="s">
        <v>885</v>
      </c>
      <c r="C1148" s="8">
        <v>440</v>
      </c>
      <c r="D1148" s="8" t="s">
        <v>886</v>
      </c>
      <c r="E1148" s="8">
        <v>3114950</v>
      </c>
    </row>
    <row r="1149" spans="1:5" x14ac:dyDescent="0.5">
      <c r="A1149" s="7">
        <v>4010130</v>
      </c>
      <c r="B1149" s="8" t="s">
        <v>957</v>
      </c>
      <c r="C1149" s="8">
        <v>104</v>
      </c>
      <c r="D1149" s="8" t="s">
        <v>958</v>
      </c>
      <c r="E1149" s="8">
        <v>3110130</v>
      </c>
    </row>
    <row r="1150" spans="1:5" x14ac:dyDescent="0.5">
      <c r="A1150" s="7">
        <v>4011410</v>
      </c>
      <c r="B1150" s="8" t="s">
        <v>878</v>
      </c>
      <c r="C1150" s="8">
        <v>239</v>
      </c>
      <c r="D1150" s="8" t="s">
        <v>879</v>
      </c>
      <c r="E1150" s="8">
        <v>3111410</v>
      </c>
    </row>
    <row r="1151" spans="1:5" x14ac:dyDescent="0.5">
      <c r="A1151" s="7">
        <v>4011500</v>
      </c>
      <c r="B1151" s="8" t="s">
        <v>960</v>
      </c>
      <c r="C1151" s="8">
        <v>239</v>
      </c>
      <c r="D1151" s="8" t="s">
        <v>879</v>
      </c>
      <c r="E1151" s="8">
        <v>3111410</v>
      </c>
    </row>
    <row r="1152" spans="1:5" x14ac:dyDescent="0.5">
      <c r="A1152" s="7">
        <v>4011620</v>
      </c>
      <c r="B1152" s="8" t="s">
        <v>882</v>
      </c>
      <c r="C1152" s="8">
        <v>261</v>
      </c>
      <c r="D1152" s="8" t="s">
        <v>883</v>
      </c>
      <c r="E1152" s="8">
        <v>3111620</v>
      </c>
    </row>
    <row r="1153" spans="1:5" x14ac:dyDescent="0.5">
      <c r="A1153" s="7">
        <v>4013010</v>
      </c>
      <c r="B1153" s="8" t="s">
        <v>1070</v>
      </c>
      <c r="C1153" s="8">
        <v>333</v>
      </c>
      <c r="D1153" s="8" t="s">
        <v>1071</v>
      </c>
      <c r="E1153" s="8">
        <v>4113653</v>
      </c>
    </row>
    <row r="1154" spans="1:5" x14ac:dyDescent="0.5">
      <c r="A1154" s="7">
        <v>4013020</v>
      </c>
      <c r="B1154" s="8" t="s">
        <v>1072</v>
      </c>
      <c r="C1154" s="8">
        <v>278</v>
      </c>
      <c r="D1154" s="8" t="s">
        <v>1073</v>
      </c>
      <c r="E1154" s="8">
        <v>5013021</v>
      </c>
    </row>
    <row r="1155" spans="1:5" x14ac:dyDescent="0.5">
      <c r="A1155" s="7">
        <v>4013140</v>
      </c>
      <c r="B1155" s="8" t="s">
        <v>1059</v>
      </c>
      <c r="C1155" s="8">
        <v>286</v>
      </c>
      <c r="D1155" s="8" t="s">
        <v>1060</v>
      </c>
      <c r="E1155" s="8">
        <v>5113130</v>
      </c>
    </row>
    <row r="1156" spans="1:5" x14ac:dyDescent="0.5">
      <c r="A1156" s="7">
        <v>4013310</v>
      </c>
      <c r="B1156" s="8" t="s">
        <v>1063</v>
      </c>
      <c r="C1156" s="8">
        <v>302</v>
      </c>
      <c r="D1156" s="8" t="s">
        <v>1064</v>
      </c>
      <c r="E1156" s="8">
        <v>4013310</v>
      </c>
    </row>
    <row r="1157" spans="1:5" x14ac:dyDescent="0.5">
      <c r="A1157" s="7">
        <v>4013651</v>
      </c>
      <c r="B1157" s="8" t="s">
        <v>1074</v>
      </c>
      <c r="C1157" s="8">
        <v>331</v>
      </c>
      <c r="D1157" s="8" t="s">
        <v>1075</v>
      </c>
      <c r="E1157" s="8">
        <v>4113651</v>
      </c>
    </row>
    <row r="1158" spans="1:5" x14ac:dyDescent="0.5">
      <c r="A1158" s="7">
        <v>4013850</v>
      </c>
      <c r="B1158" s="8" t="s">
        <v>884</v>
      </c>
      <c r="C1158" s="8">
        <v>187</v>
      </c>
      <c r="D1158" s="8" t="s">
        <v>877</v>
      </c>
      <c r="E1158" s="8">
        <v>2010850</v>
      </c>
    </row>
    <row r="1159" spans="1:5" x14ac:dyDescent="0.5">
      <c r="A1159" s="7">
        <v>4013940</v>
      </c>
      <c r="B1159" s="8" t="s">
        <v>1065</v>
      </c>
      <c r="C1159" s="8">
        <v>359</v>
      </c>
      <c r="D1159" s="8" t="s">
        <v>1066</v>
      </c>
      <c r="E1159" s="8">
        <v>4113940</v>
      </c>
    </row>
    <row r="1160" spans="1:5" x14ac:dyDescent="0.5">
      <c r="A1160" s="7">
        <v>4014120</v>
      </c>
      <c r="B1160" s="8" t="s">
        <v>1067</v>
      </c>
      <c r="C1160" s="8">
        <v>370</v>
      </c>
      <c r="D1160" s="8" t="s">
        <v>1068</v>
      </c>
      <c r="E1160" s="8">
        <v>3914120</v>
      </c>
    </row>
    <row r="1161" spans="1:5" x14ac:dyDescent="0.5">
      <c r="A1161" s="7">
        <v>4014200</v>
      </c>
      <c r="B1161" s="8" t="s">
        <v>1069</v>
      </c>
      <c r="C1161" s="8">
        <v>377</v>
      </c>
      <c r="D1161" s="8" t="s">
        <v>963</v>
      </c>
      <c r="E1161" s="8">
        <v>4014200</v>
      </c>
    </row>
    <row r="1162" spans="1:5" x14ac:dyDescent="0.5">
      <c r="A1162" s="7">
        <v>4014690</v>
      </c>
      <c r="B1162" s="8" t="s">
        <v>964</v>
      </c>
      <c r="C1162" s="8">
        <v>409</v>
      </c>
      <c r="D1162" s="8" t="s">
        <v>965</v>
      </c>
      <c r="E1162" s="8">
        <v>3114690</v>
      </c>
    </row>
    <row r="1163" spans="1:5" x14ac:dyDescent="0.5">
      <c r="A1163" s="7">
        <v>4014770</v>
      </c>
      <c r="B1163" s="8" t="s">
        <v>1076</v>
      </c>
      <c r="C1163" s="8">
        <v>424</v>
      </c>
      <c r="D1163" s="8" t="s">
        <v>1077</v>
      </c>
      <c r="E1163" s="8">
        <v>4114770</v>
      </c>
    </row>
    <row r="1164" spans="1:5" x14ac:dyDescent="0.5">
      <c r="A1164" s="7">
        <v>4014820</v>
      </c>
      <c r="B1164" s="8" t="s">
        <v>955</v>
      </c>
      <c r="C1164" s="8">
        <v>429</v>
      </c>
      <c r="D1164" s="8" t="s">
        <v>956</v>
      </c>
      <c r="E1164" s="8">
        <v>3014820</v>
      </c>
    </row>
    <row r="1165" spans="1:5" x14ac:dyDescent="0.5">
      <c r="A1165" s="7">
        <v>4014950</v>
      </c>
      <c r="B1165" s="8" t="s">
        <v>885</v>
      </c>
      <c r="C1165" s="8">
        <v>440</v>
      </c>
      <c r="D1165" s="8" t="s">
        <v>886</v>
      </c>
      <c r="E1165" s="8">
        <v>3114950</v>
      </c>
    </row>
    <row r="1166" spans="1:5" x14ac:dyDescent="0.5">
      <c r="A1166" s="7">
        <v>4113021</v>
      </c>
      <c r="B1166" s="8" t="s">
        <v>1072</v>
      </c>
      <c r="C1166" s="8">
        <v>278</v>
      </c>
      <c r="D1166" s="8" t="s">
        <v>1073</v>
      </c>
      <c r="E1166" s="8">
        <v>5013021</v>
      </c>
    </row>
    <row r="1167" spans="1:5" x14ac:dyDescent="0.5">
      <c r="A1167" s="7">
        <v>4113022</v>
      </c>
      <c r="B1167" s="8" t="s">
        <v>1078</v>
      </c>
      <c r="C1167" s="8">
        <v>278</v>
      </c>
      <c r="D1167" s="8" t="s">
        <v>1073</v>
      </c>
      <c r="E1167" s="8">
        <v>5013021</v>
      </c>
    </row>
    <row r="1168" spans="1:5" x14ac:dyDescent="0.5">
      <c r="A1168" s="7">
        <v>4113100</v>
      </c>
      <c r="B1168" s="8" t="s">
        <v>1057</v>
      </c>
      <c r="C1168" s="8">
        <v>285</v>
      </c>
      <c r="D1168" s="8" t="s">
        <v>1058</v>
      </c>
      <c r="E1168" s="8">
        <v>4113100</v>
      </c>
    </row>
    <row r="1169" spans="1:5" x14ac:dyDescent="0.5">
      <c r="A1169" s="7">
        <v>4113140</v>
      </c>
      <c r="B1169" s="8" t="s">
        <v>1059</v>
      </c>
      <c r="C1169" s="8">
        <v>286</v>
      </c>
      <c r="D1169" s="8" t="s">
        <v>1060</v>
      </c>
      <c r="E1169" s="8">
        <v>5113130</v>
      </c>
    </row>
    <row r="1170" spans="1:5" x14ac:dyDescent="0.5">
      <c r="A1170" s="7">
        <v>4113310</v>
      </c>
      <c r="B1170" s="8" t="s">
        <v>1063</v>
      </c>
      <c r="C1170" s="8">
        <v>302</v>
      </c>
      <c r="D1170" s="8" t="s">
        <v>1064</v>
      </c>
      <c r="E1170" s="8">
        <v>4013310</v>
      </c>
    </row>
    <row r="1171" spans="1:5" x14ac:dyDescent="0.5">
      <c r="A1171" s="7">
        <v>4113440</v>
      </c>
      <c r="B1171" s="8" t="s">
        <v>1079</v>
      </c>
      <c r="C1171" s="8">
        <v>311</v>
      </c>
      <c r="D1171" s="8" t="s">
        <v>1080</v>
      </c>
      <c r="E1171" s="8">
        <v>4113440</v>
      </c>
    </row>
    <row r="1172" spans="1:5" x14ac:dyDescent="0.5">
      <c r="A1172" s="7">
        <v>4113621</v>
      </c>
      <c r="B1172" s="8" t="s">
        <v>1081</v>
      </c>
      <c r="C1172" s="8">
        <v>327</v>
      </c>
      <c r="D1172" s="8" t="s">
        <v>1082</v>
      </c>
      <c r="E1172" s="8">
        <v>5113620</v>
      </c>
    </row>
    <row r="1173" spans="1:5" x14ac:dyDescent="0.5">
      <c r="A1173" s="7">
        <v>4113622</v>
      </c>
      <c r="B1173" s="8" t="s">
        <v>1083</v>
      </c>
      <c r="C1173" s="8">
        <v>328</v>
      </c>
      <c r="D1173" s="8" t="s">
        <v>1084</v>
      </c>
      <c r="E1173" s="8">
        <v>5013622</v>
      </c>
    </row>
    <row r="1174" spans="1:5" x14ac:dyDescent="0.5">
      <c r="A1174" s="7">
        <v>4113651</v>
      </c>
      <c r="B1174" s="8" t="s">
        <v>1074</v>
      </c>
      <c r="C1174" s="8">
        <v>331</v>
      </c>
      <c r="D1174" s="8" t="s">
        <v>1075</v>
      </c>
      <c r="E1174" s="8">
        <v>4113651</v>
      </c>
    </row>
    <row r="1175" spans="1:5" x14ac:dyDescent="0.5">
      <c r="A1175" s="7">
        <v>4113652</v>
      </c>
      <c r="B1175" s="8" t="s">
        <v>1085</v>
      </c>
      <c r="C1175" s="8">
        <v>332</v>
      </c>
      <c r="D1175" s="8" t="s">
        <v>1086</v>
      </c>
      <c r="E1175" s="8">
        <v>4113652</v>
      </c>
    </row>
    <row r="1176" spans="1:5" x14ac:dyDescent="0.5">
      <c r="A1176" s="7">
        <v>4113653</v>
      </c>
      <c r="B1176" s="8" t="s">
        <v>1087</v>
      </c>
      <c r="C1176" s="8">
        <v>333</v>
      </c>
      <c r="D1176" s="8" t="s">
        <v>1071</v>
      </c>
      <c r="E1176" s="8">
        <v>4113653</v>
      </c>
    </row>
    <row r="1177" spans="1:5" x14ac:dyDescent="0.5">
      <c r="A1177" s="7">
        <v>4113940</v>
      </c>
      <c r="B1177" s="8" t="s">
        <v>1065</v>
      </c>
      <c r="C1177" s="8">
        <v>359</v>
      </c>
      <c r="D1177" s="8" t="s">
        <v>1066</v>
      </c>
      <c r="E1177" s="8">
        <v>4113940</v>
      </c>
    </row>
    <row r="1178" spans="1:5" x14ac:dyDescent="0.5">
      <c r="A1178" s="7">
        <v>4113950</v>
      </c>
      <c r="B1178" s="8" t="s">
        <v>1088</v>
      </c>
      <c r="C1178" s="8">
        <v>360</v>
      </c>
      <c r="D1178" s="8" t="s">
        <v>1089</v>
      </c>
      <c r="E1178" s="8">
        <v>4113950</v>
      </c>
    </row>
    <row r="1179" spans="1:5" x14ac:dyDescent="0.5">
      <c r="A1179" s="7">
        <v>4114071</v>
      </c>
      <c r="B1179" s="8" t="s">
        <v>1090</v>
      </c>
      <c r="C1179" s="8">
        <v>365</v>
      </c>
      <c r="D1179" s="8" t="s">
        <v>1091</v>
      </c>
      <c r="E1179" s="8">
        <v>5014071</v>
      </c>
    </row>
    <row r="1180" spans="1:5" x14ac:dyDescent="0.5">
      <c r="A1180" s="7">
        <v>4114072</v>
      </c>
      <c r="B1180" s="8" t="s">
        <v>1092</v>
      </c>
      <c r="C1180" s="8">
        <v>366</v>
      </c>
      <c r="D1180" s="8" t="s">
        <v>1093</v>
      </c>
      <c r="E1180" s="8">
        <v>5014072</v>
      </c>
    </row>
    <row r="1181" spans="1:5" x14ac:dyDescent="0.5">
      <c r="A1181" s="7">
        <v>4114120</v>
      </c>
      <c r="B1181" s="8" t="s">
        <v>1067</v>
      </c>
      <c r="C1181" s="8">
        <v>370</v>
      </c>
      <c r="D1181" s="8" t="s">
        <v>1068</v>
      </c>
      <c r="E1181" s="8">
        <v>3914120</v>
      </c>
    </row>
    <row r="1182" spans="1:5" x14ac:dyDescent="0.5">
      <c r="A1182" s="7">
        <v>4114200</v>
      </c>
      <c r="B1182" s="8" t="s">
        <v>1069</v>
      </c>
      <c r="C1182" s="8">
        <v>377</v>
      </c>
      <c r="D1182" s="8" t="s">
        <v>963</v>
      </c>
      <c r="E1182" s="8">
        <v>4014200</v>
      </c>
    </row>
    <row r="1183" spans="1:5" x14ac:dyDescent="0.5">
      <c r="A1183" s="7">
        <v>4114440</v>
      </c>
      <c r="B1183" s="8" t="s">
        <v>1094</v>
      </c>
      <c r="C1183" s="8">
        <v>395</v>
      </c>
      <c r="D1183" s="8" t="s">
        <v>1095</v>
      </c>
      <c r="E1183" s="8">
        <v>5114440</v>
      </c>
    </row>
    <row r="1184" spans="1:5" x14ac:dyDescent="0.5">
      <c r="A1184" s="7">
        <v>4114710</v>
      </c>
      <c r="B1184" s="8" t="s">
        <v>987</v>
      </c>
      <c r="C1184" s="8">
        <v>412</v>
      </c>
      <c r="D1184" s="8" t="s">
        <v>1096</v>
      </c>
      <c r="E1184" s="8">
        <v>5114710</v>
      </c>
    </row>
    <row r="1185" spans="1:5" x14ac:dyDescent="0.5">
      <c r="A1185" s="7">
        <v>4114750</v>
      </c>
      <c r="B1185" s="8" t="s">
        <v>1097</v>
      </c>
      <c r="C1185" s="8">
        <v>422</v>
      </c>
      <c r="D1185" s="8" t="s">
        <v>1098</v>
      </c>
      <c r="E1185" s="8">
        <v>5014750</v>
      </c>
    </row>
    <row r="1186" spans="1:5" x14ac:dyDescent="0.5">
      <c r="A1186" s="7">
        <v>4114770</v>
      </c>
      <c r="B1186" s="8" t="s">
        <v>1076</v>
      </c>
      <c r="C1186" s="8">
        <v>424</v>
      </c>
      <c r="D1186" s="8" t="s">
        <v>1077</v>
      </c>
      <c r="E1186" s="8">
        <v>4114770</v>
      </c>
    </row>
    <row r="1187" spans="1:5" x14ac:dyDescent="0.5">
      <c r="A1187" s="7">
        <v>4114790</v>
      </c>
      <c r="B1187" s="8" t="s">
        <v>1099</v>
      </c>
      <c r="C1187" s="8">
        <v>426</v>
      </c>
      <c r="D1187" s="8" t="s">
        <v>1100</v>
      </c>
      <c r="E1187" s="8">
        <v>5214790</v>
      </c>
    </row>
    <row r="1188" spans="1:5" x14ac:dyDescent="0.5">
      <c r="A1188" s="7">
        <v>4114810</v>
      </c>
      <c r="B1188" s="8" t="s">
        <v>1101</v>
      </c>
      <c r="C1188" s="8">
        <v>428</v>
      </c>
      <c r="D1188" s="8" t="s">
        <v>1102</v>
      </c>
      <c r="E1188" s="8">
        <v>5014810</v>
      </c>
    </row>
    <row r="1189" spans="1:5" x14ac:dyDescent="0.5">
      <c r="A1189" s="7">
        <v>4114920</v>
      </c>
      <c r="B1189" s="8" t="s">
        <v>1103</v>
      </c>
      <c r="C1189" s="8">
        <v>437</v>
      </c>
      <c r="D1189" s="8" t="s">
        <v>1104</v>
      </c>
      <c r="E1189" s="8">
        <v>5114920</v>
      </c>
    </row>
    <row r="1190" spans="1:5" x14ac:dyDescent="0.5">
      <c r="A1190" s="7">
        <v>4114930</v>
      </c>
      <c r="B1190" s="8" t="s">
        <v>1105</v>
      </c>
      <c r="C1190" s="8">
        <v>438</v>
      </c>
      <c r="D1190" s="8" t="s">
        <v>1106</v>
      </c>
      <c r="E1190" s="8">
        <v>5114930</v>
      </c>
    </row>
    <row r="1191" spans="1:5" x14ac:dyDescent="0.5">
      <c r="A1191" s="7">
        <v>4114940</v>
      </c>
      <c r="B1191" s="8" t="s">
        <v>1107</v>
      </c>
      <c r="C1191" s="8">
        <v>438</v>
      </c>
      <c r="D1191" s="8" t="s">
        <v>1106</v>
      </c>
      <c r="E1191" s="8">
        <v>5114930</v>
      </c>
    </row>
    <row r="1192" spans="1:5" x14ac:dyDescent="0.5">
      <c r="A1192" s="7">
        <v>4213100</v>
      </c>
      <c r="B1192" s="8" t="s">
        <v>1057</v>
      </c>
      <c r="C1192" s="8">
        <v>285</v>
      </c>
      <c r="D1192" s="8" t="s">
        <v>1058</v>
      </c>
      <c r="E1192" s="8">
        <v>4113100</v>
      </c>
    </row>
    <row r="1193" spans="1:5" x14ac:dyDescent="0.5">
      <c r="A1193" s="7">
        <v>4213110</v>
      </c>
      <c r="B1193" s="8" t="s">
        <v>1062</v>
      </c>
      <c r="C1193" s="8">
        <v>285</v>
      </c>
      <c r="D1193" s="8" t="s">
        <v>1058</v>
      </c>
      <c r="E1193" s="8">
        <v>4113100</v>
      </c>
    </row>
    <row r="1194" spans="1:5" x14ac:dyDescent="0.5">
      <c r="A1194" s="7">
        <v>4213140</v>
      </c>
      <c r="B1194" s="8" t="s">
        <v>1059</v>
      </c>
      <c r="C1194" s="8">
        <v>286</v>
      </c>
      <c r="D1194" s="8" t="s">
        <v>1060</v>
      </c>
      <c r="E1194" s="8">
        <v>5113130</v>
      </c>
    </row>
    <row r="1195" spans="1:5" x14ac:dyDescent="0.5">
      <c r="A1195" s="7">
        <v>4213850</v>
      </c>
      <c r="B1195" s="8" t="s">
        <v>884</v>
      </c>
      <c r="C1195" s="8">
        <v>187</v>
      </c>
      <c r="D1195" s="8" t="s">
        <v>877</v>
      </c>
      <c r="E1195" s="8">
        <v>2010850</v>
      </c>
    </row>
    <row r="1196" spans="1:5" x14ac:dyDescent="0.5">
      <c r="A1196" s="7">
        <v>4213940</v>
      </c>
      <c r="B1196" s="8" t="s">
        <v>1065</v>
      </c>
      <c r="C1196" s="8">
        <v>359</v>
      </c>
      <c r="D1196" s="8" t="s">
        <v>1066</v>
      </c>
      <c r="E1196" s="8">
        <v>4113940</v>
      </c>
    </row>
    <row r="1197" spans="1:5" x14ac:dyDescent="0.5">
      <c r="A1197" s="7">
        <v>4213950</v>
      </c>
      <c r="B1197" s="8" t="s">
        <v>1088</v>
      </c>
      <c r="C1197" s="8">
        <v>360</v>
      </c>
      <c r="D1197" s="8" t="s">
        <v>1089</v>
      </c>
      <c r="E1197" s="8">
        <v>4113950</v>
      </c>
    </row>
    <row r="1198" spans="1:5" x14ac:dyDescent="0.5">
      <c r="A1198" s="7">
        <v>4214120</v>
      </c>
      <c r="B1198" s="8" t="s">
        <v>1067</v>
      </c>
      <c r="C1198" s="8">
        <v>370</v>
      </c>
      <c r="D1198" s="8" t="s">
        <v>1068</v>
      </c>
      <c r="E1198" s="8">
        <v>3914120</v>
      </c>
    </row>
    <row r="1199" spans="1:5" x14ac:dyDescent="0.5">
      <c r="A1199" s="7">
        <v>4214200</v>
      </c>
      <c r="B1199" s="8" t="s">
        <v>1069</v>
      </c>
      <c r="C1199" s="8">
        <v>377</v>
      </c>
      <c r="D1199" s="8" t="s">
        <v>963</v>
      </c>
      <c r="E1199" s="8">
        <v>4014200</v>
      </c>
    </row>
    <row r="1200" spans="1:5" x14ac:dyDescent="0.5">
      <c r="A1200" s="7">
        <v>4214210</v>
      </c>
      <c r="B1200" s="8" t="s">
        <v>962</v>
      </c>
      <c r="C1200" s="8">
        <v>377</v>
      </c>
      <c r="D1200" s="8" t="s">
        <v>963</v>
      </c>
      <c r="E1200" s="8">
        <v>4014200</v>
      </c>
    </row>
    <row r="1201" spans="1:5" x14ac:dyDescent="0.5">
      <c r="A1201" s="7">
        <v>4214690</v>
      </c>
      <c r="B1201" s="8" t="s">
        <v>964</v>
      </c>
      <c r="C1201" s="8">
        <v>409</v>
      </c>
      <c r="D1201" s="8" t="s">
        <v>965</v>
      </c>
      <c r="E1201" s="8">
        <v>3114690</v>
      </c>
    </row>
    <row r="1202" spans="1:5" x14ac:dyDescent="0.5">
      <c r="A1202" s="7">
        <v>4214710</v>
      </c>
      <c r="B1202" s="8" t="s">
        <v>987</v>
      </c>
      <c r="C1202" s="8">
        <v>414</v>
      </c>
      <c r="D1202" s="8" t="s">
        <v>1108</v>
      </c>
      <c r="E1202" s="8">
        <v>5414710</v>
      </c>
    </row>
    <row r="1203" spans="1:5" x14ac:dyDescent="0.5">
      <c r="A1203" s="7">
        <v>4214790</v>
      </c>
      <c r="B1203" s="8" t="s">
        <v>1099</v>
      </c>
      <c r="C1203" s="8">
        <v>426</v>
      </c>
      <c r="D1203" s="8" t="s">
        <v>1100</v>
      </c>
      <c r="E1203" s="8">
        <v>5214790</v>
      </c>
    </row>
    <row r="1204" spans="1:5" x14ac:dyDescent="0.5">
      <c r="A1204" s="7">
        <v>4214880</v>
      </c>
      <c r="B1204" s="8" t="s">
        <v>1061</v>
      </c>
      <c r="C1204" s="8">
        <v>377</v>
      </c>
      <c r="D1204" s="8" t="s">
        <v>963</v>
      </c>
      <c r="E1204" s="8">
        <v>4014200</v>
      </c>
    </row>
    <row r="1205" spans="1:5" x14ac:dyDescent="0.5">
      <c r="A1205" s="7">
        <v>4214930</v>
      </c>
      <c r="B1205" s="8" t="s">
        <v>1105</v>
      </c>
      <c r="C1205" s="8">
        <v>438</v>
      </c>
      <c r="D1205" s="8" t="s">
        <v>1106</v>
      </c>
      <c r="E1205" s="8">
        <v>5114930</v>
      </c>
    </row>
    <row r="1206" spans="1:5" x14ac:dyDescent="0.5">
      <c r="A1206" s="7">
        <v>4215170</v>
      </c>
      <c r="B1206" s="8" t="s">
        <v>1109</v>
      </c>
      <c r="C1206" s="8">
        <v>451</v>
      </c>
      <c r="D1206" s="8" t="s">
        <v>1110</v>
      </c>
      <c r="E1206" s="8">
        <v>4215170</v>
      </c>
    </row>
    <row r="1207" spans="1:5" x14ac:dyDescent="0.5">
      <c r="A1207" s="7">
        <v>4313040</v>
      </c>
      <c r="B1207" s="8" t="s">
        <v>967</v>
      </c>
      <c r="C1207" s="8">
        <v>280</v>
      </c>
      <c r="D1207" s="8" t="s">
        <v>968</v>
      </c>
      <c r="E1207" s="8">
        <v>4413040</v>
      </c>
    </row>
    <row r="1208" spans="1:5" x14ac:dyDescent="0.5">
      <c r="A1208" s="7">
        <v>4313080</v>
      </c>
      <c r="B1208" s="8" t="s">
        <v>969</v>
      </c>
      <c r="C1208" s="8">
        <v>283</v>
      </c>
      <c r="D1208" s="8" t="s">
        <v>970</v>
      </c>
      <c r="E1208" s="8">
        <v>3213080</v>
      </c>
    </row>
    <row r="1209" spans="1:5" x14ac:dyDescent="0.5">
      <c r="A1209" s="7">
        <v>4313100</v>
      </c>
      <c r="B1209" s="8" t="s">
        <v>1057</v>
      </c>
      <c r="C1209" s="8">
        <v>285</v>
      </c>
      <c r="D1209" s="8" t="s">
        <v>1058</v>
      </c>
      <c r="E1209" s="8">
        <v>4113100</v>
      </c>
    </row>
    <row r="1210" spans="1:5" x14ac:dyDescent="0.5">
      <c r="A1210" s="7">
        <v>4313110</v>
      </c>
      <c r="B1210" s="8" t="s">
        <v>1062</v>
      </c>
      <c r="C1210" s="8">
        <v>285</v>
      </c>
      <c r="D1210" s="8" t="s">
        <v>1058</v>
      </c>
      <c r="E1210" s="8">
        <v>4113100</v>
      </c>
    </row>
    <row r="1211" spans="1:5" x14ac:dyDescent="0.5">
      <c r="A1211" s="7">
        <v>4313140</v>
      </c>
      <c r="B1211" s="8" t="s">
        <v>1059</v>
      </c>
      <c r="C1211" s="8">
        <v>286</v>
      </c>
      <c r="D1211" s="8" t="s">
        <v>1060</v>
      </c>
      <c r="E1211" s="8">
        <v>5113130</v>
      </c>
    </row>
    <row r="1212" spans="1:5" x14ac:dyDescent="0.5">
      <c r="A1212" s="7">
        <v>4313340</v>
      </c>
      <c r="B1212" s="8" t="s">
        <v>973</v>
      </c>
      <c r="C1212" s="8">
        <v>304</v>
      </c>
      <c r="D1212" s="8" t="s">
        <v>974</v>
      </c>
      <c r="E1212" s="8">
        <v>4413340</v>
      </c>
    </row>
    <row r="1213" spans="1:5" x14ac:dyDescent="0.5">
      <c r="A1213" s="7">
        <v>4313950</v>
      </c>
      <c r="B1213" s="8" t="s">
        <v>1088</v>
      </c>
      <c r="C1213" s="8">
        <v>360</v>
      </c>
      <c r="D1213" s="8" t="s">
        <v>1089</v>
      </c>
      <c r="E1213" s="8">
        <v>4113950</v>
      </c>
    </row>
    <row r="1214" spans="1:5" x14ac:dyDescent="0.5">
      <c r="A1214" s="7">
        <v>4314010</v>
      </c>
      <c r="B1214" s="8" t="s">
        <v>1111</v>
      </c>
      <c r="C1214" s="8">
        <v>363</v>
      </c>
      <c r="D1214" s="8" t="s">
        <v>1112</v>
      </c>
      <c r="E1214" s="8">
        <v>4414010</v>
      </c>
    </row>
    <row r="1215" spans="1:5" x14ac:dyDescent="0.5">
      <c r="A1215" s="7">
        <v>4314120</v>
      </c>
      <c r="B1215" s="8" t="s">
        <v>1067</v>
      </c>
      <c r="C1215" s="8">
        <v>370</v>
      </c>
      <c r="D1215" s="8" t="s">
        <v>1068</v>
      </c>
      <c r="E1215" s="8">
        <v>3914120</v>
      </c>
    </row>
    <row r="1216" spans="1:5" x14ac:dyDescent="0.5">
      <c r="A1216" s="7">
        <v>4314210</v>
      </c>
      <c r="B1216" s="8" t="s">
        <v>962</v>
      </c>
      <c r="C1216" s="8">
        <v>377</v>
      </c>
      <c r="D1216" s="8" t="s">
        <v>963</v>
      </c>
      <c r="E1216" s="8">
        <v>4014200</v>
      </c>
    </row>
    <row r="1217" spans="1:5" x14ac:dyDescent="0.5">
      <c r="A1217" s="7">
        <v>4314230</v>
      </c>
      <c r="B1217" s="8" t="s">
        <v>985</v>
      </c>
      <c r="C1217" s="8">
        <v>379</v>
      </c>
      <c r="D1217" s="8" t="s">
        <v>986</v>
      </c>
      <c r="E1217" s="8">
        <v>3214230</v>
      </c>
    </row>
    <row r="1218" spans="1:5" x14ac:dyDescent="0.5">
      <c r="A1218" s="7">
        <v>4314690</v>
      </c>
      <c r="B1218" s="8" t="s">
        <v>964</v>
      </c>
      <c r="C1218" s="8">
        <v>409</v>
      </c>
      <c r="D1218" s="8" t="s">
        <v>965</v>
      </c>
      <c r="E1218" s="8">
        <v>3114690</v>
      </c>
    </row>
    <row r="1219" spans="1:5" x14ac:dyDescent="0.5">
      <c r="A1219" s="7">
        <v>4314710</v>
      </c>
      <c r="B1219" s="8" t="s">
        <v>987</v>
      </c>
      <c r="C1219" s="8">
        <v>414</v>
      </c>
      <c r="D1219" s="8" t="s">
        <v>1108</v>
      </c>
      <c r="E1219" s="8">
        <v>5414710</v>
      </c>
    </row>
    <row r="1220" spans="1:5" x14ac:dyDescent="0.5">
      <c r="A1220" s="7">
        <v>4314880</v>
      </c>
      <c r="B1220" s="8" t="s">
        <v>1061</v>
      </c>
      <c r="C1220" s="8">
        <v>377</v>
      </c>
      <c r="D1220" s="8" t="s">
        <v>963</v>
      </c>
      <c r="E1220" s="8">
        <v>4014200</v>
      </c>
    </row>
    <row r="1221" spans="1:5" x14ac:dyDescent="0.5">
      <c r="A1221" s="7">
        <v>4315180</v>
      </c>
      <c r="B1221" s="8" t="s">
        <v>1113</v>
      </c>
      <c r="C1221" s="8">
        <v>452</v>
      </c>
      <c r="D1221" s="8" t="s">
        <v>1114</v>
      </c>
      <c r="E1221" s="8">
        <v>6215180</v>
      </c>
    </row>
    <row r="1222" spans="1:5" x14ac:dyDescent="0.5">
      <c r="A1222" s="7">
        <v>4413040</v>
      </c>
      <c r="B1222" s="8" t="s">
        <v>967</v>
      </c>
      <c r="C1222" s="8">
        <v>280</v>
      </c>
      <c r="D1222" s="8" t="s">
        <v>968</v>
      </c>
      <c r="E1222" s="8">
        <v>4413040</v>
      </c>
    </row>
    <row r="1223" spans="1:5" x14ac:dyDescent="0.5">
      <c r="A1223" s="7">
        <v>4413080</v>
      </c>
      <c r="B1223" s="8" t="s">
        <v>969</v>
      </c>
      <c r="C1223" s="8">
        <v>283</v>
      </c>
      <c r="D1223" s="8" t="s">
        <v>970</v>
      </c>
      <c r="E1223" s="8">
        <v>3213080</v>
      </c>
    </row>
    <row r="1224" spans="1:5" x14ac:dyDescent="0.5">
      <c r="A1224" s="7">
        <v>4413100</v>
      </c>
      <c r="B1224" s="8" t="s">
        <v>1057</v>
      </c>
      <c r="C1224" s="8">
        <v>285</v>
      </c>
      <c r="D1224" s="8" t="s">
        <v>1058</v>
      </c>
      <c r="E1224" s="8">
        <v>4113100</v>
      </c>
    </row>
    <row r="1225" spans="1:5" x14ac:dyDescent="0.5">
      <c r="A1225" s="7">
        <v>4413110</v>
      </c>
      <c r="B1225" s="8" t="s">
        <v>1062</v>
      </c>
      <c r="C1225" s="8">
        <v>285</v>
      </c>
      <c r="D1225" s="8" t="s">
        <v>1058</v>
      </c>
      <c r="E1225" s="8">
        <v>4113100</v>
      </c>
    </row>
    <row r="1226" spans="1:5" x14ac:dyDescent="0.5">
      <c r="A1226" s="7">
        <v>4413120</v>
      </c>
      <c r="B1226" s="8" t="s">
        <v>1115</v>
      </c>
      <c r="C1226" s="8">
        <v>330</v>
      </c>
      <c r="D1226" s="8" t="s">
        <v>976</v>
      </c>
      <c r="E1226" s="8">
        <v>4413640</v>
      </c>
    </row>
    <row r="1227" spans="1:5" x14ac:dyDescent="0.5">
      <c r="A1227" s="7">
        <v>4413140</v>
      </c>
      <c r="B1227" s="8" t="s">
        <v>1059</v>
      </c>
      <c r="C1227" s="8">
        <v>286</v>
      </c>
      <c r="D1227" s="8" t="s">
        <v>1060</v>
      </c>
      <c r="E1227" s="8">
        <v>5113130</v>
      </c>
    </row>
    <row r="1228" spans="1:5" x14ac:dyDescent="0.5">
      <c r="A1228" s="7">
        <v>4413230</v>
      </c>
      <c r="B1228" s="8" t="s">
        <v>971</v>
      </c>
      <c r="C1228" s="8">
        <v>295</v>
      </c>
      <c r="D1228" s="8" t="s">
        <v>972</v>
      </c>
      <c r="E1228" s="8">
        <v>3713230</v>
      </c>
    </row>
    <row r="1229" spans="1:5" x14ac:dyDescent="0.5">
      <c r="A1229" s="7">
        <v>4413340</v>
      </c>
      <c r="B1229" s="8" t="s">
        <v>973</v>
      </c>
      <c r="C1229" s="8">
        <v>304</v>
      </c>
      <c r="D1229" s="8" t="s">
        <v>974</v>
      </c>
      <c r="E1229" s="8">
        <v>4413340</v>
      </c>
    </row>
    <row r="1230" spans="1:5" x14ac:dyDescent="0.5">
      <c r="A1230" s="7">
        <v>4413640</v>
      </c>
      <c r="B1230" s="8" t="s">
        <v>975</v>
      </c>
      <c r="C1230" s="8">
        <v>330</v>
      </c>
      <c r="D1230" s="8" t="s">
        <v>976</v>
      </c>
      <c r="E1230" s="8">
        <v>4413640</v>
      </c>
    </row>
    <row r="1231" spans="1:5" x14ac:dyDescent="0.5">
      <c r="A1231" s="7">
        <v>4413670</v>
      </c>
      <c r="B1231" s="8" t="s">
        <v>977</v>
      </c>
      <c r="C1231" s="8">
        <v>335</v>
      </c>
      <c r="D1231" s="8" t="s">
        <v>978</v>
      </c>
      <c r="E1231" s="8">
        <v>4413670</v>
      </c>
    </row>
    <row r="1232" spans="1:5" x14ac:dyDescent="0.5">
      <c r="A1232" s="7">
        <v>4413710</v>
      </c>
      <c r="B1232" s="8" t="s">
        <v>979</v>
      </c>
      <c r="C1232" s="8">
        <v>339</v>
      </c>
      <c r="D1232" s="8" t="s">
        <v>980</v>
      </c>
      <c r="E1232" s="8">
        <v>3713710</v>
      </c>
    </row>
    <row r="1233" spans="1:5" x14ac:dyDescent="0.5">
      <c r="A1233" s="7">
        <v>4413780</v>
      </c>
      <c r="B1233" s="8" t="s">
        <v>1045</v>
      </c>
      <c r="C1233" s="8">
        <v>346</v>
      </c>
      <c r="D1233" s="8" t="s">
        <v>1046</v>
      </c>
      <c r="E1233" s="8">
        <v>4413780</v>
      </c>
    </row>
    <row r="1234" spans="1:5" x14ac:dyDescent="0.5">
      <c r="A1234" s="7">
        <v>4413940</v>
      </c>
      <c r="B1234" s="8" t="s">
        <v>1065</v>
      </c>
      <c r="C1234" s="8">
        <v>359</v>
      </c>
      <c r="D1234" s="8" t="s">
        <v>1066</v>
      </c>
      <c r="E1234" s="8">
        <v>4113940</v>
      </c>
    </row>
    <row r="1235" spans="1:5" x14ac:dyDescent="0.5">
      <c r="A1235" s="7">
        <v>4414010</v>
      </c>
      <c r="B1235" s="8" t="s">
        <v>1111</v>
      </c>
      <c r="C1235" s="8">
        <v>363</v>
      </c>
      <c r="D1235" s="8" t="s">
        <v>1112</v>
      </c>
      <c r="E1235" s="8">
        <v>4414010</v>
      </c>
    </row>
    <row r="1236" spans="1:5" x14ac:dyDescent="0.5">
      <c r="A1236" s="7">
        <v>4414151</v>
      </c>
      <c r="B1236" s="8" t="s">
        <v>1116</v>
      </c>
      <c r="C1236" s="8">
        <v>373</v>
      </c>
      <c r="D1236" s="8" t="s">
        <v>1117</v>
      </c>
      <c r="E1236" s="8">
        <v>4414151</v>
      </c>
    </row>
    <row r="1237" spans="1:5" x14ac:dyDescent="0.5">
      <c r="A1237" s="7">
        <v>4414152</v>
      </c>
      <c r="B1237" s="8" t="s">
        <v>1118</v>
      </c>
      <c r="C1237" s="8">
        <v>374</v>
      </c>
      <c r="D1237" s="8" t="s">
        <v>1119</v>
      </c>
      <c r="E1237" s="8">
        <v>4414152</v>
      </c>
    </row>
    <row r="1238" spans="1:5" x14ac:dyDescent="0.5">
      <c r="A1238" s="7">
        <v>4414210</v>
      </c>
      <c r="B1238" s="8" t="s">
        <v>962</v>
      </c>
      <c r="C1238" s="8">
        <v>377</v>
      </c>
      <c r="D1238" s="8" t="s">
        <v>963</v>
      </c>
      <c r="E1238" s="8">
        <v>4014200</v>
      </c>
    </row>
    <row r="1239" spans="1:5" x14ac:dyDescent="0.5">
      <c r="A1239" s="7">
        <v>4414230</v>
      </c>
      <c r="B1239" s="8" t="s">
        <v>985</v>
      </c>
      <c r="C1239" s="8">
        <v>379</v>
      </c>
      <c r="D1239" s="8" t="s">
        <v>986</v>
      </c>
      <c r="E1239" s="8">
        <v>3214230</v>
      </c>
    </row>
    <row r="1240" spans="1:5" x14ac:dyDescent="0.5">
      <c r="A1240" s="7">
        <v>4414280</v>
      </c>
      <c r="B1240" s="8" t="s">
        <v>1047</v>
      </c>
      <c r="C1240" s="8">
        <v>382</v>
      </c>
      <c r="D1240" s="8" t="s">
        <v>1048</v>
      </c>
      <c r="E1240" s="8">
        <v>4414280</v>
      </c>
    </row>
    <row r="1241" spans="1:5" x14ac:dyDescent="0.5">
      <c r="A1241" s="7">
        <v>4414580</v>
      </c>
      <c r="B1241" s="8" t="s">
        <v>1053</v>
      </c>
      <c r="C1241" s="8">
        <v>402</v>
      </c>
      <c r="D1241" s="8" t="s">
        <v>1054</v>
      </c>
      <c r="E1241" s="8">
        <v>3714580</v>
      </c>
    </row>
    <row r="1242" spans="1:5" x14ac:dyDescent="0.5">
      <c r="A1242" s="7">
        <v>4414711</v>
      </c>
      <c r="B1242" s="8" t="s">
        <v>987</v>
      </c>
      <c r="C1242" s="8">
        <v>414</v>
      </c>
      <c r="D1242" s="8" t="s">
        <v>1108</v>
      </c>
      <c r="E1242" s="8">
        <v>5414710</v>
      </c>
    </row>
    <row r="1243" spans="1:5" x14ac:dyDescent="0.5">
      <c r="A1243" s="7">
        <v>4414712</v>
      </c>
      <c r="B1243" s="8" t="s">
        <v>1120</v>
      </c>
      <c r="C1243" s="8">
        <v>413</v>
      </c>
      <c r="D1243" s="8" t="s">
        <v>1121</v>
      </c>
      <c r="E1243" s="8">
        <v>4414712</v>
      </c>
    </row>
    <row r="1244" spans="1:5" x14ac:dyDescent="0.5">
      <c r="A1244" s="7">
        <v>4414720</v>
      </c>
      <c r="B1244" s="8" t="s">
        <v>989</v>
      </c>
      <c r="C1244" s="8">
        <v>416</v>
      </c>
      <c r="D1244" s="8" t="s">
        <v>1122</v>
      </c>
      <c r="E1244" s="8">
        <v>6014720</v>
      </c>
    </row>
    <row r="1245" spans="1:5" x14ac:dyDescent="0.5">
      <c r="A1245" s="7">
        <v>4414730</v>
      </c>
      <c r="B1245" s="8" t="s">
        <v>991</v>
      </c>
      <c r="C1245" s="8">
        <v>417</v>
      </c>
      <c r="D1245" s="8" t="s">
        <v>992</v>
      </c>
      <c r="E1245" s="8">
        <v>3614730</v>
      </c>
    </row>
    <row r="1246" spans="1:5" x14ac:dyDescent="0.5">
      <c r="A1246" s="7">
        <v>4414740</v>
      </c>
      <c r="B1246" s="8" t="s">
        <v>993</v>
      </c>
      <c r="C1246" s="8">
        <v>420</v>
      </c>
      <c r="D1246" s="8" t="s">
        <v>994</v>
      </c>
      <c r="E1246" s="8">
        <v>4414740</v>
      </c>
    </row>
    <row r="1247" spans="1:5" x14ac:dyDescent="0.5">
      <c r="A1247" s="7">
        <v>4414800</v>
      </c>
      <c r="B1247" s="8" t="s">
        <v>1037</v>
      </c>
      <c r="C1247" s="8">
        <v>427</v>
      </c>
      <c r="D1247" s="8" t="s">
        <v>1038</v>
      </c>
      <c r="E1247" s="8">
        <v>5514800</v>
      </c>
    </row>
    <row r="1248" spans="1:5" x14ac:dyDescent="0.5">
      <c r="A1248" s="7">
        <v>4414930</v>
      </c>
      <c r="B1248" s="8" t="s">
        <v>1105</v>
      </c>
      <c r="C1248" s="8">
        <v>438</v>
      </c>
      <c r="D1248" s="8" t="s">
        <v>1106</v>
      </c>
      <c r="E1248" s="8">
        <v>5114930</v>
      </c>
    </row>
    <row r="1249" spans="1:5" x14ac:dyDescent="0.5">
      <c r="A1249" s="7">
        <v>4415060</v>
      </c>
      <c r="B1249" s="8" t="s">
        <v>1055</v>
      </c>
      <c r="C1249" s="8">
        <v>450</v>
      </c>
      <c r="D1249" s="8" t="s">
        <v>1056</v>
      </c>
      <c r="E1249" s="8">
        <v>4515130</v>
      </c>
    </row>
    <row r="1250" spans="1:5" x14ac:dyDescent="0.5">
      <c r="A1250" s="7">
        <v>4415070</v>
      </c>
      <c r="B1250" s="8" t="s">
        <v>1123</v>
      </c>
      <c r="C1250" s="8">
        <v>449</v>
      </c>
      <c r="D1250" s="8" t="s">
        <v>1124</v>
      </c>
      <c r="E1250" s="8">
        <v>4415070</v>
      </c>
    </row>
    <row r="1251" spans="1:5" x14ac:dyDescent="0.5">
      <c r="A1251" s="7">
        <v>4513220</v>
      </c>
      <c r="B1251" s="8" t="s">
        <v>1125</v>
      </c>
      <c r="C1251" s="8">
        <v>294</v>
      </c>
      <c r="D1251" s="8" t="s">
        <v>1126</v>
      </c>
      <c r="E1251" s="8">
        <v>4513220</v>
      </c>
    </row>
    <row r="1252" spans="1:5" x14ac:dyDescent="0.5">
      <c r="A1252" s="7">
        <v>4513230</v>
      </c>
      <c r="B1252" s="8" t="s">
        <v>971</v>
      </c>
      <c r="C1252" s="8">
        <v>295</v>
      </c>
      <c r="D1252" s="8" t="s">
        <v>972</v>
      </c>
      <c r="E1252" s="8">
        <v>3713230</v>
      </c>
    </row>
    <row r="1253" spans="1:5" x14ac:dyDescent="0.5">
      <c r="A1253" s="7">
        <v>4513270</v>
      </c>
      <c r="B1253" s="8" t="s">
        <v>1127</v>
      </c>
      <c r="C1253" s="8">
        <v>299</v>
      </c>
      <c r="D1253" s="8" t="s">
        <v>1128</v>
      </c>
      <c r="E1253" s="8">
        <v>4513270</v>
      </c>
    </row>
    <row r="1254" spans="1:5" x14ac:dyDescent="0.5">
      <c r="A1254" s="7">
        <v>4513290</v>
      </c>
      <c r="B1254" s="8" t="s">
        <v>1129</v>
      </c>
      <c r="C1254" s="8">
        <v>300</v>
      </c>
      <c r="D1254" s="8" t="s">
        <v>1130</v>
      </c>
      <c r="E1254" s="8">
        <v>4513290</v>
      </c>
    </row>
    <row r="1255" spans="1:5" x14ac:dyDescent="0.5">
      <c r="A1255" s="7">
        <v>4513480</v>
      </c>
      <c r="B1255" s="8" t="s">
        <v>1043</v>
      </c>
      <c r="C1255" s="8">
        <v>316</v>
      </c>
      <c r="D1255" s="8" t="s">
        <v>1044</v>
      </c>
      <c r="E1255" s="8">
        <v>3713480</v>
      </c>
    </row>
    <row r="1256" spans="1:5" x14ac:dyDescent="0.5">
      <c r="A1256" s="7">
        <v>4513710</v>
      </c>
      <c r="B1256" s="8" t="s">
        <v>979</v>
      </c>
      <c r="C1256" s="8">
        <v>339</v>
      </c>
      <c r="D1256" s="8" t="s">
        <v>980</v>
      </c>
      <c r="E1256" s="8">
        <v>3713710</v>
      </c>
    </row>
    <row r="1257" spans="1:5" x14ac:dyDescent="0.5">
      <c r="A1257" s="7">
        <v>4513810</v>
      </c>
      <c r="B1257" s="8" t="s">
        <v>1131</v>
      </c>
      <c r="C1257" s="8">
        <v>350</v>
      </c>
      <c r="D1257" s="8" t="s">
        <v>1132</v>
      </c>
      <c r="E1257" s="8">
        <v>4513810</v>
      </c>
    </row>
    <row r="1258" spans="1:5" x14ac:dyDescent="0.5">
      <c r="A1258" s="7">
        <v>4514290</v>
      </c>
      <c r="B1258" s="8" t="s">
        <v>1049</v>
      </c>
      <c r="C1258" s="8">
        <v>383</v>
      </c>
      <c r="D1258" s="8" t="s">
        <v>1050</v>
      </c>
      <c r="E1258" s="8">
        <v>3714290</v>
      </c>
    </row>
    <row r="1259" spans="1:5" x14ac:dyDescent="0.5">
      <c r="A1259" s="7">
        <v>4514320</v>
      </c>
      <c r="B1259" s="8" t="s">
        <v>1133</v>
      </c>
      <c r="C1259" s="8">
        <v>385</v>
      </c>
      <c r="D1259" s="8" t="s">
        <v>1134</v>
      </c>
      <c r="E1259" s="8">
        <v>4514320</v>
      </c>
    </row>
    <row r="1260" spans="1:5" x14ac:dyDescent="0.5">
      <c r="A1260" s="7">
        <v>4514580</v>
      </c>
      <c r="B1260" s="8" t="s">
        <v>1053</v>
      </c>
      <c r="C1260" s="8">
        <v>402</v>
      </c>
      <c r="D1260" s="8" t="s">
        <v>1054</v>
      </c>
      <c r="E1260" s="8">
        <v>3714580</v>
      </c>
    </row>
    <row r="1261" spans="1:5" x14ac:dyDescent="0.5">
      <c r="A1261" s="7">
        <v>4514730</v>
      </c>
      <c r="B1261" s="8" t="s">
        <v>991</v>
      </c>
      <c r="C1261" s="8">
        <v>418</v>
      </c>
      <c r="D1261" s="8" t="s">
        <v>1135</v>
      </c>
      <c r="E1261" s="8">
        <v>4514730</v>
      </c>
    </row>
    <row r="1262" spans="1:5" x14ac:dyDescent="0.5">
      <c r="A1262" s="7">
        <v>4514740</v>
      </c>
      <c r="B1262" s="8" t="s">
        <v>993</v>
      </c>
      <c r="C1262" s="8">
        <v>420</v>
      </c>
      <c r="D1262" s="8" t="s">
        <v>994</v>
      </c>
      <c r="E1262" s="8">
        <v>4414740</v>
      </c>
    </row>
    <row r="1263" spans="1:5" x14ac:dyDescent="0.5">
      <c r="A1263" s="7">
        <v>4514800</v>
      </c>
      <c r="B1263" s="8" t="s">
        <v>1037</v>
      </c>
      <c r="C1263" s="8">
        <v>427</v>
      </c>
      <c r="D1263" s="8" t="s">
        <v>1038</v>
      </c>
      <c r="E1263" s="8">
        <v>5514800</v>
      </c>
    </row>
    <row r="1264" spans="1:5" x14ac:dyDescent="0.5">
      <c r="A1264" s="7">
        <v>4515090</v>
      </c>
      <c r="B1264" s="8" t="s">
        <v>1136</v>
      </c>
      <c r="C1264" s="8">
        <v>294</v>
      </c>
      <c r="D1264" s="8" t="s">
        <v>1126</v>
      </c>
      <c r="E1264" s="8">
        <v>4513220</v>
      </c>
    </row>
    <row r="1265" spans="1:5" x14ac:dyDescent="0.5">
      <c r="A1265" s="7">
        <v>4515100</v>
      </c>
      <c r="B1265" s="8" t="s">
        <v>1137</v>
      </c>
      <c r="C1265" s="8">
        <v>449</v>
      </c>
      <c r="D1265" s="8" t="s">
        <v>1124</v>
      </c>
      <c r="E1265" s="8">
        <v>4415070</v>
      </c>
    </row>
    <row r="1266" spans="1:5" x14ac:dyDescent="0.5">
      <c r="A1266" s="7">
        <v>4515130</v>
      </c>
      <c r="B1266" s="8" t="s">
        <v>1138</v>
      </c>
      <c r="C1266" s="8">
        <v>450</v>
      </c>
      <c r="D1266" s="8" t="s">
        <v>1056</v>
      </c>
      <c r="E1266" s="8">
        <v>4515130</v>
      </c>
    </row>
    <row r="1267" spans="1:5" x14ac:dyDescent="0.5">
      <c r="A1267" s="7">
        <v>4613070</v>
      </c>
      <c r="B1267" s="8" t="s">
        <v>1139</v>
      </c>
      <c r="C1267" s="8">
        <v>282</v>
      </c>
      <c r="D1267" s="8" t="s">
        <v>1140</v>
      </c>
      <c r="E1267" s="8">
        <v>4713070</v>
      </c>
    </row>
    <row r="1268" spans="1:5" x14ac:dyDescent="0.5">
      <c r="A1268" s="7">
        <v>4613250</v>
      </c>
      <c r="B1268" s="8" t="s">
        <v>1141</v>
      </c>
      <c r="C1268" s="8">
        <v>323</v>
      </c>
      <c r="D1268" s="8" t="s">
        <v>1142</v>
      </c>
      <c r="E1268" s="8">
        <v>5513570</v>
      </c>
    </row>
    <row r="1269" spans="1:5" x14ac:dyDescent="0.5">
      <c r="A1269" s="7">
        <v>4613270</v>
      </c>
      <c r="B1269" s="8" t="s">
        <v>1127</v>
      </c>
      <c r="C1269" s="8">
        <v>299</v>
      </c>
      <c r="D1269" s="8" t="s">
        <v>1128</v>
      </c>
      <c r="E1269" s="8">
        <v>4513270</v>
      </c>
    </row>
    <row r="1270" spans="1:5" x14ac:dyDescent="0.5">
      <c r="A1270" s="7">
        <v>4613280</v>
      </c>
      <c r="B1270" s="8" t="s">
        <v>1143</v>
      </c>
      <c r="C1270" s="8">
        <v>301</v>
      </c>
      <c r="D1270" s="8" t="s">
        <v>1144</v>
      </c>
      <c r="E1270" s="8">
        <v>4613300</v>
      </c>
    </row>
    <row r="1271" spans="1:5" x14ac:dyDescent="0.5">
      <c r="A1271" s="7">
        <v>4613290</v>
      </c>
      <c r="B1271" s="8" t="s">
        <v>1129</v>
      </c>
      <c r="C1271" s="8">
        <v>300</v>
      </c>
      <c r="D1271" s="8" t="s">
        <v>1130</v>
      </c>
      <c r="E1271" s="8">
        <v>4513290</v>
      </c>
    </row>
    <row r="1272" spans="1:5" x14ac:dyDescent="0.5">
      <c r="A1272" s="7">
        <v>4613300</v>
      </c>
      <c r="B1272" s="8" t="s">
        <v>1145</v>
      </c>
      <c r="C1272" s="8">
        <v>301</v>
      </c>
      <c r="D1272" s="8" t="s">
        <v>1144</v>
      </c>
      <c r="E1272" s="8">
        <v>4613300</v>
      </c>
    </row>
    <row r="1273" spans="1:5" x14ac:dyDescent="0.5">
      <c r="A1273" s="7">
        <v>4613490</v>
      </c>
      <c r="B1273" s="8" t="s">
        <v>1146</v>
      </c>
      <c r="C1273" s="8">
        <v>315</v>
      </c>
      <c r="D1273" s="8" t="s">
        <v>1147</v>
      </c>
      <c r="E1273" s="8">
        <v>5513470</v>
      </c>
    </row>
    <row r="1274" spans="1:5" x14ac:dyDescent="0.5">
      <c r="A1274" s="7">
        <v>4613530</v>
      </c>
      <c r="B1274" s="8" t="s">
        <v>1148</v>
      </c>
      <c r="C1274" s="8">
        <v>320</v>
      </c>
      <c r="D1274" s="8" t="s">
        <v>1149</v>
      </c>
      <c r="E1274" s="8">
        <v>5713530</v>
      </c>
    </row>
    <row r="1275" spans="1:5" x14ac:dyDescent="0.5">
      <c r="A1275" s="7">
        <v>4613570</v>
      </c>
      <c r="B1275" s="8" t="s">
        <v>1150</v>
      </c>
      <c r="C1275" s="8">
        <v>323</v>
      </c>
      <c r="D1275" s="8" t="s">
        <v>1142</v>
      </c>
      <c r="E1275" s="8">
        <v>5513570</v>
      </c>
    </row>
    <row r="1276" spans="1:5" x14ac:dyDescent="0.5">
      <c r="A1276" s="7">
        <v>4613680</v>
      </c>
      <c r="B1276" s="8" t="s">
        <v>1151</v>
      </c>
      <c r="C1276" s="8">
        <v>336</v>
      </c>
      <c r="D1276" s="8" t="s">
        <v>1152</v>
      </c>
      <c r="E1276" s="8">
        <v>5413680</v>
      </c>
    </row>
    <row r="1277" spans="1:5" x14ac:dyDescent="0.5">
      <c r="A1277" s="7">
        <v>4613720</v>
      </c>
      <c r="B1277" s="8" t="s">
        <v>1153</v>
      </c>
      <c r="C1277" s="8">
        <v>340</v>
      </c>
      <c r="D1277" s="8" t="s">
        <v>1154</v>
      </c>
      <c r="E1277" s="8">
        <v>4613720</v>
      </c>
    </row>
    <row r="1278" spans="1:5" x14ac:dyDescent="0.5">
      <c r="A1278" s="7">
        <v>4614300</v>
      </c>
      <c r="B1278" s="8" t="s">
        <v>1155</v>
      </c>
      <c r="C1278" s="8">
        <v>384</v>
      </c>
      <c r="D1278" s="8" t="s">
        <v>1156</v>
      </c>
      <c r="E1278" s="8">
        <v>4614300</v>
      </c>
    </row>
    <row r="1279" spans="1:5" x14ac:dyDescent="0.5">
      <c r="A1279" s="7">
        <v>4614550</v>
      </c>
      <c r="B1279" s="8" t="s">
        <v>1157</v>
      </c>
      <c r="C1279" s="8">
        <v>399</v>
      </c>
      <c r="D1279" s="8" t="s">
        <v>1158</v>
      </c>
      <c r="E1279" s="8">
        <v>4614550</v>
      </c>
    </row>
    <row r="1280" spans="1:5" x14ac:dyDescent="0.5">
      <c r="A1280" s="7">
        <v>4614610</v>
      </c>
      <c r="B1280" s="8" t="s">
        <v>1159</v>
      </c>
      <c r="C1280" s="8">
        <v>404</v>
      </c>
      <c r="D1280" s="8" t="s">
        <v>1160</v>
      </c>
      <c r="E1280" s="8">
        <v>5514610</v>
      </c>
    </row>
    <row r="1281" spans="1:5" x14ac:dyDescent="0.5">
      <c r="A1281" s="7">
        <v>4614680</v>
      </c>
      <c r="B1281" s="8" t="s">
        <v>1161</v>
      </c>
      <c r="C1281" s="8">
        <v>408</v>
      </c>
      <c r="D1281" s="8" t="s">
        <v>1162</v>
      </c>
      <c r="E1281" s="8">
        <v>5814680</v>
      </c>
    </row>
    <row r="1282" spans="1:5" x14ac:dyDescent="0.5">
      <c r="A1282" s="7">
        <v>4614720</v>
      </c>
      <c r="B1282" s="8" t="s">
        <v>989</v>
      </c>
      <c r="C1282" s="8">
        <v>416</v>
      </c>
      <c r="D1282" s="8" t="s">
        <v>1122</v>
      </c>
      <c r="E1282" s="8">
        <v>6014720</v>
      </c>
    </row>
    <row r="1283" spans="1:5" x14ac:dyDescent="0.5">
      <c r="A1283" s="7">
        <v>4614730</v>
      </c>
      <c r="B1283" s="8" t="s">
        <v>991</v>
      </c>
      <c r="C1283" s="8">
        <v>418</v>
      </c>
      <c r="D1283" s="8" t="s">
        <v>1135</v>
      </c>
      <c r="E1283" s="8">
        <v>4514730</v>
      </c>
    </row>
    <row r="1284" spans="1:5" x14ac:dyDescent="0.5">
      <c r="A1284" s="7">
        <v>4614740</v>
      </c>
      <c r="B1284" s="8" t="s">
        <v>993</v>
      </c>
      <c r="C1284" s="8">
        <v>421</v>
      </c>
      <c r="D1284" s="8" t="s">
        <v>1163</v>
      </c>
      <c r="E1284" s="8">
        <v>4614740</v>
      </c>
    </row>
    <row r="1285" spans="1:5" x14ac:dyDescent="0.5">
      <c r="A1285" s="7">
        <v>4614800</v>
      </c>
      <c r="B1285" s="8" t="s">
        <v>1037</v>
      </c>
      <c r="C1285" s="8">
        <v>427</v>
      </c>
      <c r="D1285" s="8" t="s">
        <v>1038</v>
      </c>
      <c r="E1285" s="8">
        <v>5514800</v>
      </c>
    </row>
    <row r="1286" spans="1:5" x14ac:dyDescent="0.5">
      <c r="A1286" s="7">
        <v>4713050</v>
      </c>
      <c r="B1286" s="8" t="s">
        <v>1164</v>
      </c>
      <c r="C1286" s="8">
        <v>281</v>
      </c>
      <c r="D1286" s="8" t="s">
        <v>1165</v>
      </c>
      <c r="E1286" s="8">
        <v>5313050</v>
      </c>
    </row>
    <row r="1287" spans="1:5" x14ac:dyDescent="0.5">
      <c r="A1287" s="7">
        <v>4713060</v>
      </c>
      <c r="B1287" s="8" t="s">
        <v>1166</v>
      </c>
      <c r="C1287" s="8">
        <v>282</v>
      </c>
      <c r="D1287" s="8" t="s">
        <v>1140</v>
      </c>
      <c r="E1287" s="8">
        <v>4713070</v>
      </c>
    </row>
    <row r="1288" spans="1:5" x14ac:dyDescent="0.5">
      <c r="A1288" s="7">
        <v>4713070</v>
      </c>
      <c r="B1288" s="8" t="s">
        <v>1139</v>
      </c>
      <c r="C1288" s="8">
        <v>282</v>
      </c>
      <c r="D1288" s="8" t="s">
        <v>1140</v>
      </c>
      <c r="E1288" s="8">
        <v>4713070</v>
      </c>
    </row>
    <row r="1289" spans="1:5" x14ac:dyDescent="0.5">
      <c r="A1289" s="7">
        <v>4713100</v>
      </c>
      <c r="B1289" s="8" t="s">
        <v>1057</v>
      </c>
      <c r="C1289" s="8">
        <v>285</v>
      </c>
      <c r="D1289" s="8" t="s">
        <v>1058</v>
      </c>
      <c r="E1289" s="8">
        <v>4113100</v>
      </c>
    </row>
    <row r="1290" spans="1:5" x14ac:dyDescent="0.5">
      <c r="A1290" s="7">
        <v>4713130</v>
      </c>
      <c r="B1290" s="8" t="s">
        <v>1167</v>
      </c>
      <c r="C1290" s="8">
        <v>286</v>
      </c>
      <c r="D1290" s="8" t="s">
        <v>1060</v>
      </c>
      <c r="E1290" s="8">
        <v>5113130</v>
      </c>
    </row>
    <row r="1291" spans="1:5" x14ac:dyDescent="0.5">
      <c r="A1291" s="7">
        <v>4713210</v>
      </c>
      <c r="B1291" s="8" t="s">
        <v>1168</v>
      </c>
      <c r="C1291" s="8">
        <v>293</v>
      </c>
      <c r="D1291" s="8" t="s">
        <v>1169</v>
      </c>
      <c r="E1291" s="8">
        <v>5713210</v>
      </c>
    </row>
    <row r="1292" spans="1:5" x14ac:dyDescent="0.5">
      <c r="A1292" s="7">
        <v>4713250</v>
      </c>
      <c r="B1292" s="8" t="s">
        <v>1141</v>
      </c>
      <c r="C1292" s="8">
        <v>323</v>
      </c>
      <c r="D1292" s="8" t="s">
        <v>1142</v>
      </c>
      <c r="E1292" s="8">
        <v>5513570</v>
      </c>
    </row>
    <row r="1293" spans="1:5" x14ac:dyDescent="0.5">
      <c r="A1293" s="7">
        <v>4713260</v>
      </c>
      <c r="B1293" s="8" t="s">
        <v>1170</v>
      </c>
      <c r="C1293" s="8">
        <v>297</v>
      </c>
      <c r="D1293" s="8" t="s">
        <v>1171</v>
      </c>
      <c r="E1293" s="8">
        <v>4613260</v>
      </c>
    </row>
    <row r="1294" spans="1:5" x14ac:dyDescent="0.5">
      <c r="A1294" s="7">
        <v>4713270</v>
      </c>
      <c r="B1294" s="8" t="s">
        <v>1127</v>
      </c>
      <c r="C1294" s="8">
        <v>299</v>
      </c>
      <c r="D1294" s="8" t="s">
        <v>1128</v>
      </c>
      <c r="E1294" s="8">
        <v>4513270</v>
      </c>
    </row>
    <row r="1295" spans="1:5" x14ac:dyDescent="0.5">
      <c r="A1295" s="7">
        <v>4713530</v>
      </c>
      <c r="B1295" s="8" t="s">
        <v>1148</v>
      </c>
      <c r="C1295" s="8">
        <v>320</v>
      </c>
      <c r="D1295" s="8" t="s">
        <v>1149</v>
      </c>
      <c r="E1295" s="8">
        <v>5713530</v>
      </c>
    </row>
    <row r="1296" spans="1:5" x14ac:dyDescent="0.5">
      <c r="A1296" s="7">
        <v>4713570</v>
      </c>
      <c r="B1296" s="8" t="s">
        <v>1150</v>
      </c>
      <c r="C1296" s="8">
        <v>323</v>
      </c>
      <c r="D1296" s="8" t="s">
        <v>1142</v>
      </c>
      <c r="E1296" s="8">
        <v>5513570</v>
      </c>
    </row>
    <row r="1297" spans="1:5" x14ac:dyDescent="0.5">
      <c r="A1297" s="7">
        <v>4713630</v>
      </c>
      <c r="B1297" s="8" t="s">
        <v>1172</v>
      </c>
      <c r="C1297" s="8">
        <v>329</v>
      </c>
      <c r="D1297" s="8" t="s">
        <v>1173</v>
      </c>
      <c r="E1297" s="8">
        <v>4913630</v>
      </c>
    </row>
    <row r="1298" spans="1:5" x14ac:dyDescent="0.5">
      <c r="A1298" s="7">
        <v>4714010</v>
      </c>
      <c r="B1298" s="8" t="s">
        <v>1111</v>
      </c>
      <c r="C1298" s="8">
        <v>363</v>
      </c>
      <c r="D1298" s="8" t="s">
        <v>1112</v>
      </c>
      <c r="E1298" s="8">
        <v>4414010</v>
      </c>
    </row>
    <row r="1299" spans="1:5" x14ac:dyDescent="0.5">
      <c r="A1299" s="7">
        <v>4714130</v>
      </c>
      <c r="B1299" s="8" t="s">
        <v>1174</v>
      </c>
      <c r="C1299" s="8">
        <v>371</v>
      </c>
      <c r="D1299" s="8" t="s">
        <v>1175</v>
      </c>
      <c r="E1299" s="8">
        <v>4714130</v>
      </c>
    </row>
    <row r="1300" spans="1:5" x14ac:dyDescent="0.5">
      <c r="A1300" s="7">
        <v>4714180</v>
      </c>
      <c r="B1300" s="8" t="s">
        <v>1176</v>
      </c>
      <c r="C1300" s="8">
        <v>376</v>
      </c>
      <c r="D1300" s="8" t="s">
        <v>1177</v>
      </c>
      <c r="E1300" s="8">
        <v>4714180</v>
      </c>
    </row>
    <row r="1301" spans="1:5" x14ac:dyDescent="0.5">
      <c r="A1301" s="7">
        <v>4714270</v>
      </c>
      <c r="B1301" s="8" t="s">
        <v>1178</v>
      </c>
      <c r="C1301" s="8">
        <v>375</v>
      </c>
      <c r="D1301" s="8" t="s">
        <v>1179</v>
      </c>
      <c r="E1301" s="8">
        <v>4814170</v>
      </c>
    </row>
    <row r="1302" spans="1:5" x14ac:dyDescent="0.5">
      <c r="A1302" s="7">
        <v>4714570</v>
      </c>
      <c r="B1302" s="8" t="s">
        <v>1180</v>
      </c>
      <c r="C1302" s="8">
        <v>400</v>
      </c>
      <c r="D1302" s="8" t="s">
        <v>1181</v>
      </c>
      <c r="E1302" s="8">
        <v>4714570</v>
      </c>
    </row>
    <row r="1303" spans="1:5" x14ac:dyDescent="0.5">
      <c r="A1303" s="7">
        <v>4714710</v>
      </c>
      <c r="B1303" s="8" t="s">
        <v>987</v>
      </c>
      <c r="C1303" s="8">
        <v>414</v>
      </c>
      <c r="D1303" s="8" t="s">
        <v>1108</v>
      </c>
      <c r="E1303" s="8">
        <v>5414710</v>
      </c>
    </row>
    <row r="1304" spans="1:5" x14ac:dyDescent="0.5">
      <c r="A1304" s="7">
        <v>4714720</v>
      </c>
      <c r="B1304" s="8" t="s">
        <v>989</v>
      </c>
      <c r="C1304" s="8">
        <v>416</v>
      </c>
      <c r="D1304" s="8" t="s">
        <v>1122</v>
      </c>
      <c r="E1304" s="8">
        <v>6014720</v>
      </c>
    </row>
    <row r="1305" spans="1:5" x14ac:dyDescent="0.5">
      <c r="A1305" s="7">
        <v>4714730</v>
      </c>
      <c r="B1305" s="8" t="s">
        <v>991</v>
      </c>
      <c r="C1305" s="8">
        <v>418</v>
      </c>
      <c r="D1305" s="8" t="s">
        <v>1135</v>
      </c>
      <c r="E1305" s="8">
        <v>4514730</v>
      </c>
    </row>
    <row r="1306" spans="1:5" x14ac:dyDescent="0.5">
      <c r="A1306" s="7">
        <v>4714740</v>
      </c>
      <c r="B1306" s="8" t="s">
        <v>993</v>
      </c>
      <c r="C1306" s="8">
        <v>421</v>
      </c>
      <c r="D1306" s="8" t="s">
        <v>1163</v>
      </c>
      <c r="E1306" s="8">
        <v>4614740</v>
      </c>
    </row>
    <row r="1307" spans="1:5" x14ac:dyDescent="0.5">
      <c r="A1307" s="7">
        <v>4714790</v>
      </c>
      <c r="B1307" s="8" t="s">
        <v>1099</v>
      </c>
      <c r="C1307" s="8">
        <v>426</v>
      </c>
      <c r="D1307" s="8" t="s">
        <v>1100</v>
      </c>
      <c r="E1307" s="8">
        <v>5214790</v>
      </c>
    </row>
    <row r="1308" spans="1:5" x14ac:dyDescent="0.5">
      <c r="A1308" s="7">
        <v>4714800</v>
      </c>
      <c r="B1308" s="8" t="s">
        <v>1037</v>
      </c>
      <c r="C1308" s="8">
        <v>427</v>
      </c>
      <c r="D1308" s="8" t="s">
        <v>1038</v>
      </c>
      <c r="E1308" s="8">
        <v>5514800</v>
      </c>
    </row>
    <row r="1309" spans="1:5" x14ac:dyDescent="0.5">
      <c r="A1309" s="7">
        <v>4715090</v>
      </c>
      <c r="B1309" s="8" t="s">
        <v>1136</v>
      </c>
      <c r="C1309" s="8">
        <v>294</v>
      </c>
      <c r="D1309" s="8" t="s">
        <v>1126</v>
      </c>
      <c r="E1309" s="8">
        <v>4513220</v>
      </c>
    </row>
    <row r="1310" spans="1:5" x14ac:dyDescent="0.5">
      <c r="A1310" s="7">
        <v>4715180</v>
      </c>
      <c r="B1310" s="8" t="s">
        <v>1113</v>
      </c>
      <c r="C1310" s="8">
        <v>452</v>
      </c>
      <c r="D1310" s="8" t="s">
        <v>1114</v>
      </c>
      <c r="E1310" s="8">
        <v>6215180</v>
      </c>
    </row>
    <row r="1311" spans="1:5" x14ac:dyDescent="0.5">
      <c r="A1311" s="7">
        <v>4813050</v>
      </c>
      <c r="B1311" s="8" t="s">
        <v>1164</v>
      </c>
      <c r="C1311" s="8">
        <v>281</v>
      </c>
      <c r="D1311" s="8" t="s">
        <v>1165</v>
      </c>
      <c r="E1311" s="8">
        <v>5313050</v>
      </c>
    </row>
    <row r="1312" spans="1:5" x14ac:dyDescent="0.5">
      <c r="A1312" s="7">
        <v>4813060</v>
      </c>
      <c r="B1312" s="8" t="s">
        <v>1166</v>
      </c>
      <c r="C1312" s="8">
        <v>282</v>
      </c>
      <c r="D1312" s="8" t="s">
        <v>1140</v>
      </c>
      <c r="E1312" s="8">
        <v>4713070</v>
      </c>
    </row>
    <row r="1313" spans="1:5" x14ac:dyDescent="0.5">
      <c r="A1313" s="7">
        <v>4813070</v>
      </c>
      <c r="B1313" s="8" t="s">
        <v>1139</v>
      </c>
      <c r="C1313" s="8">
        <v>282</v>
      </c>
      <c r="D1313" s="8" t="s">
        <v>1140</v>
      </c>
      <c r="E1313" s="8">
        <v>4713070</v>
      </c>
    </row>
    <row r="1314" spans="1:5" x14ac:dyDescent="0.5">
      <c r="A1314" s="7">
        <v>4813150</v>
      </c>
      <c r="B1314" s="8" t="s">
        <v>1182</v>
      </c>
      <c r="C1314" s="8">
        <v>287</v>
      </c>
      <c r="D1314" s="8" t="s">
        <v>1183</v>
      </c>
      <c r="E1314" s="8">
        <v>5713150</v>
      </c>
    </row>
    <row r="1315" spans="1:5" x14ac:dyDescent="0.5">
      <c r="A1315" s="7">
        <v>4813170</v>
      </c>
      <c r="B1315" s="8" t="s">
        <v>1184</v>
      </c>
      <c r="C1315" s="8">
        <v>289</v>
      </c>
      <c r="D1315" s="8" t="s">
        <v>1185</v>
      </c>
      <c r="E1315" s="8">
        <v>5313170</v>
      </c>
    </row>
    <row r="1316" spans="1:5" x14ac:dyDescent="0.5">
      <c r="A1316" s="7">
        <v>4813180</v>
      </c>
      <c r="B1316" s="8" t="s">
        <v>1186</v>
      </c>
      <c r="C1316" s="8">
        <v>291</v>
      </c>
      <c r="D1316" s="8" t="s">
        <v>1187</v>
      </c>
      <c r="E1316" s="8">
        <v>5713180</v>
      </c>
    </row>
    <row r="1317" spans="1:5" x14ac:dyDescent="0.5">
      <c r="A1317" s="7">
        <v>4813200</v>
      </c>
      <c r="B1317" s="8" t="s">
        <v>1188</v>
      </c>
      <c r="C1317" s="8">
        <v>292</v>
      </c>
      <c r="D1317" s="8" t="s">
        <v>1189</v>
      </c>
      <c r="E1317" s="8">
        <v>5713200</v>
      </c>
    </row>
    <row r="1318" spans="1:5" x14ac:dyDescent="0.5">
      <c r="A1318" s="7">
        <v>4813210</v>
      </c>
      <c r="B1318" s="8" t="s">
        <v>1168</v>
      </c>
      <c r="C1318" s="8">
        <v>293</v>
      </c>
      <c r="D1318" s="8" t="s">
        <v>1169</v>
      </c>
      <c r="E1318" s="8">
        <v>5713210</v>
      </c>
    </row>
    <row r="1319" spans="1:5" x14ac:dyDescent="0.5">
      <c r="A1319" s="7">
        <v>4813250</v>
      </c>
      <c r="B1319" s="8" t="s">
        <v>1141</v>
      </c>
      <c r="C1319" s="8">
        <v>323</v>
      </c>
      <c r="D1319" s="8" t="s">
        <v>1142</v>
      </c>
      <c r="E1319" s="8">
        <v>5513570</v>
      </c>
    </row>
    <row r="1320" spans="1:5" x14ac:dyDescent="0.5">
      <c r="A1320" s="7">
        <v>4813300</v>
      </c>
      <c r="B1320" s="8" t="s">
        <v>1145</v>
      </c>
      <c r="C1320" s="8">
        <v>301</v>
      </c>
      <c r="D1320" s="8" t="s">
        <v>1144</v>
      </c>
      <c r="E1320" s="8">
        <v>4613300</v>
      </c>
    </row>
    <row r="1321" spans="1:5" x14ac:dyDescent="0.5">
      <c r="A1321" s="7">
        <v>4813490</v>
      </c>
      <c r="B1321" s="8" t="s">
        <v>1146</v>
      </c>
      <c r="C1321" s="8">
        <v>315</v>
      </c>
      <c r="D1321" s="8" t="s">
        <v>1147</v>
      </c>
      <c r="E1321" s="8">
        <v>5513470</v>
      </c>
    </row>
    <row r="1322" spans="1:5" x14ac:dyDescent="0.5">
      <c r="A1322" s="7">
        <v>4813510</v>
      </c>
      <c r="B1322" s="8" t="s">
        <v>1190</v>
      </c>
      <c r="C1322" s="8">
        <v>318</v>
      </c>
      <c r="D1322" s="8" t="s">
        <v>1191</v>
      </c>
      <c r="E1322" s="8">
        <v>5413510</v>
      </c>
    </row>
    <row r="1323" spans="1:5" x14ac:dyDescent="0.5">
      <c r="A1323" s="7">
        <v>4813530</v>
      </c>
      <c r="B1323" s="8" t="s">
        <v>1148</v>
      </c>
      <c r="C1323" s="8">
        <v>320</v>
      </c>
      <c r="D1323" s="8" t="s">
        <v>1149</v>
      </c>
      <c r="E1323" s="8">
        <v>5713530</v>
      </c>
    </row>
    <row r="1324" spans="1:5" x14ac:dyDescent="0.5">
      <c r="A1324" s="7">
        <v>4813680</v>
      </c>
      <c r="B1324" s="8" t="s">
        <v>1151</v>
      </c>
      <c r="C1324" s="8">
        <v>336</v>
      </c>
      <c r="D1324" s="8" t="s">
        <v>1152</v>
      </c>
      <c r="E1324" s="8">
        <v>5413680</v>
      </c>
    </row>
    <row r="1325" spans="1:5" x14ac:dyDescent="0.5">
      <c r="A1325" s="7">
        <v>4813760</v>
      </c>
      <c r="B1325" s="8" t="s">
        <v>1192</v>
      </c>
      <c r="C1325" s="8">
        <v>344</v>
      </c>
      <c r="D1325" s="8" t="s">
        <v>1193</v>
      </c>
      <c r="E1325" s="8">
        <v>4813760</v>
      </c>
    </row>
    <row r="1326" spans="1:5" x14ac:dyDescent="0.5">
      <c r="A1326" s="7">
        <v>4813970</v>
      </c>
      <c r="B1326" s="8" t="s">
        <v>1194</v>
      </c>
      <c r="C1326" s="8">
        <v>361</v>
      </c>
      <c r="D1326" s="8" t="s">
        <v>1195</v>
      </c>
      <c r="E1326" s="8">
        <v>4713970</v>
      </c>
    </row>
    <row r="1327" spans="1:5" x14ac:dyDescent="0.5">
      <c r="A1327" s="7">
        <v>4814010</v>
      </c>
      <c r="B1327" s="8" t="s">
        <v>1111</v>
      </c>
      <c r="C1327" s="8">
        <v>363</v>
      </c>
      <c r="D1327" s="8" t="s">
        <v>1112</v>
      </c>
      <c r="E1327" s="8">
        <v>4414010</v>
      </c>
    </row>
    <row r="1328" spans="1:5" x14ac:dyDescent="0.5">
      <c r="A1328" s="7">
        <v>4814080</v>
      </c>
      <c r="B1328" s="8" t="s">
        <v>1196</v>
      </c>
      <c r="C1328" s="8">
        <v>364</v>
      </c>
      <c r="D1328" s="8" t="s">
        <v>1197</v>
      </c>
      <c r="E1328" s="8">
        <v>4714010</v>
      </c>
    </row>
    <row r="1329" spans="1:5" x14ac:dyDescent="0.5">
      <c r="A1329" s="7">
        <v>4814160</v>
      </c>
      <c r="B1329" s="8" t="s">
        <v>1198</v>
      </c>
      <c r="C1329" s="8">
        <v>375</v>
      </c>
      <c r="D1329" s="8" t="s">
        <v>1179</v>
      </c>
      <c r="E1329" s="8">
        <v>4814170</v>
      </c>
    </row>
    <row r="1330" spans="1:5" x14ac:dyDescent="0.5">
      <c r="A1330" s="7">
        <v>4814170</v>
      </c>
      <c r="B1330" s="8" t="s">
        <v>1199</v>
      </c>
      <c r="C1330" s="8">
        <v>375</v>
      </c>
      <c r="D1330" s="8" t="s">
        <v>1179</v>
      </c>
      <c r="E1330" s="8">
        <v>4814170</v>
      </c>
    </row>
    <row r="1331" spans="1:5" x14ac:dyDescent="0.5">
      <c r="A1331" s="7">
        <v>4814570</v>
      </c>
      <c r="B1331" s="8" t="s">
        <v>1180</v>
      </c>
      <c r="C1331" s="8">
        <v>400</v>
      </c>
      <c r="D1331" s="8" t="s">
        <v>1181</v>
      </c>
      <c r="E1331" s="8">
        <v>4714570</v>
      </c>
    </row>
    <row r="1332" spans="1:5" x14ac:dyDescent="0.5">
      <c r="A1332" s="7">
        <v>4814710</v>
      </c>
      <c r="B1332" s="8" t="s">
        <v>987</v>
      </c>
      <c r="C1332" s="8">
        <v>414</v>
      </c>
      <c r="D1332" s="8" t="s">
        <v>1108</v>
      </c>
      <c r="E1332" s="8">
        <v>5414710</v>
      </c>
    </row>
    <row r="1333" spans="1:5" x14ac:dyDescent="0.5">
      <c r="A1333" s="7">
        <v>4814720</v>
      </c>
      <c r="B1333" s="8" t="s">
        <v>989</v>
      </c>
      <c r="C1333" s="8">
        <v>416</v>
      </c>
      <c r="D1333" s="8" t="s">
        <v>1122</v>
      </c>
      <c r="E1333" s="8">
        <v>6014720</v>
      </c>
    </row>
    <row r="1334" spans="1:5" x14ac:dyDescent="0.5">
      <c r="A1334" s="7">
        <v>4814740</v>
      </c>
      <c r="B1334" s="8" t="s">
        <v>993</v>
      </c>
      <c r="C1334" s="8">
        <v>421</v>
      </c>
      <c r="D1334" s="8" t="s">
        <v>1163</v>
      </c>
      <c r="E1334" s="8">
        <v>4614740</v>
      </c>
    </row>
    <row r="1335" spans="1:5" x14ac:dyDescent="0.5">
      <c r="A1335" s="7">
        <v>4814790</v>
      </c>
      <c r="B1335" s="8" t="s">
        <v>1099</v>
      </c>
      <c r="C1335" s="8">
        <v>426</v>
      </c>
      <c r="D1335" s="8" t="s">
        <v>1100</v>
      </c>
      <c r="E1335" s="8">
        <v>5214790</v>
      </c>
    </row>
    <row r="1336" spans="1:5" x14ac:dyDescent="0.5">
      <c r="A1336" s="7">
        <v>4913040</v>
      </c>
      <c r="B1336" s="8" t="s">
        <v>967</v>
      </c>
      <c r="C1336" s="8">
        <v>280</v>
      </c>
      <c r="D1336" s="8" t="s">
        <v>968</v>
      </c>
      <c r="E1336" s="8">
        <v>4413040</v>
      </c>
    </row>
    <row r="1337" spans="1:5" x14ac:dyDescent="0.5">
      <c r="A1337" s="7">
        <v>4913050</v>
      </c>
      <c r="B1337" s="8" t="s">
        <v>1164</v>
      </c>
      <c r="C1337" s="8">
        <v>281</v>
      </c>
      <c r="D1337" s="8" t="s">
        <v>1165</v>
      </c>
      <c r="E1337" s="8">
        <v>5313050</v>
      </c>
    </row>
    <row r="1338" spans="1:5" x14ac:dyDescent="0.5">
      <c r="A1338" s="7">
        <v>4913100</v>
      </c>
      <c r="B1338" s="8" t="s">
        <v>1057</v>
      </c>
      <c r="C1338" s="8">
        <v>285</v>
      </c>
      <c r="D1338" s="8" t="s">
        <v>1058</v>
      </c>
      <c r="E1338" s="8">
        <v>4113100</v>
      </c>
    </row>
    <row r="1339" spans="1:5" x14ac:dyDescent="0.5">
      <c r="A1339" s="7">
        <v>4913110</v>
      </c>
      <c r="B1339" s="8" t="s">
        <v>1062</v>
      </c>
      <c r="C1339" s="8">
        <v>285</v>
      </c>
      <c r="D1339" s="8" t="s">
        <v>1058</v>
      </c>
      <c r="E1339" s="8">
        <v>4113100</v>
      </c>
    </row>
    <row r="1340" spans="1:5" x14ac:dyDescent="0.5">
      <c r="A1340" s="7">
        <v>4913130</v>
      </c>
      <c r="B1340" s="8" t="s">
        <v>1167</v>
      </c>
      <c r="C1340" s="8">
        <v>286</v>
      </c>
      <c r="D1340" s="8" t="s">
        <v>1060</v>
      </c>
      <c r="E1340" s="8">
        <v>5113130</v>
      </c>
    </row>
    <row r="1341" spans="1:5" x14ac:dyDescent="0.5">
      <c r="A1341" s="7">
        <v>4913140</v>
      </c>
      <c r="B1341" s="8" t="s">
        <v>1059</v>
      </c>
      <c r="C1341" s="8">
        <v>286</v>
      </c>
      <c r="D1341" s="8" t="s">
        <v>1060</v>
      </c>
      <c r="E1341" s="8">
        <v>5113130</v>
      </c>
    </row>
    <row r="1342" spans="1:5" x14ac:dyDescent="0.5">
      <c r="A1342" s="7">
        <v>4913210</v>
      </c>
      <c r="B1342" s="8" t="s">
        <v>1168</v>
      </c>
      <c r="C1342" s="8">
        <v>293</v>
      </c>
      <c r="D1342" s="8" t="s">
        <v>1169</v>
      </c>
      <c r="E1342" s="8">
        <v>5713210</v>
      </c>
    </row>
    <row r="1343" spans="1:5" x14ac:dyDescent="0.5">
      <c r="A1343" s="7">
        <v>4913260</v>
      </c>
      <c r="B1343" s="8" t="s">
        <v>1170</v>
      </c>
      <c r="C1343" s="8">
        <v>298</v>
      </c>
      <c r="D1343" s="8" t="s">
        <v>1200</v>
      </c>
      <c r="E1343" s="8">
        <v>4913260</v>
      </c>
    </row>
    <row r="1344" spans="1:5" x14ac:dyDescent="0.5">
      <c r="A1344" s="7">
        <v>4913640</v>
      </c>
      <c r="B1344" s="8" t="s">
        <v>975</v>
      </c>
      <c r="C1344" s="8">
        <v>330</v>
      </c>
      <c r="D1344" s="8" t="s">
        <v>976</v>
      </c>
      <c r="E1344" s="8">
        <v>4413640</v>
      </c>
    </row>
    <row r="1345" spans="1:5" x14ac:dyDescent="0.5">
      <c r="A1345" s="7">
        <v>4913940</v>
      </c>
      <c r="B1345" s="8" t="s">
        <v>1065</v>
      </c>
      <c r="C1345" s="8">
        <v>359</v>
      </c>
      <c r="D1345" s="8" t="s">
        <v>1066</v>
      </c>
      <c r="E1345" s="8">
        <v>4113940</v>
      </c>
    </row>
    <row r="1346" spans="1:5" x14ac:dyDescent="0.5">
      <c r="A1346" s="7">
        <v>4913950</v>
      </c>
      <c r="B1346" s="8" t="s">
        <v>1088</v>
      </c>
      <c r="C1346" s="8">
        <v>360</v>
      </c>
      <c r="D1346" s="8" t="s">
        <v>1089</v>
      </c>
      <c r="E1346" s="8">
        <v>4113950</v>
      </c>
    </row>
    <row r="1347" spans="1:5" x14ac:dyDescent="0.5">
      <c r="A1347" s="7">
        <v>4914010</v>
      </c>
      <c r="B1347" s="8" t="s">
        <v>1111</v>
      </c>
      <c r="C1347" s="8">
        <v>363</v>
      </c>
      <c r="D1347" s="8" t="s">
        <v>1112</v>
      </c>
      <c r="E1347" s="8">
        <v>4414010</v>
      </c>
    </row>
    <row r="1348" spans="1:5" x14ac:dyDescent="0.5">
      <c r="A1348" s="7">
        <v>4914110</v>
      </c>
      <c r="B1348" s="8" t="s">
        <v>1201</v>
      </c>
      <c r="C1348" s="8">
        <v>369</v>
      </c>
      <c r="D1348" s="8" t="s">
        <v>1202</v>
      </c>
      <c r="E1348" s="8">
        <v>5114110</v>
      </c>
    </row>
    <row r="1349" spans="1:5" x14ac:dyDescent="0.5">
      <c r="A1349" s="7">
        <v>4914120</v>
      </c>
      <c r="B1349" s="8" t="s">
        <v>1067</v>
      </c>
      <c r="C1349" s="8">
        <v>370</v>
      </c>
      <c r="D1349" s="8" t="s">
        <v>1068</v>
      </c>
      <c r="E1349" s="8">
        <v>3914120</v>
      </c>
    </row>
    <row r="1350" spans="1:5" x14ac:dyDescent="0.5">
      <c r="A1350" s="7">
        <v>4914210</v>
      </c>
      <c r="B1350" s="8" t="s">
        <v>962</v>
      </c>
      <c r="C1350" s="8">
        <v>377</v>
      </c>
      <c r="D1350" s="8" t="s">
        <v>963</v>
      </c>
      <c r="E1350" s="8">
        <v>4014200</v>
      </c>
    </row>
    <row r="1351" spans="1:5" x14ac:dyDescent="0.5">
      <c r="A1351" s="7">
        <v>4914570</v>
      </c>
      <c r="B1351" s="8" t="s">
        <v>1180</v>
      </c>
      <c r="C1351" s="8">
        <v>401</v>
      </c>
      <c r="D1351" s="8" t="s">
        <v>1203</v>
      </c>
      <c r="E1351" s="8">
        <v>4914570</v>
      </c>
    </row>
    <row r="1352" spans="1:5" x14ac:dyDescent="0.5">
      <c r="A1352" s="7">
        <v>4914660</v>
      </c>
      <c r="B1352" s="8" t="s">
        <v>1204</v>
      </c>
      <c r="C1352" s="8">
        <v>406</v>
      </c>
      <c r="D1352" s="8" t="s">
        <v>1205</v>
      </c>
      <c r="E1352" s="8">
        <v>5114660</v>
      </c>
    </row>
    <row r="1353" spans="1:5" x14ac:dyDescent="0.5">
      <c r="A1353" s="7">
        <v>4914690</v>
      </c>
      <c r="B1353" s="8" t="s">
        <v>964</v>
      </c>
      <c r="C1353" s="8">
        <v>409</v>
      </c>
      <c r="D1353" s="8" t="s">
        <v>965</v>
      </c>
      <c r="E1353" s="8">
        <v>3114690</v>
      </c>
    </row>
    <row r="1354" spans="1:5" x14ac:dyDescent="0.5">
      <c r="A1354" s="7">
        <v>4914710</v>
      </c>
      <c r="B1354" s="8" t="s">
        <v>987</v>
      </c>
      <c r="C1354" s="8">
        <v>412</v>
      </c>
      <c r="D1354" s="8" t="s">
        <v>1096</v>
      </c>
      <c r="E1354" s="8">
        <v>5114710</v>
      </c>
    </row>
    <row r="1355" spans="1:5" x14ac:dyDescent="0.5">
      <c r="A1355" s="7">
        <v>4914720</v>
      </c>
      <c r="B1355" s="8" t="s">
        <v>989</v>
      </c>
      <c r="C1355" s="8">
        <v>416</v>
      </c>
      <c r="D1355" s="8" t="s">
        <v>1122</v>
      </c>
      <c r="E1355" s="8">
        <v>6014720</v>
      </c>
    </row>
    <row r="1356" spans="1:5" x14ac:dyDescent="0.5">
      <c r="A1356" s="7">
        <v>4915170</v>
      </c>
      <c r="B1356" s="8" t="s">
        <v>1109</v>
      </c>
      <c r="C1356" s="8">
        <v>451</v>
      </c>
      <c r="D1356" s="8" t="s">
        <v>1110</v>
      </c>
      <c r="E1356" s="8">
        <v>4215170</v>
      </c>
    </row>
    <row r="1357" spans="1:5" x14ac:dyDescent="0.5">
      <c r="A1357" s="7">
        <v>4915180</v>
      </c>
      <c r="B1357" s="8" t="s">
        <v>1113</v>
      </c>
      <c r="C1357" s="8">
        <v>452</v>
      </c>
      <c r="D1357" s="8" t="s">
        <v>1114</v>
      </c>
      <c r="E1357" s="8">
        <v>6215180</v>
      </c>
    </row>
    <row r="1358" spans="1:5" x14ac:dyDescent="0.5">
      <c r="A1358" s="7">
        <v>5013021</v>
      </c>
      <c r="B1358" s="8" t="s">
        <v>1072</v>
      </c>
      <c r="C1358" s="8">
        <v>278</v>
      </c>
      <c r="D1358" s="8" t="s">
        <v>1073</v>
      </c>
      <c r="E1358" s="8">
        <v>5013021</v>
      </c>
    </row>
    <row r="1359" spans="1:5" x14ac:dyDescent="0.5">
      <c r="A1359" s="7">
        <v>5013022</v>
      </c>
      <c r="B1359" s="8" t="s">
        <v>1078</v>
      </c>
      <c r="C1359" s="8">
        <v>278</v>
      </c>
      <c r="D1359" s="8" t="s">
        <v>1073</v>
      </c>
      <c r="E1359" s="8">
        <v>5013021</v>
      </c>
    </row>
    <row r="1360" spans="1:5" x14ac:dyDescent="0.5">
      <c r="A1360" s="7">
        <v>5013100</v>
      </c>
      <c r="B1360" s="8" t="s">
        <v>1057</v>
      </c>
      <c r="C1360" s="8">
        <v>285</v>
      </c>
      <c r="D1360" s="8" t="s">
        <v>1058</v>
      </c>
      <c r="E1360" s="8">
        <v>4113100</v>
      </c>
    </row>
    <row r="1361" spans="1:5" x14ac:dyDescent="0.5">
      <c r="A1361" s="7">
        <v>5013110</v>
      </c>
      <c r="B1361" s="8" t="s">
        <v>1062</v>
      </c>
      <c r="C1361" s="8">
        <v>285</v>
      </c>
      <c r="D1361" s="8" t="s">
        <v>1058</v>
      </c>
      <c r="E1361" s="8">
        <v>4113100</v>
      </c>
    </row>
    <row r="1362" spans="1:5" x14ac:dyDescent="0.5">
      <c r="A1362" s="7">
        <v>5013130</v>
      </c>
      <c r="B1362" s="8" t="s">
        <v>1167</v>
      </c>
      <c r="C1362" s="8">
        <v>286</v>
      </c>
      <c r="D1362" s="8" t="s">
        <v>1060</v>
      </c>
      <c r="E1362" s="8">
        <v>5113130</v>
      </c>
    </row>
    <row r="1363" spans="1:5" x14ac:dyDescent="0.5">
      <c r="A1363" s="7">
        <v>5013140</v>
      </c>
      <c r="B1363" s="8" t="s">
        <v>1059</v>
      </c>
      <c r="C1363" s="8">
        <v>286</v>
      </c>
      <c r="D1363" s="8" t="s">
        <v>1060</v>
      </c>
      <c r="E1363" s="8">
        <v>5113130</v>
      </c>
    </row>
    <row r="1364" spans="1:5" x14ac:dyDescent="0.5">
      <c r="A1364" s="7">
        <v>5013621</v>
      </c>
      <c r="B1364" s="8" t="s">
        <v>1081</v>
      </c>
      <c r="C1364" s="8">
        <v>327</v>
      </c>
      <c r="D1364" s="8" t="s">
        <v>1082</v>
      </c>
      <c r="E1364" s="8">
        <v>5113620</v>
      </c>
    </row>
    <row r="1365" spans="1:5" x14ac:dyDescent="0.5">
      <c r="A1365" s="7">
        <v>5013651</v>
      </c>
      <c r="B1365" s="8" t="s">
        <v>1074</v>
      </c>
      <c r="C1365" s="8">
        <v>331</v>
      </c>
      <c r="D1365" s="8" t="s">
        <v>1075</v>
      </c>
      <c r="E1365" s="8">
        <v>4113651</v>
      </c>
    </row>
    <row r="1366" spans="1:5" x14ac:dyDescent="0.5">
      <c r="A1366" s="7">
        <v>5013660</v>
      </c>
      <c r="B1366" s="8" t="s">
        <v>1206</v>
      </c>
      <c r="C1366" s="8">
        <v>334</v>
      </c>
      <c r="D1366" s="8" t="s">
        <v>1207</v>
      </c>
      <c r="E1366" s="8">
        <v>5113660</v>
      </c>
    </row>
    <row r="1367" spans="1:5" x14ac:dyDescent="0.5">
      <c r="A1367" s="7">
        <v>5013940</v>
      </c>
      <c r="B1367" s="8" t="s">
        <v>1065</v>
      </c>
      <c r="C1367" s="8">
        <v>359</v>
      </c>
      <c r="D1367" s="8" t="s">
        <v>1066</v>
      </c>
      <c r="E1367" s="8">
        <v>4113940</v>
      </c>
    </row>
    <row r="1368" spans="1:5" x14ac:dyDescent="0.5">
      <c r="A1368" s="7">
        <v>5013950</v>
      </c>
      <c r="B1368" s="8" t="s">
        <v>1088</v>
      </c>
      <c r="C1368" s="8">
        <v>360</v>
      </c>
      <c r="D1368" s="8" t="s">
        <v>1089</v>
      </c>
      <c r="E1368" s="8">
        <v>4113950</v>
      </c>
    </row>
    <row r="1369" spans="1:5" x14ac:dyDescent="0.5">
      <c r="A1369" s="7">
        <v>5014071</v>
      </c>
      <c r="B1369" s="8" t="s">
        <v>1090</v>
      </c>
      <c r="C1369" s="8">
        <v>365</v>
      </c>
      <c r="D1369" s="8" t="s">
        <v>1091</v>
      </c>
      <c r="E1369" s="8">
        <v>5014071</v>
      </c>
    </row>
    <row r="1370" spans="1:5" x14ac:dyDescent="0.5">
      <c r="A1370" s="7">
        <v>5014072</v>
      </c>
      <c r="B1370" s="8" t="s">
        <v>1092</v>
      </c>
      <c r="C1370" s="8">
        <v>366</v>
      </c>
      <c r="D1370" s="8" t="s">
        <v>1093</v>
      </c>
      <c r="E1370" s="8">
        <v>5014072</v>
      </c>
    </row>
    <row r="1371" spans="1:5" x14ac:dyDescent="0.5">
      <c r="A1371" s="7">
        <v>5014090</v>
      </c>
      <c r="B1371" s="8" t="s">
        <v>1208</v>
      </c>
      <c r="C1371" s="8">
        <v>367</v>
      </c>
      <c r="D1371" s="8" t="s">
        <v>1209</v>
      </c>
      <c r="E1371" s="8">
        <v>5014090</v>
      </c>
    </row>
    <row r="1372" spans="1:5" x14ac:dyDescent="0.5">
      <c r="A1372" s="7">
        <v>5014120</v>
      </c>
      <c r="B1372" s="8" t="s">
        <v>1067</v>
      </c>
      <c r="C1372" s="8">
        <v>370</v>
      </c>
      <c r="D1372" s="8" t="s">
        <v>1068</v>
      </c>
      <c r="E1372" s="8">
        <v>3914120</v>
      </c>
    </row>
    <row r="1373" spans="1:5" x14ac:dyDescent="0.5">
      <c r="A1373" s="7">
        <v>5014210</v>
      </c>
      <c r="B1373" s="8" t="s">
        <v>962</v>
      </c>
      <c r="C1373" s="8">
        <v>377</v>
      </c>
      <c r="D1373" s="8" t="s">
        <v>963</v>
      </c>
      <c r="E1373" s="8">
        <v>4014200</v>
      </c>
    </row>
    <row r="1374" spans="1:5" x14ac:dyDescent="0.5">
      <c r="A1374" s="7">
        <v>5014440</v>
      </c>
      <c r="B1374" s="8" t="s">
        <v>1094</v>
      </c>
      <c r="C1374" s="8">
        <v>395</v>
      </c>
      <c r="D1374" s="8" t="s">
        <v>1095</v>
      </c>
      <c r="E1374" s="8">
        <v>5114440</v>
      </c>
    </row>
    <row r="1375" spans="1:5" x14ac:dyDescent="0.5">
      <c r="A1375" s="7">
        <v>5014660</v>
      </c>
      <c r="B1375" s="8" t="s">
        <v>1204</v>
      </c>
      <c r="C1375" s="8">
        <v>406</v>
      </c>
      <c r="D1375" s="8" t="s">
        <v>1205</v>
      </c>
      <c r="E1375" s="8">
        <v>5114660</v>
      </c>
    </row>
    <row r="1376" spans="1:5" x14ac:dyDescent="0.5">
      <c r="A1376" s="7">
        <v>5014710</v>
      </c>
      <c r="B1376" s="8" t="s">
        <v>987</v>
      </c>
      <c r="C1376" s="8">
        <v>412</v>
      </c>
      <c r="D1376" s="8" t="s">
        <v>1096</v>
      </c>
      <c r="E1376" s="8">
        <v>5114710</v>
      </c>
    </row>
    <row r="1377" spans="1:5" x14ac:dyDescent="0.5">
      <c r="A1377" s="7">
        <v>5014750</v>
      </c>
      <c r="B1377" s="8" t="s">
        <v>1097</v>
      </c>
      <c r="C1377" s="8">
        <v>422</v>
      </c>
      <c r="D1377" s="8" t="s">
        <v>1098</v>
      </c>
      <c r="E1377" s="8">
        <v>5014750</v>
      </c>
    </row>
    <row r="1378" spans="1:5" x14ac:dyDescent="0.5">
      <c r="A1378" s="7">
        <v>5014770</v>
      </c>
      <c r="B1378" s="8" t="s">
        <v>1076</v>
      </c>
      <c r="C1378" s="8">
        <v>424</v>
      </c>
      <c r="D1378" s="8" t="s">
        <v>1077</v>
      </c>
      <c r="E1378" s="8">
        <v>4114770</v>
      </c>
    </row>
    <row r="1379" spans="1:5" x14ac:dyDescent="0.5">
      <c r="A1379" s="7">
        <v>5014790</v>
      </c>
      <c r="B1379" s="8" t="s">
        <v>1099</v>
      </c>
      <c r="C1379" s="8">
        <v>426</v>
      </c>
      <c r="D1379" s="8" t="s">
        <v>1100</v>
      </c>
      <c r="E1379" s="8">
        <v>5214790</v>
      </c>
    </row>
    <row r="1380" spans="1:5" x14ac:dyDescent="0.5">
      <c r="A1380" s="7">
        <v>5014810</v>
      </c>
      <c r="B1380" s="8" t="s">
        <v>1101</v>
      </c>
      <c r="C1380" s="8">
        <v>428</v>
      </c>
      <c r="D1380" s="8" t="s">
        <v>1102</v>
      </c>
      <c r="E1380" s="8">
        <v>5014810</v>
      </c>
    </row>
    <row r="1381" spans="1:5" x14ac:dyDescent="0.5">
      <c r="A1381" s="7">
        <v>5014920</v>
      </c>
      <c r="B1381" s="8" t="s">
        <v>1103</v>
      </c>
      <c r="C1381" s="8">
        <v>437</v>
      </c>
      <c r="D1381" s="8" t="s">
        <v>1104</v>
      </c>
      <c r="E1381" s="8">
        <v>5114920</v>
      </c>
    </row>
    <row r="1382" spans="1:5" x14ac:dyDescent="0.5">
      <c r="A1382" s="7">
        <v>5014930</v>
      </c>
      <c r="B1382" s="8" t="s">
        <v>1105</v>
      </c>
      <c r="C1382" s="8">
        <v>438</v>
      </c>
      <c r="D1382" s="8" t="s">
        <v>1106</v>
      </c>
      <c r="E1382" s="8">
        <v>5114930</v>
      </c>
    </row>
    <row r="1383" spans="1:5" x14ac:dyDescent="0.5">
      <c r="A1383" s="7">
        <v>5014940</v>
      </c>
      <c r="B1383" s="8" t="s">
        <v>1107</v>
      </c>
      <c r="C1383" s="8">
        <v>438</v>
      </c>
      <c r="D1383" s="8" t="s">
        <v>1106</v>
      </c>
      <c r="E1383" s="8">
        <v>5114930</v>
      </c>
    </row>
    <row r="1384" spans="1:5" x14ac:dyDescent="0.5">
      <c r="A1384" s="7">
        <v>5015170</v>
      </c>
      <c r="B1384" s="8" t="s">
        <v>1109</v>
      </c>
      <c r="C1384" s="8">
        <v>451</v>
      </c>
      <c r="D1384" s="8" t="s">
        <v>1110</v>
      </c>
      <c r="E1384" s="8">
        <v>4215170</v>
      </c>
    </row>
    <row r="1385" spans="1:5" x14ac:dyDescent="0.5">
      <c r="A1385" s="7">
        <v>5113021</v>
      </c>
      <c r="B1385" s="8" t="s">
        <v>1072</v>
      </c>
      <c r="C1385" s="8">
        <v>278</v>
      </c>
      <c r="D1385" s="8" t="s">
        <v>1073</v>
      </c>
      <c r="E1385" s="8">
        <v>5013021</v>
      </c>
    </row>
    <row r="1386" spans="1:5" x14ac:dyDescent="0.5">
      <c r="A1386" s="7">
        <v>5113022</v>
      </c>
      <c r="B1386" s="8" t="s">
        <v>1078</v>
      </c>
      <c r="C1386" s="8">
        <v>278</v>
      </c>
      <c r="D1386" s="8" t="s">
        <v>1073</v>
      </c>
      <c r="E1386" s="8">
        <v>5013021</v>
      </c>
    </row>
    <row r="1387" spans="1:5" x14ac:dyDescent="0.5">
      <c r="A1387" s="7">
        <v>5113023</v>
      </c>
      <c r="B1387" s="8" t="s">
        <v>1210</v>
      </c>
      <c r="C1387" s="8">
        <v>278</v>
      </c>
      <c r="D1387" s="8" t="s">
        <v>1073</v>
      </c>
      <c r="E1387" s="8">
        <v>5013021</v>
      </c>
    </row>
    <row r="1388" spans="1:5" x14ac:dyDescent="0.5">
      <c r="A1388" s="7">
        <v>5113100</v>
      </c>
      <c r="B1388" s="8" t="s">
        <v>1057</v>
      </c>
      <c r="C1388" s="8">
        <v>285</v>
      </c>
      <c r="D1388" s="8" t="s">
        <v>1058</v>
      </c>
      <c r="E1388" s="8">
        <v>4113100</v>
      </c>
    </row>
    <row r="1389" spans="1:5" x14ac:dyDescent="0.5">
      <c r="A1389" s="7">
        <v>5113110</v>
      </c>
      <c r="B1389" s="8" t="s">
        <v>1062</v>
      </c>
      <c r="C1389" s="8">
        <v>285</v>
      </c>
      <c r="D1389" s="8" t="s">
        <v>1058</v>
      </c>
      <c r="E1389" s="8">
        <v>4113100</v>
      </c>
    </row>
    <row r="1390" spans="1:5" x14ac:dyDescent="0.5">
      <c r="A1390" s="7">
        <v>5113130</v>
      </c>
      <c r="B1390" s="8" t="s">
        <v>1167</v>
      </c>
      <c r="C1390" s="8">
        <v>286</v>
      </c>
      <c r="D1390" s="8" t="s">
        <v>1060</v>
      </c>
      <c r="E1390" s="8">
        <v>5113130</v>
      </c>
    </row>
    <row r="1391" spans="1:5" x14ac:dyDescent="0.5">
      <c r="A1391" s="7">
        <v>5113441</v>
      </c>
      <c r="B1391" s="8" t="s">
        <v>1211</v>
      </c>
      <c r="C1391" s="8">
        <v>312</v>
      </c>
      <c r="D1391" s="8" t="s">
        <v>1212</v>
      </c>
      <c r="E1391" s="8">
        <v>5113441</v>
      </c>
    </row>
    <row r="1392" spans="1:5" x14ac:dyDescent="0.5">
      <c r="A1392" s="7">
        <v>5113442</v>
      </c>
      <c r="B1392" s="8" t="s">
        <v>1213</v>
      </c>
      <c r="C1392" s="8">
        <v>313</v>
      </c>
      <c r="D1392" s="8" t="s">
        <v>1214</v>
      </c>
      <c r="E1392" s="8">
        <v>5113442</v>
      </c>
    </row>
    <row r="1393" spans="1:5" x14ac:dyDescent="0.5">
      <c r="A1393" s="7">
        <v>5113620</v>
      </c>
      <c r="B1393" s="8" t="s">
        <v>1081</v>
      </c>
      <c r="C1393" s="8">
        <v>327</v>
      </c>
      <c r="D1393" s="8" t="s">
        <v>1082</v>
      </c>
      <c r="E1393" s="8">
        <v>5113620</v>
      </c>
    </row>
    <row r="1394" spans="1:5" x14ac:dyDescent="0.5">
      <c r="A1394" s="7">
        <v>5113651</v>
      </c>
      <c r="B1394" s="8" t="s">
        <v>1074</v>
      </c>
      <c r="C1394" s="8">
        <v>331</v>
      </c>
      <c r="D1394" s="8" t="s">
        <v>1075</v>
      </c>
      <c r="E1394" s="8">
        <v>4113651</v>
      </c>
    </row>
    <row r="1395" spans="1:5" x14ac:dyDescent="0.5">
      <c r="A1395" s="7">
        <v>5113652</v>
      </c>
      <c r="B1395" s="8" t="s">
        <v>1085</v>
      </c>
      <c r="C1395" s="8">
        <v>332</v>
      </c>
      <c r="D1395" s="8" t="s">
        <v>1086</v>
      </c>
      <c r="E1395" s="8">
        <v>4113652</v>
      </c>
    </row>
    <row r="1396" spans="1:5" x14ac:dyDescent="0.5">
      <c r="A1396" s="7">
        <v>5113660</v>
      </c>
      <c r="B1396" s="8" t="s">
        <v>1206</v>
      </c>
      <c r="C1396" s="8">
        <v>334</v>
      </c>
      <c r="D1396" s="8" t="s">
        <v>1207</v>
      </c>
      <c r="E1396" s="8">
        <v>5113660</v>
      </c>
    </row>
    <row r="1397" spans="1:5" x14ac:dyDescent="0.5">
      <c r="A1397" s="7">
        <v>5113940</v>
      </c>
      <c r="B1397" s="8" t="s">
        <v>1065</v>
      </c>
      <c r="C1397" s="8">
        <v>359</v>
      </c>
      <c r="D1397" s="8" t="s">
        <v>1066</v>
      </c>
      <c r="E1397" s="8">
        <v>4113940</v>
      </c>
    </row>
    <row r="1398" spans="1:5" x14ac:dyDescent="0.5">
      <c r="A1398" s="7">
        <v>5113950</v>
      </c>
      <c r="B1398" s="8" t="s">
        <v>1088</v>
      </c>
      <c r="C1398" s="8">
        <v>360</v>
      </c>
      <c r="D1398" s="8" t="s">
        <v>1089</v>
      </c>
      <c r="E1398" s="8">
        <v>4113950</v>
      </c>
    </row>
    <row r="1399" spans="1:5" x14ac:dyDescent="0.5">
      <c r="A1399" s="7">
        <v>5114071</v>
      </c>
      <c r="B1399" s="8" t="s">
        <v>1090</v>
      </c>
      <c r="C1399" s="8">
        <v>365</v>
      </c>
      <c r="D1399" s="8" t="s">
        <v>1091</v>
      </c>
      <c r="E1399" s="8">
        <v>5014071</v>
      </c>
    </row>
    <row r="1400" spans="1:5" x14ac:dyDescent="0.5">
      <c r="A1400" s="7">
        <v>5114072</v>
      </c>
      <c r="B1400" s="8" t="s">
        <v>1092</v>
      </c>
      <c r="C1400" s="8">
        <v>366</v>
      </c>
      <c r="D1400" s="8" t="s">
        <v>1093</v>
      </c>
      <c r="E1400" s="8">
        <v>5014072</v>
      </c>
    </row>
    <row r="1401" spans="1:5" x14ac:dyDescent="0.5">
      <c r="A1401" s="7">
        <v>5114110</v>
      </c>
      <c r="B1401" s="8" t="s">
        <v>1201</v>
      </c>
      <c r="C1401" s="8">
        <v>369</v>
      </c>
      <c r="D1401" s="8" t="s">
        <v>1202</v>
      </c>
      <c r="E1401" s="8">
        <v>5114110</v>
      </c>
    </row>
    <row r="1402" spans="1:5" x14ac:dyDescent="0.5">
      <c r="A1402" s="7">
        <v>5114120</v>
      </c>
      <c r="B1402" s="8" t="s">
        <v>1067</v>
      </c>
      <c r="C1402" s="8">
        <v>370</v>
      </c>
      <c r="D1402" s="8" t="s">
        <v>1068</v>
      </c>
      <c r="E1402" s="8">
        <v>3914120</v>
      </c>
    </row>
    <row r="1403" spans="1:5" x14ac:dyDescent="0.5">
      <c r="A1403" s="7">
        <v>5114210</v>
      </c>
      <c r="B1403" s="8" t="s">
        <v>962</v>
      </c>
      <c r="C1403" s="8">
        <v>377</v>
      </c>
      <c r="D1403" s="8" t="s">
        <v>963</v>
      </c>
      <c r="E1403" s="8">
        <v>4014200</v>
      </c>
    </row>
    <row r="1404" spans="1:5" x14ac:dyDescent="0.5">
      <c r="A1404" s="7">
        <v>5114440</v>
      </c>
      <c r="B1404" s="8" t="s">
        <v>1094</v>
      </c>
      <c r="C1404" s="8">
        <v>395</v>
      </c>
      <c r="D1404" s="8" t="s">
        <v>1095</v>
      </c>
      <c r="E1404" s="8">
        <v>5114440</v>
      </c>
    </row>
    <row r="1405" spans="1:5" x14ac:dyDescent="0.5">
      <c r="A1405" s="7">
        <v>5114660</v>
      </c>
      <c r="B1405" s="8" t="s">
        <v>1204</v>
      </c>
      <c r="C1405" s="8">
        <v>406</v>
      </c>
      <c r="D1405" s="8" t="s">
        <v>1205</v>
      </c>
      <c r="E1405" s="8">
        <v>5114660</v>
      </c>
    </row>
    <row r="1406" spans="1:5" x14ac:dyDescent="0.5">
      <c r="A1406" s="7">
        <v>5114710</v>
      </c>
      <c r="B1406" s="8" t="s">
        <v>987</v>
      </c>
      <c r="C1406" s="8">
        <v>412</v>
      </c>
      <c r="D1406" s="8" t="s">
        <v>1096</v>
      </c>
      <c r="E1406" s="8">
        <v>5114710</v>
      </c>
    </row>
    <row r="1407" spans="1:5" x14ac:dyDescent="0.5">
      <c r="A1407" s="7">
        <v>5114750</v>
      </c>
      <c r="B1407" s="8" t="s">
        <v>1097</v>
      </c>
      <c r="C1407" s="8">
        <v>422</v>
      </c>
      <c r="D1407" s="8" t="s">
        <v>1098</v>
      </c>
      <c r="E1407" s="8">
        <v>5014750</v>
      </c>
    </row>
    <row r="1408" spans="1:5" x14ac:dyDescent="0.5">
      <c r="A1408" s="7">
        <v>5114770</v>
      </c>
      <c r="B1408" s="8" t="s">
        <v>1215</v>
      </c>
      <c r="C1408" s="8">
        <v>424</v>
      </c>
      <c r="D1408" s="8" t="s">
        <v>1077</v>
      </c>
      <c r="E1408" s="8">
        <v>4114770</v>
      </c>
    </row>
    <row r="1409" spans="1:5" x14ac:dyDescent="0.5">
      <c r="A1409" s="7">
        <v>5114790</v>
      </c>
      <c r="B1409" s="8" t="s">
        <v>1099</v>
      </c>
      <c r="C1409" s="8">
        <v>426</v>
      </c>
      <c r="D1409" s="8" t="s">
        <v>1100</v>
      </c>
      <c r="E1409" s="8">
        <v>5214790</v>
      </c>
    </row>
    <row r="1410" spans="1:5" x14ac:dyDescent="0.5">
      <c r="A1410" s="7">
        <v>5114810</v>
      </c>
      <c r="B1410" s="8" t="s">
        <v>1101</v>
      </c>
      <c r="C1410" s="8">
        <v>428</v>
      </c>
      <c r="D1410" s="8" t="s">
        <v>1102</v>
      </c>
      <c r="E1410" s="8">
        <v>5014810</v>
      </c>
    </row>
    <row r="1411" spans="1:5" x14ac:dyDescent="0.5">
      <c r="A1411" s="7">
        <v>5114920</v>
      </c>
      <c r="B1411" s="8" t="s">
        <v>1103</v>
      </c>
      <c r="C1411" s="8">
        <v>437</v>
      </c>
      <c r="D1411" s="8" t="s">
        <v>1104</v>
      </c>
      <c r="E1411" s="8">
        <v>5114920</v>
      </c>
    </row>
    <row r="1412" spans="1:5" x14ac:dyDescent="0.5">
      <c r="A1412" s="7">
        <v>5114940</v>
      </c>
      <c r="B1412" s="8" t="s">
        <v>1107</v>
      </c>
      <c r="C1412" s="8">
        <v>438</v>
      </c>
      <c r="D1412" s="8" t="s">
        <v>1106</v>
      </c>
      <c r="E1412" s="8">
        <v>5114930</v>
      </c>
    </row>
    <row r="1413" spans="1:5" x14ac:dyDescent="0.5">
      <c r="A1413" s="7">
        <v>5213100</v>
      </c>
      <c r="B1413" s="8" t="s">
        <v>1057</v>
      </c>
      <c r="C1413" s="8">
        <v>285</v>
      </c>
      <c r="D1413" s="8" t="s">
        <v>1058</v>
      </c>
      <c r="E1413" s="8">
        <v>4113100</v>
      </c>
    </row>
    <row r="1414" spans="1:5" x14ac:dyDescent="0.5">
      <c r="A1414" s="7">
        <v>5213110</v>
      </c>
      <c r="B1414" s="8" t="s">
        <v>1062</v>
      </c>
      <c r="C1414" s="8">
        <v>285</v>
      </c>
      <c r="D1414" s="8" t="s">
        <v>1058</v>
      </c>
      <c r="E1414" s="8">
        <v>4113100</v>
      </c>
    </row>
    <row r="1415" spans="1:5" x14ac:dyDescent="0.5">
      <c r="A1415" s="7">
        <v>5213130</v>
      </c>
      <c r="B1415" s="8" t="s">
        <v>1167</v>
      </c>
      <c r="C1415" s="8">
        <v>286</v>
      </c>
      <c r="D1415" s="8" t="s">
        <v>1060</v>
      </c>
      <c r="E1415" s="8">
        <v>5113130</v>
      </c>
    </row>
    <row r="1416" spans="1:5" x14ac:dyDescent="0.5">
      <c r="A1416" s="7">
        <v>5213940</v>
      </c>
      <c r="B1416" s="8" t="s">
        <v>1065</v>
      </c>
      <c r="C1416" s="8">
        <v>359</v>
      </c>
      <c r="D1416" s="8" t="s">
        <v>1066</v>
      </c>
      <c r="E1416" s="8">
        <v>4113940</v>
      </c>
    </row>
    <row r="1417" spans="1:5" x14ac:dyDescent="0.5">
      <c r="A1417" s="7">
        <v>5213950</v>
      </c>
      <c r="B1417" s="8" t="s">
        <v>1088</v>
      </c>
      <c r="C1417" s="8">
        <v>360</v>
      </c>
      <c r="D1417" s="8" t="s">
        <v>1089</v>
      </c>
      <c r="E1417" s="8">
        <v>4113950</v>
      </c>
    </row>
    <row r="1418" spans="1:5" x14ac:dyDescent="0.5">
      <c r="A1418" s="7">
        <v>5214110</v>
      </c>
      <c r="B1418" s="8" t="s">
        <v>1201</v>
      </c>
      <c r="C1418" s="8">
        <v>369</v>
      </c>
      <c r="D1418" s="8" t="s">
        <v>1202</v>
      </c>
      <c r="E1418" s="8">
        <v>5114110</v>
      </c>
    </row>
    <row r="1419" spans="1:5" x14ac:dyDescent="0.5">
      <c r="A1419" s="7">
        <v>5214120</v>
      </c>
      <c r="B1419" s="8" t="s">
        <v>1067</v>
      </c>
      <c r="C1419" s="8">
        <v>370</v>
      </c>
      <c r="D1419" s="8" t="s">
        <v>1068</v>
      </c>
      <c r="E1419" s="8">
        <v>3914120</v>
      </c>
    </row>
    <row r="1420" spans="1:5" x14ac:dyDescent="0.5">
      <c r="A1420" s="7">
        <v>5214210</v>
      </c>
      <c r="B1420" s="8" t="s">
        <v>962</v>
      </c>
      <c r="C1420" s="8">
        <v>377</v>
      </c>
      <c r="D1420" s="8" t="s">
        <v>963</v>
      </c>
      <c r="E1420" s="8">
        <v>4014200</v>
      </c>
    </row>
    <row r="1421" spans="1:5" x14ac:dyDescent="0.5">
      <c r="A1421" s="7">
        <v>5214710</v>
      </c>
      <c r="B1421" s="8" t="s">
        <v>987</v>
      </c>
      <c r="C1421" s="8">
        <v>412</v>
      </c>
      <c r="D1421" s="8" t="s">
        <v>1096</v>
      </c>
      <c r="E1421" s="8">
        <v>5114710</v>
      </c>
    </row>
    <row r="1422" spans="1:5" x14ac:dyDescent="0.5">
      <c r="A1422" s="7">
        <v>5214790</v>
      </c>
      <c r="B1422" s="8" t="s">
        <v>1099</v>
      </c>
      <c r="C1422" s="8">
        <v>426</v>
      </c>
      <c r="D1422" s="8" t="s">
        <v>1100</v>
      </c>
      <c r="E1422" s="8">
        <v>5214790</v>
      </c>
    </row>
    <row r="1423" spans="1:5" x14ac:dyDescent="0.5">
      <c r="A1423" s="7">
        <v>5214920</v>
      </c>
      <c r="B1423" s="8" t="s">
        <v>1103</v>
      </c>
      <c r="C1423" s="8">
        <v>437</v>
      </c>
      <c r="D1423" s="8" t="s">
        <v>1104</v>
      </c>
      <c r="E1423" s="8">
        <v>5114920</v>
      </c>
    </row>
    <row r="1424" spans="1:5" x14ac:dyDescent="0.5">
      <c r="A1424" s="7">
        <v>5214930</v>
      </c>
      <c r="B1424" s="8" t="s">
        <v>1105</v>
      </c>
      <c r="C1424" s="8">
        <v>438</v>
      </c>
      <c r="D1424" s="8" t="s">
        <v>1106</v>
      </c>
      <c r="E1424" s="8">
        <v>5114930</v>
      </c>
    </row>
    <row r="1425" spans="1:5" x14ac:dyDescent="0.5">
      <c r="A1425" s="7">
        <v>5215180</v>
      </c>
      <c r="B1425" s="8" t="s">
        <v>1113</v>
      </c>
      <c r="C1425" s="8">
        <v>452</v>
      </c>
      <c r="D1425" s="8" t="s">
        <v>1114</v>
      </c>
      <c r="E1425" s="8">
        <v>6215180</v>
      </c>
    </row>
    <row r="1426" spans="1:5" x14ac:dyDescent="0.5">
      <c r="A1426" s="7">
        <v>5313050</v>
      </c>
      <c r="B1426" s="8" t="s">
        <v>1164</v>
      </c>
      <c r="C1426" s="8">
        <v>281</v>
      </c>
      <c r="D1426" s="8" t="s">
        <v>1165</v>
      </c>
      <c r="E1426" s="8">
        <v>5313050</v>
      </c>
    </row>
    <row r="1427" spans="1:5" x14ac:dyDescent="0.5">
      <c r="A1427" s="7">
        <v>5313090</v>
      </c>
      <c r="B1427" s="8" t="s">
        <v>1216</v>
      </c>
      <c r="C1427" s="8">
        <v>284</v>
      </c>
      <c r="D1427" s="8" t="s">
        <v>1217</v>
      </c>
      <c r="E1427" s="8">
        <v>5313090</v>
      </c>
    </row>
    <row r="1428" spans="1:5" x14ac:dyDescent="0.5">
      <c r="A1428" s="7">
        <v>5313150</v>
      </c>
      <c r="B1428" s="8" t="s">
        <v>1182</v>
      </c>
      <c r="C1428" s="8">
        <v>287</v>
      </c>
      <c r="D1428" s="8" t="s">
        <v>1183</v>
      </c>
      <c r="E1428" s="8">
        <v>5713150</v>
      </c>
    </row>
    <row r="1429" spans="1:5" x14ac:dyDescent="0.5">
      <c r="A1429" s="7">
        <v>5313170</v>
      </c>
      <c r="B1429" s="8" t="s">
        <v>1184</v>
      </c>
      <c r="C1429" s="8">
        <v>289</v>
      </c>
      <c r="D1429" s="8" t="s">
        <v>1185</v>
      </c>
      <c r="E1429" s="8">
        <v>5313170</v>
      </c>
    </row>
    <row r="1430" spans="1:5" x14ac:dyDescent="0.5">
      <c r="A1430" s="7">
        <v>5313180</v>
      </c>
      <c r="B1430" s="8" t="s">
        <v>1186</v>
      </c>
      <c r="C1430" s="8">
        <v>291</v>
      </c>
      <c r="D1430" s="8" t="s">
        <v>1187</v>
      </c>
      <c r="E1430" s="8">
        <v>5713180</v>
      </c>
    </row>
    <row r="1431" spans="1:5" x14ac:dyDescent="0.5">
      <c r="A1431" s="7">
        <v>5313210</v>
      </c>
      <c r="B1431" s="8" t="s">
        <v>1168</v>
      </c>
      <c r="C1431" s="8">
        <v>293</v>
      </c>
      <c r="D1431" s="8" t="s">
        <v>1169</v>
      </c>
      <c r="E1431" s="8">
        <v>5713210</v>
      </c>
    </row>
    <row r="1432" spans="1:5" x14ac:dyDescent="0.5">
      <c r="A1432" s="7">
        <v>5313520</v>
      </c>
      <c r="B1432" s="8" t="s">
        <v>1218</v>
      </c>
      <c r="C1432" s="8">
        <v>319</v>
      </c>
      <c r="D1432" s="8" t="s">
        <v>1219</v>
      </c>
      <c r="E1432" s="8">
        <v>5313520</v>
      </c>
    </row>
    <row r="1433" spans="1:5" x14ac:dyDescent="0.5">
      <c r="A1433" s="7">
        <v>5313530</v>
      </c>
      <c r="B1433" s="8" t="s">
        <v>1148</v>
      </c>
      <c r="C1433" s="8">
        <v>320</v>
      </c>
      <c r="D1433" s="8" t="s">
        <v>1149</v>
      </c>
      <c r="E1433" s="8">
        <v>5713530</v>
      </c>
    </row>
    <row r="1434" spans="1:5" x14ac:dyDescent="0.5">
      <c r="A1434" s="7">
        <v>5313630</v>
      </c>
      <c r="B1434" s="8" t="s">
        <v>1172</v>
      </c>
      <c r="C1434" s="8">
        <v>329</v>
      </c>
      <c r="D1434" s="8" t="s">
        <v>1173</v>
      </c>
      <c r="E1434" s="8">
        <v>4913630</v>
      </c>
    </row>
    <row r="1435" spans="1:5" x14ac:dyDescent="0.5">
      <c r="A1435" s="7">
        <v>5313700</v>
      </c>
      <c r="B1435" s="8" t="s">
        <v>1220</v>
      </c>
      <c r="C1435" s="8">
        <v>338</v>
      </c>
      <c r="D1435" s="8" t="s">
        <v>1221</v>
      </c>
      <c r="E1435" s="8">
        <v>6013700</v>
      </c>
    </row>
    <row r="1436" spans="1:5" x14ac:dyDescent="0.5">
      <c r="A1436" s="7">
        <v>5313760</v>
      </c>
      <c r="B1436" s="8" t="s">
        <v>1192</v>
      </c>
      <c r="C1436" s="8">
        <v>344</v>
      </c>
      <c r="D1436" s="8" t="s">
        <v>1193</v>
      </c>
      <c r="E1436" s="8">
        <v>4813760</v>
      </c>
    </row>
    <row r="1437" spans="1:5" x14ac:dyDescent="0.5">
      <c r="A1437" s="7">
        <v>5314010</v>
      </c>
      <c r="B1437" s="8" t="s">
        <v>1111</v>
      </c>
      <c r="C1437" s="8">
        <v>363</v>
      </c>
      <c r="D1437" s="8" t="s">
        <v>1112</v>
      </c>
      <c r="E1437" s="8">
        <v>4414010</v>
      </c>
    </row>
    <row r="1438" spans="1:5" x14ac:dyDescent="0.5">
      <c r="A1438" s="7">
        <v>5314710</v>
      </c>
      <c r="B1438" s="8" t="s">
        <v>987</v>
      </c>
      <c r="C1438" s="8">
        <v>414</v>
      </c>
      <c r="D1438" s="8" t="s">
        <v>1108</v>
      </c>
      <c r="E1438" s="8">
        <v>5414710</v>
      </c>
    </row>
    <row r="1439" spans="1:5" x14ac:dyDescent="0.5">
      <c r="A1439" s="7">
        <v>5314720</v>
      </c>
      <c r="B1439" s="8" t="s">
        <v>989</v>
      </c>
      <c r="C1439" s="8">
        <v>416</v>
      </c>
      <c r="D1439" s="8" t="s">
        <v>1122</v>
      </c>
      <c r="E1439" s="8">
        <v>6014720</v>
      </c>
    </row>
    <row r="1440" spans="1:5" x14ac:dyDescent="0.5">
      <c r="A1440" s="7">
        <v>5314790</v>
      </c>
      <c r="B1440" s="8" t="s">
        <v>1099</v>
      </c>
      <c r="C1440" s="8">
        <v>426</v>
      </c>
      <c r="D1440" s="8" t="s">
        <v>1100</v>
      </c>
      <c r="E1440" s="8">
        <v>5214790</v>
      </c>
    </row>
    <row r="1441" spans="1:5" x14ac:dyDescent="0.5">
      <c r="A1441" s="7">
        <v>5413160</v>
      </c>
      <c r="B1441" s="8" t="s">
        <v>1222</v>
      </c>
      <c r="C1441" s="8">
        <v>288</v>
      </c>
      <c r="D1441" s="8" t="s">
        <v>1223</v>
      </c>
      <c r="E1441" s="8">
        <v>5413160</v>
      </c>
    </row>
    <row r="1442" spans="1:5" x14ac:dyDescent="0.5">
      <c r="A1442" s="7">
        <v>5413300</v>
      </c>
      <c r="B1442" s="8" t="s">
        <v>1145</v>
      </c>
      <c r="C1442" s="8">
        <v>301</v>
      </c>
      <c r="D1442" s="8" t="s">
        <v>1144</v>
      </c>
      <c r="E1442" s="8">
        <v>4613300</v>
      </c>
    </row>
    <row r="1443" spans="1:5" x14ac:dyDescent="0.5">
      <c r="A1443" s="7">
        <v>5413430</v>
      </c>
      <c r="B1443" s="8" t="s">
        <v>1224</v>
      </c>
      <c r="C1443" s="8">
        <v>323</v>
      </c>
      <c r="D1443" s="8" t="s">
        <v>1142</v>
      </c>
      <c r="E1443" s="8">
        <v>5513570</v>
      </c>
    </row>
    <row r="1444" spans="1:5" x14ac:dyDescent="0.5">
      <c r="A1444" s="7">
        <v>5413460</v>
      </c>
      <c r="B1444" s="8" t="s">
        <v>1225</v>
      </c>
      <c r="C1444" s="8">
        <v>315</v>
      </c>
      <c r="D1444" s="8" t="s">
        <v>1147</v>
      </c>
      <c r="E1444" s="8">
        <v>5513470</v>
      </c>
    </row>
    <row r="1445" spans="1:5" x14ac:dyDescent="0.5">
      <c r="A1445" s="7">
        <v>5413490</v>
      </c>
      <c r="B1445" s="8" t="s">
        <v>1146</v>
      </c>
      <c r="C1445" s="8">
        <v>315</v>
      </c>
      <c r="D1445" s="8" t="s">
        <v>1147</v>
      </c>
      <c r="E1445" s="8">
        <v>5513470</v>
      </c>
    </row>
    <row r="1446" spans="1:5" x14ac:dyDescent="0.5">
      <c r="A1446" s="7">
        <v>5413510</v>
      </c>
      <c r="B1446" s="8" t="s">
        <v>1190</v>
      </c>
      <c r="C1446" s="8">
        <v>318</v>
      </c>
      <c r="D1446" s="8" t="s">
        <v>1191</v>
      </c>
      <c r="E1446" s="8">
        <v>5413510</v>
      </c>
    </row>
    <row r="1447" spans="1:5" x14ac:dyDescent="0.5">
      <c r="A1447" s="7">
        <v>5413520</v>
      </c>
      <c r="B1447" s="8" t="s">
        <v>1218</v>
      </c>
      <c r="C1447" s="8">
        <v>319</v>
      </c>
      <c r="D1447" s="8" t="s">
        <v>1219</v>
      </c>
      <c r="E1447" s="8">
        <v>5313520</v>
      </c>
    </row>
    <row r="1448" spans="1:5" x14ac:dyDescent="0.5">
      <c r="A1448" s="7">
        <v>5413530</v>
      </c>
      <c r="B1448" s="8" t="s">
        <v>1148</v>
      </c>
      <c r="C1448" s="8">
        <v>320</v>
      </c>
      <c r="D1448" s="8" t="s">
        <v>1149</v>
      </c>
      <c r="E1448" s="8">
        <v>5713530</v>
      </c>
    </row>
    <row r="1449" spans="1:5" x14ac:dyDescent="0.5">
      <c r="A1449" s="7">
        <v>5413680</v>
      </c>
      <c r="B1449" s="8" t="s">
        <v>1151</v>
      </c>
      <c r="C1449" s="8">
        <v>336</v>
      </c>
      <c r="D1449" s="8" t="s">
        <v>1152</v>
      </c>
      <c r="E1449" s="8">
        <v>5413680</v>
      </c>
    </row>
    <row r="1450" spans="1:5" x14ac:dyDescent="0.5">
      <c r="A1450" s="7">
        <v>5414710</v>
      </c>
      <c r="B1450" s="8" t="s">
        <v>987</v>
      </c>
      <c r="C1450" s="8">
        <v>414</v>
      </c>
      <c r="D1450" s="8" t="s">
        <v>1108</v>
      </c>
      <c r="E1450" s="8">
        <v>5414710</v>
      </c>
    </row>
    <row r="1451" spans="1:5" x14ac:dyDescent="0.5">
      <c r="A1451" s="7">
        <v>5414720</v>
      </c>
      <c r="B1451" s="8" t="s">
        <v>989</v>
      </c>
      <c r="C1451" s="8">
        <v>416</v>
      </c>
      <c r="D1451" s="8" t="s">
        <v>1122</v>
      </c>
      <c r="E1451" s="8">
        <v>6014720</v>
      </c>
    </row>
    <row r="1452" spans="1:5" x14ac:dyDescent="0.5">
      <c r="A1452" s="7">
        <v>5513300</v>
      </c>
      <c r="B1452" s="8" t="s">
        <v>1145</v>
      </c>
      <c r="C1452" s="8">
        <v>301</v>
      </c>
      <c r="D1452" s="8" t="s">
        <v>1144</v>
      </c>
      <c r="E1452" s="8">
        <v>4613300</v>
      </c>
    </row>
    <row r="1453" spans="1:5" x14ac:dyDescent="0.5">
      <c r="A1453" s="7">
        <v>5513350</v>
      </c>
      <c r="B1453" s="8" t="s">
        <v>1226</v>
      </c>
      <c r="C1453" s="8">
        <v>301</v>
      </c>
      <c r="D1453" s="8" t="s">
        <v>1144</v>
      </c>
      <c r="E1453" s="8">
        <v>4613300</v>
      </c>
    </row>
    <row r="1454" spans="1:5" x14ac:dyDescent="0.5">
      <c r="A1454" s="7">
        <v>5513430</v>
      </c>
      <c r="B1454" s="8" t="s">
        <v>1224</v>
      </c>
      <c r="C1454" s="8">
        <v>323</v>
      </c>
      <c r="D1454" s="8" t="s">
        <v>1142</v>
      </c>
      <c r="E1454" s="8">
        <v>5513570</v>
      </c>
    </row>
    <row r="1455" spans="1:5" x14ac:dyDescent="0.5">
      <c r="A1455" s="7">
        <v>5513460</v>
      </c>
      <c r="B1455" s="8" t="s">
        <v>1225</v>
      </c>
      <c r="C1455" s="8">
        <v>315</v>
      </c>
      <c r="D1455" s="8" t="s">
        <v>1147</v>
      </c>
      <c r="E1455" s="8">
        <v>5513470</v>
      </c>
    </row>
    <row r="1456" spans="1:5" x14ac:dyDescent="0.5">
      <c r="A1456" s="7">
        <v>5513470</v>
      </c>
      <c r="B1456" s="8" t="s">
        <v>1227</v>
      </c>
      <c r="C1456" s="8">
        <v>315</v>
      </c>
      <c r="D1456" s="8" t="s">
        <v>1147</v>
      </c>
      <c r="E1456" s="8">
        <v>5513470</v>
      </c>
    </row>
    <row r="1457" spans="1:5" x14ac:dyDescent="0.5">
      <c r="A1457" s="7">
        <v>5513490</v>
      </c>
      <c r="B1457" s="8" t="s">
        <v>1146</v>
      </c>
      <c r="C1457" s="8">
        <v>315</v>
      </c>
      <c r="D1457" s="8" t="s">
        <v>1147</v>
      </c>
      <c r="E1457" s="8">
        <v>5513470</v>
      </c>
    </row>
    <row r="1458" spans="1:5" x14ac:dyDescent="0.5">
      <c r="A1458" s="7">
        <v>5513560</v>
      </c>
      <c r="B1458" s="8" t="s">
        <v>1228</v>
      </c>
      <c r="C1458" s="8">
        <v>322</v>
      </c>
      <c r="D1458" s="8" t="s">
        <v>1229</v>
      </c>
      <c r="E1458" s="8">
        <v>5513560</v>
      </c>
    </row>
    <row r="1459" spans="1:5" x14ac:dyDescent="0.5">
      <c r="A1459" s="7">
        <v>5513570</v>
      </c>
      <c r="B1459" s="8" t="s">
        <v>1150</v>
      </c>
      <c r="C1459" s="8">
        <v>323</v>
      </c>
      <c r="D1459" s="8" t="s">
        <v>1142</v>
      </c>
      <c r="E1459" s="8">
        <v>5513570</v>
      </c>
    </row>
    <row r="1460" spans="1:5" x14ac:dyDescent="0.5">
      <c r="A1460" s="7">
        <v>5513800</v>
      </c>
      <c r="B1460" s="8" t="s">
        <v>1230</v>
      </c>
      <c r="C1460" s="8">
        <v>348</v>
      </c>
      <c r="D1460" s="8" t="s">
        <v>1231</v>
      </c>
      <c r="E1460" s="8">
        <v>5513800</v>
      </c>
    </row>
    <row r="1461" spans="1:5" x14ac:dyDescent="0.5">
      <c r="A1461" s="7">
        <v>5513820</v>
      </c>
      <c r="B1461" s="8" t="s">
        <v>1232</v>
      </c>
      <c r="C1461" s="8">
        <v>351</v>
      </c>
      <c r="D1461" s="8" t="s">
        <v>1233</v>
      </c>
      <c r="E1461" s="8">
        <v>5513820</v>
      </c>
    </row>
    <row r="1462" spans="1:5" x14ac:dyDescent="0.5">
      <c r="A1462" s="7">
        <v>5513870</v>
      </c>
      <c r="B1462" s="8" t="s">
        <v>1234</v>
      </c>
      <c r="C1462" s="8">
        <v>353</v>
      </c>
      <c r="D1462" s="8" t="s">
        <v>1235</v>
      </c>
      <c r="E1462" s="8">
        <v>5513870</v>
      </c>
    </row>
    <row r="1463" spans="1:5" x14ac:dyDescent="0.5">
      <c r="A1463" s="7">
        <v>5514500</v>
      </c>
      <c r="B1463" s="8" t="s">
        <v>1236</v>
      </c>
      <c r="C1463" s="8">
        <v>397</v>
      </c>
      <c r="D1463" s="8" t="s">
        <v>1052</v>
      </c>
      <c r="E1463" s="8">
        <v>5514500</v>
      </c>
    </row>
    <row r="1464" spans="1:5" x14ac:dyDescent="0.5">
      <c r="A1464" s="7">
        <v>5514530</v>
      </c>
      <c r="B1464" s="8" t="s">
        <v>1237</v>
      </c>
      <c r="C1464" s="8">
        <v>397</v>
      </c>
      <c r="D1464" s="8" t="s">
        <v>1052</v>
      </c>
      <c r="E1464" s="8">
        <v>5514500</v>
      </c>
    </row>
    <row r="1465" spans="1:5" x14ac:dyDescent="0.5">
      <c r="A1465" s="7">
        <v>5514540</v>
      </c>
      <c r="B1465" s="8" t="s">
        <v>1238</v>
      </c>
      <c r="C1465" s="8">
        <v>397</v>
      </c>
      <c r="D1465" s="8" t="s">
        <v>1052</v>
      </c>
      <c r="E1465" s="8">
        <v>5514500</v>
      </c>
    </row>
    <row r="1466" spans="1:5" x14ac:dyDescent="0.5">
      <c r="A1466" s="7">
        <v>5514600</v>
      </c>
      <c r="B1466" s="8" t="s">
        <v>1239</v>
      </c>
      <c r="C1466" s="8">
        <v>403</v>
      </c>
      <c r="D1466" s="8" t="s">
        <v>1240</v>
      </c>
      <c r="E1466" s="8">
        <v>5614600</v>
      </c>
    </row>
    <row r="1467" spans="1:5" x14ac:dyDescent="0.5">
      <c r="A1467" s="7">
        <v>5514610</v>
      </c>
      <c r="B1467" s="8" t="s">
        <v>1159</v>
      </c>
      <c r="C1467" s="8">
        <v>404</v>
      </c>
      <c r="D1467" s="8" t="s">
        <v>1160</v>
      </c>
      <c r="E1467" s="8">
        <v>5514610</v>
      </c>
    </row>
    <row r="1468" spans="1:5" x14ac:dyDescent="0.5">
      <c r="A1468" s="7">
        <v>5514680</v>
      </c>
      <c r="B1468" s="8" t="s">
        <v>1161</v>
      </c>
      <c r="C1468" s="8">
        <v>408</v>
      </c>
      <c r="D1468" s="8" t="s">
        <v>1162</v>
      </c>
      <c r="E1468" s="8">
        <v>5814680</v>
      </c>
    </row>
    <row r="1469" spans="1:5" x14ac:dyDescent="0.5">
      <c r="A1469" s="7">
        <v>5514730</v>
      </c>
      <c r="B1469" s="8" t="s">
        <v>991</v>
      </c>
      <c r="C1469" s="8">
        <v>418</v>
      </c>
      <c r="D1469" s="8" t="s">
        <v>1135</v>
      </c>
      <c r="E1469" s="8">
        <v>4514730</v>
      </c>
    </row>
    <row r="1470" spans="1:5" x14ac:dyDescent="0.5">
      <c r="A1470" s="7">
        <v>5514740</v>
      </c>
      <c r="B1470" s="8" t="s">
        <v>993</v>
      </c>
      <c r="C1470" s="8">
        <v>421</v>
      </c>
      <c r="D1470" s="8" t="s">
        <v>1163</v>
      </c>
      <c r="E1470" s="8">
        <v>4614740</v>
      </c>
    </row>
    <row r="1471" spans="1:5" x14ac:dyDescent="0.5">
      <c r="A1471" s="7">
        <v>5514800</v>
      </c>
      <c r="B1471" s="8" t="s">
        <v>1037</v>
      </c>
      <c r="C1471" s="8">
        <v>427</v>
      </c>
      <c r="D1471" s="8" t="s">
        <v>1038</v>
      </c>
      <c r="E1471" s="8">
        <v>5514800</v>
      </c>
    </row>
    <row r="1472" spans="1:5" x14ac:dyDescent="0.5">
      <c r="A1472" s="7">
        <v>5514850</v>
      </c>
      <c r="B1472" s="8" t="s">
        <v>1241</v>
      </c>
      <c r="C1472" s="8">
        <v>432</v>
      </c>
      <c r="D1472" s="8" t="s">
        <v>1242</v>
      </c>
      <c r="E1472" s="8">
        <v>5514850</v>
      </c>
    </row>
    <row r="1473" spans="1:5" x14ac:dyDescent="0.5">
      <c r="A1473" s="7">
        <v>5514890</v>
      </c>
      <c r="B1473" s="8" t="s">
        <v>1243</v>
      </c>
      <c r="C1473" s="8">
        <v>434</v>
      </c>
      <c r="D1473" s="8" t="s">
        <v>1244</v>
      </c>
      <c r="E1473" s="8">
        <v>5514890</v>
      </c>
    </row>
    <row r="1474" spans="1:5" x14ac:dyDescent="0.5">
      <c r="A1474" s="7">
        <v>5514900</v>
      </c>
      <c r="B1474" s="8" t="s">
        <v>1041</v>
      </c>
      <c r="C1474" s="8">
        <v>435</v>
      </c>
      <c r="D1474" s="8" t="s">
        <v>1042</v>
      </c>
      <c r="E1474" s="8">
        <v>5814900</v>
      </c>
    </row>
    <row r="1475" spans="1:5" x14ac:dyDescent="0.5">
      <c r="A1475" s="7">
        <v>5613300</v>
      </c>
      <c r="B1475" s="8" t="s">
        <v>1145</v>
      </c>
      <c r="C1475" s="8">
        <v>301</v>
      </c>
      <c r="D1475" s="8" t="s">
        <v>1144</v>
      </c>
      <c r="E1475" s="8">
        <v>4613300</v>
      </c>
    </row>
    <row r="1476" spans="1:5" x14ac:dyDescent="0.5">
      <c r="A1476" s="7">
        <v>5613330</v>
      </c>
      <c r="B1476" s="8" t="s">
        <v>1245</v>
      </c>
      <c r="C1476" s="8">
        <v>303</v>
      </c>
      <c r="D1476" s="8" t="s">
        <v>1246</v>
      </c>
      <c r="E1476" s="8">
        <v>5613330</v>
      </c>
    </row>
    <row r="1477" spans="1:5" x14ac:dyDescent="0.5">
      <c r="A1477" s="7">
        <v>5613360</v>
      </c>
      <c r="B1477" s="8" t="s">
        <v>1247</v>
      </c>
      <c r="C1477" s="8">
        <v>305</v>
      </c>
      <c r="D1477" s="8" t="s">
        <v>1248</v>
      </c>
      <c r="E1477" s="8">
        <v>5613360</v>
      </c>
    </row>
    <row r="1478" spans="1:5" x14ac:dyDescent="0.5">
      <c r="A1478" s="7">
        <v>5613370</v>
      </c>
      <c r="B1478" s="8" t="s">
        <v>1249</v>
      </c>
      <c r="C1478" s="8">
        <v>305</v>
      </c>
      <c r="D1478" s="8" t="s">
        <v>1248</v>
      </c>
      <c r="E1478" s="8">
        <v>5613360</v>
      </c>
    </row>
    <row r="1479" spans="1:5" x14ac:dyDescent="0.5">
      <c r="A1479" s="7">
        <v>5613560</v>
      </c>
      <c r="B1479" s="8" t="s">
        <v>1228</v>
      </c>
      <c r="C1479" s="8">
        <v>322</v>
      </c>
      <c r="D1479" s="8" t="s">
        <v>1229</v>
      </c>
      <c r="E1479" s="8">
        <v>5513560</v>
      </c>
    </row>
    <row r="1480" spans="1:5" x14ac:dyDescent="0.5">
      <c r="A1480" s="7">
        <v>5613600</v>
      </c>
      <c r="B1480" s="8" t="s">
        <v>1250</v>
      </c>
      <c r="C1480" s="8">
        <v>325</v>
      </c>
      <c r="D1480" s="8" t="s">
        <v>1251</v>
      </c>
      <c r="E1480" s="8">
        <v>5613600</v>
      </c>
    </row>
    <row r="1481" spans="1:5" x14ac:dyDescent="0.5">
      <c r="A1481" s="7">
        <v>5613870</v>
      </c>
      <c r="B1481" s="8" t="s">
        <v>1234</v>
      </c>
      <c r="C1481" s="8">
        <v>353</v>
      </c>
      <c r="D1481" s="8" t="s">
        <v>1235</v>
      </c>
      <c r="E1481" s="8">
        <v>5513870</v>
      </c>
    </row>
    <row r="1482" spans="1:5" x14ac:dyDescent="0.5">
      <c r="A1482" s="7">
        <v>5614250</v>
      </c>
      <c r="B1482" s="8" t="s">
        <v>1252</v>
      </c>
      <c r="C1482" s="8">
        <v>380</v>
      </c>
      <c r="D1482" s="8" t="s">
        <v>1253</v>
      </c>
      <c r="E1482" s="8">
        <v>5514250</v>
      </c>
    </row>
    <row r="1483" spans="1:5" x14ac:dyDescent="0.5">
      <c r="A1483" s="7">
        <v>5614450</v>
      </c>
      <c r="B1483" s="8" t="s">
        <v>1254</v>
      </c>
      <c r="C1483" s="8">
        <v>403</v>
      </c>
      <c r="D1483" s="8" t="s">
        <v>1240</v>
      </c>
      <c r="E1483" s="8">
        <v>5614600</v>
      </c>
    </row>
    <row r="1484" spans="1:5" x14ac:dyDescent="0.5">
      <c r="A1484" s="7">
        <v>5614460</v>
      </c>
      <c r="B1484" s="8" t="s">
        <v>1255</v>
      </c>
      <c r="C1484" s="8">
        <v>396</v>
      </c>
      <c r="D1484" s="8" t="s">
        <v>1256</v>
      </c>
      <c r="E1484" s="8">
        <v>5614460</v>
      </c>
    </row>
    <row r="1485" spans="1:5" x14ac:dyDescent="0.5">
      <c r="A1485" s="7">
        <v>5614470</v>
      </c>
      <c r="B1485" s="8" t="s">
        <v>1257</v>
      </c>
      <c r="C1485" s="8">
        <v>403</v>
      </c>
      <c r="D1485" s="8" t="s">
        <v>1240</v>
      </c>
      <c r="E1485" s="8">
        <v>5614600</v>
      </c>
    </row>
    <row r="1486" spans="1:5" x14ac:dyDescent="0.5">
      <c r="A1486" s="7">
        <v>5614530</v>
      </c>
      <c r="B1486" s="8" t="s">
        <v>1237</v>
      </c>
      <c r="C1486" s="8">
        <v>397</v>
      </c>
      <c r="D1486" s="8" t="s">
        <v>1052</v>
      </c>
      <c r="E1486" s="8">
        <v>5514500</v>
      </c>
    </row>
    <row r="1487" spans="1:5" x14ac:dyDescent="0.5">
      <c r="A1487" s="7">
        <v>5614540</v>
      </c>
      <c r="B1487" s="8" t="s">
        <v>1238</v>
      </c>
      <c r="C1487" s="8">
        <v>397</v>
      </c>
      <c r="D1487" s="8" t="s">
        <v>1052</v>
      </c>
      <c r="E1487" s="8">
        <v>5514500</v>
      </c>
    </row>
    <row r="1488" spans="1:5" x14ac:dyDescent="0.5">
      <c r="A1488" s="7">
        <v>5614600</v>
      </c>
      <c r="B1488" s="8" t="s">
        <v>1239</v>
      </c>
      <c r="C1488" s="8">
        <v>403</v>
      </c>
      <c r="D1488" s="8" t="s">
        <v>1240</v>
      </c>
      <c r="E1488" s="8">
        <v>5614600</v>
      </c>
    </row>
    <row r="1489" spans="1:5" x14ac:dyDescent="0.5">
      <c r="A1489" s="7">
        <v>5614610</v>
      </c>
      <c r="B1489" s="8" t="s">
        <v>1159</v>
      </c>
      <c r="C1489" s="8">
        <v>404</v>
      </c>
      <c r="D1489" s="8" t="s">
        <v>1160</v>
      </c>
      <c r="E1489" s="8">
        <v>5514610</v>
      </c>
    </row>
    <row r="1490" spans="1:5" x14ac:dyDescent="0.5">
      <c r="A1490" s="7">
        <v>5614700</v>
      </c>
      <c r="B1490" s="8" t="s">
        <v>1258</v>
      </c>
      <c r="C1490" s="8">
        <v>410</v>
      </c>
      <c r="D1490" s="8" t="s">
        <v>1259</v>
      </c>
      <c r="E1490" s="8">
        <v>5614700</v>
      </c>
    </row>
    <row r="1491" spans="1:5" x14ac:dyDescent="0.5">
      <c r="A1491" s="7">
        <v>5614740</v>
      </c>
      <c r="B1491" s="8" t="s">
        <v>993</v>
      </c>
      <c r="C1491" s="8">
        <v>421</v>
      </c>
      <c r="D1491" s="8" t="s">
        <v>1163</v>
      </c>
      <c r="E1491" s="8">
        <v>4614740</v>
      </c>
    </row>
    <row r="1492" spans="1:5" x14ac:dyDescent="0.5">
      <c r="A1492" s="7">
        <v>5614780</v>
      </c>
      <c r="B1492" s="8" t="s">
        <v>1260</v>
      </c>
      <c r="C1492" s="8">
        <v>425</v>
      </c>
      <c r="D1492" s="8" t="s">
        <v>1261</v>
      </c>
      <c r="E1492" s="8">
        <v>5614780</v>
      </c>
    </row>
    <row r="1493" spans="1:5" x14ac:dyDescent="0.5">
      <c r="A1493" s="7">
        <v>5614800</v>
      </c>
      <c r="B1493" s="8" t="s">
        <v>1037</v>
      </c>
      <c r="C1493" s="8">
        <v>427</v>
      </c>
      <c r="D1493" s="8" t="s">
        <v>1038</v>
      </c>
      <c r="E1493" s="8">
        <v>5514800</v>
      </c>
    </row>
    <row r="1494" spans="1:5" x14ac:dyDescent="0.5">
      <c r="A1494" s="7">
        <v>5614830</v>
      </c>
      <c r="B1494" s="8" t="s">
        <v>1262</v>
      </c>
      <c r="C1494" s="8">
        <v>430</v>
      </c>
      <c r="D1494" s="8" t="s">
        <v>1263</v>
      </c>
      <c r="E1494" s="8">
        <v>5614830</v>
      </c>
    </row>
    <row r="1495" spans="1:5" x14ac:dyDescent="0.5">
      <c r="A1495" s="7">
        <v>5614890</v>
      </c>
      <c r="B1495" s="8" t="s">
        <v>1243</v>
      </c>
      <c r="C1495" s="8">
        <v>434</v>
      </c>
      <c r="D1495" s="8" t="s">
        <v>1244</v>
      </c>
      <c r="E1495" s="8">
        <v>5514890</v>
      </c>
    </row>
    <row r="1496" spans="1:5" x14ac:dyDescent="0.5">
      <c r="A1496" s="7">
        <v>5614900</v>
      </c>
      <c r="B1496" s="8" t="s">
        <v>1041</v>
      </c>
      <c r="C1496" s="8">
        <v>435</v>
      </c>
      <c r="D1496" s="8" t="s">
        <v>1042</v>
      </c>
      <c r="E1496" s="8">
        <v>5814900</v>
      </c>
    </row>
    <row r="1497" spans="1:5" x14ac:dyDescent="0.5">
      <c r="A1497" s="7">
        <v>5713090</v>
      </c>
      <c r="B1497" s="8" t="s">
        <v>1216</v>
      </c>
      <c r="C1497" s="8">
        <v>284</v>
      </c>
      <c r="D1497" s="8" t="s">
        <v>1217</v>
      </c>
      <c r="E1497" s="8">
        <v>5313090</v>
      </c>
    </row>
    <row r="1498" spans="1:5" x14ac:dyDescent="0.5">
      <c r="A1498" s="7">
        <v>5713150</v>
      </c>
      <c r="B1498" s="8" t="s">
        <v>1182</v>
      </c>
      <c r="C1498" s="8">
        <v>287</v>
      </c>
      <c r="D1498" s="8" t="s">
        <v>1183</v>
      </c>
      <c r="E1498" s="8">
        <v>5713150</v>
      </c>
    </row>
    <row r="1499" spans="1:5" x14ac:dyDescent="0.5">
      <c r="A1499" s="7">
        <v>5713160</v>
      </c>
      <c r="B1499" s="8" t="s">
        <v>1222</v>
      </c>
      <c r="C1499" s="8">
        <v>288</v>
      </c>
      <c r="D1499" s="8" t="s">
        <v>1223</v>
      </c>
      <c r="E1499" s="8">
        <v>5413160</v>
      </c>
    </row>
    <row r="1500" spans="1:5" x14ac:dyDescent="0.5">
      <c r="A1500" s="7">
        <v>5713170</v>
      </c>
      <c r="B1500" s="8" t="s">
        <v>1184</v>
      </c>
      <c r="C1500" s="8">
        <v>290</v>
      </c>
      <c r="D1500" s="8" t="s">
        <v>1264</v>
      </c>
      <c r="E1500" s="8">
        <v>6213170</v>
      </c>
    </row>
    <row r="1501" spans="1:5" x14ac:dyDescent="0.5">
      <c r="A1501" s="7">
        <v>5713180</v>
      </c>
      <c r="B1501" s="8" t="s">
        <v>1186</v>
      </c>
      <c r="C1501" s="8">
        <v>291</v>
      </c>
      <c r="D1501" s="8" t="s">
        <v>1187</v>
      </c>
      <c r="E1501" s="8">
        <v>5713180</v>
      </c>
    </row>
    <row r="1502" spans="1:5" x14ac:dyDescent="0.5">
      <c r="A1502" s="7">
        <v>5713200</v>
      </c>
      <c r="B1502" s="8" t="s">
        <v>1188</v>
      </c>
      <c r="C1502" s="8">
        <v>292</v>
      </c>
      <c r="D1502" s="8" t="s">
        <v>1189</v>
      </c>
      <c r="E1502" s="8">
        <v>5713200</v>
      </c>
    </row>
    <row r="1503" spans="1:5" x14ac:dyDescent="0.5">
      <c r="A1503" s="7">
        <v>5713210</v>
      </c>
      <c r="B1503" s="8" t="s">
        <v>1168</v>
      </c>
      <c r="C1503" s="8">
        <v>293</v>
      </c>
      <c r="D1503" s="8" t="s">
        <v>1169</v>
      </c>
      <c r="E1503" s="8">
        <v>5713210</v>
      </c>
    </row>
    <row r="1504" spans="1:5" x14ac:dyDescent="0.5">
      <c r="A1504" s="7">
        <v>5713500</v>
      </c>
      <c r="B1504" s="8" t="s">
        <v>1265</v>
      </c>
      <c r="C1504" s="8">
        <v>317</v>
      </c>
      <c r="D1504" s="8" t="s">
        <v>1266</v>
      </c>
      <c r="E1504" s="8">
        <v>5713500</v>
      </c>
    </row>
    <row r="1505" spans="1:5" x14ac:dyDescent="0.5">
      <c r="A1505" s="7">
        <v>5713520</v>
      </c>
      <c r="B1505" s="8" t="s">
        <v>1218</v>
      </c>
      <c r="C1505" s="8">
        <v>319</v>
      </c>
      <c r="D1505" s="8" t="s">
        <v>1219</v>
      </c>
      <c r="E1505" s="8">
        <v>5313520</v>
      </c>
    </row>
    <row r="1506" spans="1:5" x14ac:dyDescent="0.5">
      <c r="A1506" s="7">
        <v>5713530</v>
      </c>
      <c r="B1506" s="8" t="s">
        <v>1148</v>
      </c>
      <c r="C1506" s="8">
        <v>320</v>
      </c>
      <c r="D1506" s="8" t="s">
        <v>1149</v>
      </c>
      <c r="E1506" s="8">
        <v>5713530</v>
      </c>
    </row>
    <row r="1507" spans="1:5" x14ac:dyDescent="0.5">
      <c r="A1507" s="7">
        <v>5713680</v>
      </c>
      <c r="B1507" s="8" t="s">
        <v>1151</v>
      </c>
      <c r="C1507" s="8">
        <v>336</v>
      </c>
      <c r="D1507" s="8" t="s">
        <v>1152</v>
      </c>
      <c r="E1507" s="8">
        <v>5413680</v>
      </c>
    </row>
    <row r="1508" spans="1:5" x14ac:dyDescent="0.5">
      <c r="A1508" s="7">
        <v>5713760</v>
      </c>
      <c r="B1508" s="8" t="s">
        <v>1192</v>
      </c>
      <c r="C1508" s="8">
        <v>344</v>
      </c>
      <c r="D1508" s="8" t="s">
        <v>1193</v>
      </c>
      <c r="E1508" s="8">
        <v>4813760</v>
      </c>
    </row>
    <row r="1509" spans="1:5" x14ac:dyDescent="0.5">
      <c r="A1509" s="7">
        <v>5714140</v>
      </c>
      <c r="B1509" s="8" t="s">
        <v>1267</v>
      </c>
      <c r="C1509" s="8">
        <v>372</v>
      </c>
      <c r="D1509" s="8" t="s">
        <v>1268</v>
      </c>
      <c r="E1509" s="8">
        <v>5714140</v>
      </c>
    </row>
    <row r="1510" spans="1:5" x14ac:dyDescent="0.5">
      <c r="A1510" s="7">
        <v>5714710</v>
      </c>
      <c r="B1510" s="8" t="s">
        <v>987</v>
      </c>
      <c r="C1510" s="8">
        <v>414</v>
      </c>
      <c r="D1510" s="8" t="s">
        <v>1108</v>
      </c>
      <c r="E1510" s="8">
        <v>5414710</v>
      </c>
    </row>
    <row r="1511" spans="1:5" x14ac:dyDescent="0.5">
      <c r="A1511" s="7">
        <v>5714720</v>
      </c>
      <c r="B1511" s="8" t="s">
        <v>989</v>
      </c>
      <c r="C1511" s="8">
        <v>416</v>
      </c>
      <c r="D1511" s="8" t="s">
        <v>1122</v>
      </c>
      <c r="E1511" s="8">
        <v>6014720</v>
      </c>
    </row>
    <row r="1512" spans="1:5" x14ac:dyDescent="0.5">
      <c r="A1512" s="7">
        <v>5813350</v>
      </c>
      <c r="B1512" s="8" t="s">
        <v>1226</v>
      </c>
      <c r="C1512" s="8">
        <v>301</v>
      </c>
      <c r="D1512" s="8" t="s">
        <v>1144</v>
      </c>
      <c r="E1512" s="8">
        <v>4613300</v>
      </c>
    </row>
    <row r="1513" spans="1:5" x14ac:dyDescent="0.5">
      <c r="A1513" s="7">
        <v>5813430</v>
      </c>
      <c r="B1513" s="8" t="s">
        <v>1224</v>
      </c>
      <c r="C1513" s="8">
        <v>310</v>
      </c>
      <c r="D1513" s="8" t="s">
        <v>1269</v>
      </c>
      <c r="E1513" s="8">
        <v>5813430</v>
      </c>
    </row>
    <row r="1514" spans="1:5" x14ac:dyDescent="0.5">
      <c r="A1514" s="7">
        <v>5813460</v>
      </c>
      <c r="B1514" s="8" t="s">
        <v>1225</v>
      </c>
      <c r="C1514" s="8">
        <v>315</v>
      </c>
      <c r="D1514" s="8" t="s">
        <v>1147</v>
      </c>
      <c r="E1514" s="8">
        <v>5513470</v>
      </c>
    </row>
    <row r="1515" spans="1:5" x14ac:dyDescent="0.5">
      <c r="A1515" s="7">
        <v>5813470</v>
      </c>
      <c r="B1515" s="8" t="s">
        <v>1227</v>
      </c>
      <c r="C1515" s="8">
        <v>315</v>
      </c>
      <c r="D1515" s="8" t="s">
        <v>1147</v>
      </c>
      <c r="E1515" s="8">
        <v>5513470</v>
      </c>
    </row>
    <row r="1516" spans="1:5" x14ac:dyDescent="0.5">
      <c r="A1516" s="7">
        <v>5813570</v>
      </c>
      <c r="B1516" s="8" t="s">
        <v>1150</v>
      </c>
      <c r="C1516" s="8">
        <v>323</v>
      </c>
      <c r="D1516" s="8" t="s">
        <v>1142</v>
      </c>
      <c r="E1516" s="8">
        <v>5513570</v>
      </c>
    </row>
    <row r="1517" spans="1:5" x14ac:dyDescent="0.5">
      <c r="A1517" s="7">
        <v>5813610</v>
      </c>
      <c r="B1517" s="8" t="s">
        <v>1270</v>
      </c>
      <c r="C1517" s="8">
        <v>326</v>
      </c>
      <c r="D1517" s="8" t="s">
        <v>1271</v>
      </c>
      <c r="E1517" s="8">
        <v>5813610</v>
      </c>
    </row>
    <row r="1518" spans="1:5" x14ac:dyDescent="0.5">
      <c r="A1518" s="7">
        <v>5813820</v>
      </c>
      <c r="B1518" s="8" t="s">
        <v>1232</v>
      </c>
      <c r="C1518" s="8">
        <v>351</v>
      </c>
      <c r="D1518" s="8" t="s">
        <v>1233</v>
      </c>
      <c r="E1518" s="8">
        <v>5513820</v>
      </c>
    </row>
    <row r="1519" spans="1:5" x14ac:dyDescent="0.5">
      <c r="A1519" s="7">
        <v>5814260</v>
      </c>
      <c r="B1519" s="8" t="s">
        <v>1272</v>
      </c>
      <c r="C1519" s="8">
        <v>381</v>
      </c>
      <c r="D1519" s="8" t="s">
        <v>1273</v>
      </c>
      <c r="E1519" s="8">
        <v>5514260</v>
      </c>
    </row>
    <row r="1520" spans="1:5" x14ac:dyDescent="0.5">
      <c r="A1520" s="7">
        <v>5814490</v>
      </c>
      <c r="B1520" s="8" t="s">
        <v>1274</v>
      </c>
      <c r="C1520" s="8">
        <v>397</v>
      </c>
      <c r="D1520" s="8" t="s">
        <v>1052</v>
      </c>
      <c r="E1520" s="8">
        <v>5514500</v>
      </c>
    </row>
    <row r="1521" spans="1:5" x14ac:dyDescent="0.5">
      <c r="A1521" s="7">
        <v>5814500</v>
      </c>
      <c r="B1521" s="8" t="s">
        <v>1236</v>
      </c>
      <c r="C1521" s="8">
        <v>397</v>
      </c>
      <c r="D1521" s="8" t="s">
        <v>1052</v>
      </c>
      <c r="E1521" s="8">
        <v>5514500</v>
      </c>
    </row>
    <row r="1522" spans="1:5" x14ac:dyDescent="0.5">
      <c r="A1522" s="7">
        <v>5814520</v>
      </c>
      <c r="B1522" s="8" t="s">
        <v>1275</v>
      </c>
      <c r="C1522" s="8">
        <v>398</v>
      </c>
      <c r="D1522" s="8" t="s">
        <v>1276</v>
      </c>
      <c r="E1522" s="8">
        <v>5814520</v>
      </c>
    </row>
    <row r="1523" spans="1:5" x14ac:dyDescent="0.5">
      <c r="A1523" s="7">
        <v>5814590</v>
      </c>
      <c r="B1523" s="8" t="s">
        <v>1277</v>
      </c>
      <c r="C1523" s="8">
        <v>403</v>
      </c>
      <c r="D1523" s="8" t="s">
        <v>1240</v>
      </c>
      <c r="E1523" s="8">
        <v>5614600</v>
      </c>
    </row>
    <row r="1524" spans="1:5" x14ac:dyDescent="0.5">
      <c r="A1524" s="7">
        <v>5814680</v>
      </c>
      <c r="B1524" s="8" t="s">
        <v>1161</v>
      </c>
      <c r="C1524" s="8">
        <v>408</v>
      </c>
      <c r="D1524" s="8" t="s">
        <v>1162</v>
      </c>
      <c r="E1524" s="8">
        <v>5814680</v>
      </c>
    </row>
    <row r="1525" spans="1:5" x14ac:dyDescent="0.5">
      <c r="A1525" s="7">
        <v>5814730</v>
      </c>
      <c r="B1525" s="8" t="s">
        <v>991</v>
      </c>
      <c r="C1525" s="8">
        <v>418</v>
      </c>
      <c r="D1525" s="8" t="s">
        <v>1135</v>
      </c>
      <c r="E1525" s="8">
        <v>4514730</v>
      </c>
    </row>
    <row r="1526" spans="1:5" x14ac:dyDescent="0.5">
      <c r="A1526" s="7">
        <v>5814740</v>
      </c>
      <c r="B1526" s="8" t="s">
        <v>993</v>
      </c>
      <c r="C1526" s="8">
        <v>421</v>
      </c>
      <c r="D1526" s="8" t="s">
        <v>1163</v>
      </c>
      <c r="E1526" s="8">
        <v>4614740</v>
      </c>
    </row>
    <row r="1527" spans="1:5" x14ac:dyDescent="0.5">
      <c r="A1527" s="7">
        <v>5814800</v>
      </c>
      <c r="B1527" s="8" t="s">
        <v>1037</v>
      </c>
      <c r="C1527" s="8">
        <v>427</v>
      </c>
      <c r="D1527" s="8" t="s">
        <v>1038</v>
      </c>
      <c r="E1527" s="8">
        <v>5514800</v>
      </c>
    </row>
    <row r="1528" spans="1:5" x14ac:dyDescent="0.5">
      <c r="A1528" s="7">
        <v>5814900</v>
      </c>
      <c r="B1528" s="8" t="s">
        <v>1041</v>
      </c>
      <c r="C1528" s="8">
        <v>435</v>
      </c>
      <c r="D1528" s="8" t="s">
        <v>1042</v>
      </c>
      <c r="E1528" s="8">
        <v>5814900</v>
      </c>
    </row>
    <row r="1529" spans="1:5" x14ac:dyDescent="0.5">
      <c r="A1529" s="7">
        <v>5815010</v>
      </c>
      <c r="B1529" s="8" t="s">
        <v>1278</v>
      </c>
      <c r="C1529" s="8">
        <v>444</v>
      </c>
      <c r="D1529" s="8" t="s">
        <v>1279</v>
      </c>
      <c r="E1529" s="8">
        <v>5815010</v>
      </c>
    </row>
    <row r="1530" spans="1:5" x14ac:dyDescent="0.5">
      <c r="A1530" s="7">
        <v>5913150</v>
      </c>
      <c r="B1530" s="8" t="s">
        <v>1182</v>
      </c>
      <c r="C1530" s="8">
        <v>287</v>
      </c>
      <c r="D1530" s="8" t="s">
        <v>1183</v>
      </c>
      <c r="E1530" s="8">
        <v>5713150</v>
      </c>
    </row>
    <row r="1531" spans="1:5" x14ac:dyDescent="0.5">
      <c r="A1531" s="7">
        <v>5913160</v>
      </c>
      <c r="B1531" s="8" t="s">
        <v>1222</v>
      </c>
      <c r="C1531" s="8">
        <v>288</v>
      </c>
      <c r="D1531" s="8" t="s">
        <v>1223</v>
      </c>
      <c r="E1531" s="8">
        <v>5413160</v>
      </c>
    </row>
    <row r="1532" spans="1:5" x14ac:dyDescent="0.5">
      <c r="A1532" s="7">
        <v>5913180</v>
      </c>
      <c r="B1532" s="8" t="s">
        <v>1186</v>
      </c>
      <c r="C1532" s="8">
        <v>291</v>
      </c>
      <c r="D1532" s="8" t="s">
        <v>1187</v>
      </c>
      <c r="E1532" s="8">
        <v>5713180</v>
      </c>
    </row>
    <row r="1533" spans="1:5" x14ac:dyDescent="0.5">
      <c r="A1533" s="7">
        <v>5913420</v>
      </c>
      <c r="B1533" s="8" t="s">
        <v>1280</v>
      </c>
      <c r="C1533" s="8">
        <v>309</v>
      </c>
      <c r="D1533" s="8" t="s">
        <v>1281</v>
      </c>
      <c r="E1533" s="8">
        <v>5913420</v>
      </c>
    </row>
    <row r="1534" spans="1:5" x14ac:dyDescent="0.5">
      <c r="A1534" s="7">
        <v>5913510</v>
      </c>
      <c r="B1534" s="8" t="s">
        <v>1190</v>
      </c>
      <c r="C1534" s="8">
        <v>318</v>
      </c>
      <c r="D1534" s="8" t="s">
        <v>1191</v>
      </c>
      <c r="E1534" s="8">
        <v>5413510</v>
      </c>
    </row>
    <row r="1535" spans="1:5" x14ac:dyDescent="0.5">
      <c r="A1535" s="7">
        <v>5913520</v>
      </c>
      <c r="B1535" s="8" t="s">
        <v>1218</v>
      </c>
      <c r="C1535" s="8">
        <v>319</v>
      </c>
      <c r="D1535" s="8" t="s">
        <v>1219</v>
      </c>
      <c r="E1535" s="8">
        <v>5313520</v>
      </c>
    </row>
    <row r="1536" spans="1:5" x14ac:dyDescent="0.5">
      <c r="A1536" s="7">
        <v>5913530</v>
      </c>
      <c r="B1536" s="8" t="s">
        <v>1148</v>
      </c>
      <c r="C1536" s="8">
        <v>320</v>
      </c>
      <c r="D1536" s="8" t="s">
        <v>1149</v>
      </c>
      <c r="E1536" s="8">
        <v>5713530</v>
      </c>
    </row>
    <row r="1537" spans="1:5" x14ac:dyDescent="0.5">
      <c r="A1537" s="7">
        <v>5913680</v>
      </c>
      <c r="B1537" s="8" t="s">
        <v>1151</v>
      </c>
      <c r="C1537" s="8">
        <v>336</v>
      </c>
      <c r="D1537" s="8" t="s">
        <v>1152</v>
      </c>
      <c r="E1537" s="8">
        <v>5413680</v>
      </c>
    </row>
    <row r="1538" spans="1:5" x14ac:dyDescent="0.5">
      <c r="A1538" s="7">
        <v>5914710</v>
      </c>
      <c r="B1538" s="8" t="s">
        <v>987</v>
      </c>
      <c r="C1538" s="8">
        <v>414</v>
      </c>
      <c r="D1538" s="8" t="s">
        <v>1108</v>
      </c>
      <c r="E1538" s="8">
        <v>5414710</v>
      </c>
    </row>
    <row r="1539" spans="1:5" x14ac:dyDescent="0.5">
      <c r="A1539" s="7">
        <v>5914720</v>
      </c>
      <c r="B1539" s="8" t="s">
        <v>989</v>
      </c>
      <c r="C1539" s="8">
        <v>416</v>
      </c>
      <c r="D1539" s="8" t="s">
        <v>1122</v>
      </c>
      <c r="E1539" s="8">
        <v>6014720</v>
      </c>
    </row>
    <row r="1540" spans="1:5" x14ac:dyDescent="0.5">
      <c r="A1540" s="7">
        <v>6013030</v>
      </c>
      <c r="B1540" s="8" t="s">
        <v>1282</v>
      </c>
      <c r="C1540" s="8">
        <v>279</v>
      </c>
      <c r="D1540" s="8" t="s">
        <v>1283</v>
      </c>
      <c r="E1540" s="8">
        <v>6113030</v>
      </c>
    </row>
    <row r="1541" spans="1:5" x14ac:dyDescent="0.5">
      <c r="A1541" s="7">
        <v>6013160</v>
      </c>
      <c r="B1541" s="8" t="s">
        <v>1222</v>
      </c>
      <c r="C1541" s="8">
        <v>288</v>
      </c>
      <c r="D1541" s="8" t="s">
        <v>1223</v>
      </c>
      <c r="E1541" s="8">
        <v>5413160</v>
      </c>
    </row>
    <row r="1542" spans="1:5" x14ac:dyDescent="0.5">
      <c r="A1542" s="7">
        <v>6013240</v>
      </c>
      <c r="B1542" s="8" t="s">
        <v>1284</v>
      </c>
      <c r="C1542" s="8">
        <v>296</v>
      </c>
      <c r="D1542" s="8" t="s">
        <v>1285</v>
      </c>
      <c r="E1542" s="8">
        <v>6013240</v>
      </c>
    </row>
    <row r="1543" spans="1:5" x14ac:dyDescent="0.5">
      <c r="A1543" s="7">
        <v>6013350</v>
      </c>
      <c r="B1543" s="8" t="s">
        <v>1226</v>
      </c>
      <c r="C1543" s="8">
        <v>301</v>
      </c>
      <c r="D1543" s="8" t="s">
        <v>1144</v>
      </c>
      <c r="E1543" s="8">
        <v>4613300</v>
      </c>
    </row>
    <row r="1544" spans="1:5" x14ac:dyDescent="0.5">
      <c r="A1544" s="7">
        <v>6013430</v>
      </c>
      <c r="B1544" s="8" t="s">
        <v>1224</v>
      </c>
      <c r="C1544" s="8">
        <v>310</v>
      </c>
      <c r="D1544" s="8" t="s">
        <v>1269</v>
      </c>
      <c r="E1544" s="8">
        <v>5813430</v>
      </c>
    </row>
    <row r="1545" spans="1:5" x14ac:dyDescent="0.5">
      <c r="A1545" s="7">
        <v>6013470</v>
      </c>
      <c r="B1545" s="8" t="s">
        <v>1227</v>
      </c>
      <c r="C1545" s="8">
        <v>315</v>
      </c>
      <c r="D1545" s="8" t="s">
        <v>1147</v>
      </c>
      <c r="E1545" s="8">
        <v>5513470</v>
      </c>
    </row>
    <row r="1546" spans="1:5" x14ac:dyDescent="0.5">
      <c r="A1546" s="7">
        <v>6013520</v>
      </c>
      <c r="B1546" s="8" t="s">
        <v>1218</v>
      </c>
      <c r="C1546" s="8">
        <v>319</v>
      </c>
      <c r="D1546" s="8" t="s">
        <v>1219</v>
      </c>
      <c r="E1546" s="8">
        <v>5313520</v>
      </c>
    </row>
    <row r="1547" spans="1:5" x14ac:dyDescent="0.5">
      <c r="A1547" s="7">
        <v>6013530</v>
      </c>
      <c r="B1547" s="8" t="s">
        <v>1148</v>
      </c>
      <c r="C1547" s="8">
        <v>320</v>
      </c>
      <c r="D1547" s="8" t="s">
        <v>1149</v>
      </c>
      <c r="E1547" s="8">
        <v>5713530</v>
      </c>
    </row>
    <row r="1548" spans="1:5" x14ac:dyDescent="0.5">
      <c r="A1548" s="7">
        <v>6013550</v>
      </c>
      <c r="B1548" s="8" t="s">
        <v>1286</v>
      </c>
      <c r="C1548" s="8">
        <v>321</v>
      </c>
      <c r="D1548" s="8" t="s">
        <v>1287</v>
      </c>
      <c r="E1548" s="8">
        <v>6413540</v>
      </c>
    </row>
    <row r="1549" spans="1:5" x14ac:dyDescent="0.5">
      <c r="A1549" s="7">
        <v>6013610</v>
      </c>
      <c r="B1549" s="8" t="s">
        <v>1270</v>
      </c>
      <c r="C1549" s="8">
        <v>326</v>
      </c>
      <c r="D1549" s="8" t="s">
        <v>1271</v>
      </c>
      <c r="E1549" s="8">
        <v>5813610</v>
      </c>
    </row>
    <row r="1550" spans="1:5" x14ac:dyDescent="0.5">
      <c r="A1550" s="7">
        <v>6013680</v>
      </c>
      <c r="B1550" s="8" t="s">
        <v>1151</v>
      </c>
      <c r="C1550" s="8">
        <v>336</v>
      </c>
      <c r="D1550" s="8" t="s">
        <v>1152</v>
      </c>
      <c r="E1550" s="8">
        <v>5413680</v>
      </c>
    </row>
    <row r="1551" spans="1:5" x14ac:dyDescent="0.5">
      <c r="A1551" s="7">
        <v>6013690</v>
      </c>
      <c r="B1551" s="8" t="s">
        <v>1288</v>
      </c>
      <c r="C1551" s="8">
        <v>337</v>
      </c>
      <c r="D1551" s="8" t="s">
        <v>1289</v>
      </c>
      <c r="E1551" s="8">
        <v>6013690</v>
      </c>
    </row>
    <row r="1552" spans="1:5" x14ac:dyDescent="0.5">
      <c r="A1552" s="7">
        <v>6013700</v>
      </c>
      <c r="B1552" s="8" t="s">
        <v>1220</v>
      </c>
      <c r="C1552" s="8">
        <v>338</v>
      </c>
      <c r="D1552" s="8" t="s">
        <v>1221</v>
      </c>
      <c r="E1552" s="8">
        <v>6013700</v>
      </c>
    </row>
    <row r="1553" spans="1:5" x14ac:dyDescent="0.5">
      <c r="A1553" s="7">
        <v>6013750</v>
      </c>
      <c r="B1553" s="8" t="s">
        <v>1290</v>
      </c>
      <c r="C1553" s="8">
        <v>343</v>
      </c>
      <c r="D1553" s="8" t="s">
        <v>1291</v>
      </c>
      <c r="E1553" s="8">
        <v>6013750</v>
      </c>
    </row>
    <row r="1554" spans="1:5" x14ac:dyDescent="0.5">
      <c r="A1554" s="7">
        <v>6013770</v>
      </c>
      <c r="B1554" s="8" t="s">
        <v>1292</v>
      </c>
      <c r="C1554" s="8">
        <v>345</v>
      </c>
      <c r="D1554" s="8" t="s">
        <v>1293</v>
      </c>
      <c r="E1554" s="8">
        <v>5313770</v>
      </c>
    </row>
    <row r="1555" spans="1:5" x14ac:dyDescent="0.5">
      <c r="A1555" s="7">
        <v>6013790</v>
      </c>
      <c r="B1555" s="8" t="s">
        <v>1294</v>
      </c>
      <c r="C1555" s="8">
        <v>347</v>
      </c>
      <c r="D1555" s="8" t="s">
        <v>1295</v>
      </c>
      <c r="E1555" s="8">
        <v>6013790</v>
      </c>
    </row>
    <row r="1556" spans="1:5" x14ac:dyDescent="0.5">
      <c r="A1556" s="7">
        <v>6014000</v>
      </c>
      <c r="B1556" s="8" t="s">
        <v>1296</v>
      </c>
      <c r="C1556" s="8">
        <v>362</v>
      </c>
      <c r="D1556" s="8" t="s">
        <v>1297</v>
      </c>
      <c r="E1556" s="8">
        <v>6014000</v>
      </c>
    </row>
    <row r="1557" spans="1:5" x14ac:dyDescent="0.5">
      <c r="A1557" s="7">
        <v>6014360</v>
      </c>
      <c r="B1557" s="8" t="s">
        <v>1298</v>
      </c>
      <c r="C1557" s="8">
        <v>388</v>
      </c>
      <c r="D1557" s="8" t="s">
        <v>1299</v>
      </c>
      <c r="E1557" s="8">
        <v>6014360</v>
      </c>
    </row>
    <row r="1558" spans="1:5" x14ac:dyDescent="0.5">
      <c r="A1558" s="7">
        <v>6014490</v>
      </c>
      <c r="B1558" s="8" t="s">
        <v>1274</v>
      </c>
      <c r="C1558" s="8">
        <v>397</v>
      </c>
      <c r="D1558" s="8" t="s">
        <v>1052</v>
      </c>
      <c r="E1558" s="8">
        <v>5514500</v>
      </c>
    </row>
    <row r="1559" spans="1:5" x14ac:dyDescent="0.5">
      <c r="A1559" s="7">
        <v>6014520</v>
      </c>
      <c r="B1559" s="8" t="s">
        <v>1275</v>
      </c>
      <c r="C1559" s="8">
        <v>398</v>
      </c>
      <c r="D1559" s="8" t="s">
        <v>1276</v>
      </c>
      <c r="E1559" s="8">
        <v>5814520</v>
      </c>
    </row>
    <row r="1560" spans="1:5" x14ac:dyDescent="0.5">
      <c r="A1560" s="7">
        <v>6014680</v>
      </c>
      <c r="B1560" s="8" t="s">
        <v>1161</v>
      </c>
      <c r="C1560" s="8">
        <v>408</v>
      </c>
      <c r="D1560" s="8" t="s">
        <v>1162</v>
      </c>
      <c r="E1560" s="8">
        <v>5814680</v>
      </c>
    </row>
    <row r="1561" spans="1:5" x14ac:dyDescent="0.5">
      <c r="A1561" s="7">
        <v>6014710</v>
      </c>
      <c r="B1561" s="8" t="s">
        <v>987</v>
      </c>
      <c r="C1561" s="8">
        <v>414</v>
      </c>
      <c r="D1561" s="8" t="s">
        <v>1108</v>
      </c>
      <c r="E1561" s="8">
        <v>5414710</v>
      </c>
    </row>
    <row r="1562" spans="1:5" x14ac:dyDescent="0.5">
      <c r="A1562" s="7">
        <v>6014720</v>
      </c>
      <c r="B1562" s="8" t="s">
        <v>989</v>
      </c>
      <c r="C1562" s="8">
        <v>416</v>
      </c>
      <c r="D1562" s="8" t="s">
        <v>1122</v>
      </c>
      <c r="E1562" s="8">
        <v>6014720</v>
      </c>
    </row>
    <row r="1563" spans="1:5" x14ac:dyDescent="0.5">
      <c r="A1563" s="7">
        <v>6014730</v>
      </c>
      <c r="B1563" s="8" t="s">
        <v>991</v>
      </c>
      <c r="C1563" s="8">
        <v>418</v>
      </c>
      <c r="D1563" s="8" t="s">
        <v>1135</v>
      </c>
      <c r="E1563" s="8">
        <v>4514730</v>
      </c>
    </row>
    <row r="1564" spans="1:5" x14ac:dyDescent="0.5">
      <c r="A1564" s="7">
        <v>6014740</v>
      </c>
      <c r="B1564" s="8" t="s">
        <v>993</v>
      </c>
      <c r="C1564" s="8">
        <v>421</v>
      </c>
      <c r="D1564" s="8" t="s">
        <v>1163</v>
      </c>
      <c r="E1564" s="8">
        <v>4614740</v>
      </c>
    </row>
    <row r="1565" spans="1:5" x14ac:dyDescent="0.5">
      <c r="A1565" s="7">
        <v>6014790</v>
      </c>
      <c r="B1565" s="8" t="s">
        <v>1099</v>
      </c>
      <c r="C1565" s="8">
        <v>426</v>
      </c>
      <c r="D1565" s="8" t="s">
        <v>1100</v>
      </c>
      <c r="E1565" s="8">
        <v>5214790</v>
      </c>
    </row>
    <row r="1566" spans="1:5" x14ac:dyDescent="0.5">
      <c r="A1566" s="7">
        <v>6014800</v>
      </c>
      <c r="B1566" s="8" t="s">
        <v>1037</v>
      </c>
      <c r="C1566" s="8">
        <v>427</v>
      </c>
      <c r="D1566" s="8" t="s">
        <v>1038</v>
      </c>
      <c r="E1566" s="8">
        <v>5514800</v>
      </c>
    </row>
    <row r="1567" spans="1:5" x14ac:dyDescent="0.5">
      <c r="A1567" s="7">
        <v>6014900</v>
      </c>
      <c r="B1567" s="8" t="s">
        <v>1041</v>
      </c>
      <c r="C1567" s="8">
        <v>435</v>
      </c>
      <c r="D1567" s="8" t="s">
        <v>1042</v>
      </c>
      <c r="E1567" s="8">
        <v>5814900</v>
      </c>
    </row>
    <row r="1568" spans="1:5" x14ac:dyDescent="0.5">
      <c r="A1568" s="7">
        <v>6014980</v>
      </c>
      <c r="B1568" s="8" t="s">
        <v>1300</v>
      </c>
      <c r="C1568" s="8">
        <v>100</v>
      </c>
      <c r="D1568" s="8" t="s">
        <v>578</v>
      </c>
      <c r="E1568" s="8" t="s">
        <v>579</v>
      </c>
    </row>
    <row r="1569" spans="1:5" x14ac:dyDescent="0.5">
      <c r="A1569" s="7">
        <v>6015010</v>
      </c>
      <c r="B1569" s="8" t="s">
        <v>1278</v>
      </c>
      <c r="C1569" s="8">
        <v>444</v>
      </c>
      <c r="D1569" s="8" t="s">
        <v>1279</v>
      </c>
      <c r="E1569" s="8">
        <v>5815010</v>
      </c>
    </row>
    <row r="1570" spans="1:5" x14ac:dyDescent="0.5">
      <c r="A1570" s="7">
        <v>6113030</v>
      </c>
      <c r="B1570" s="8" t="s">
        <v>1282</v>
      </c>
      <c r="C1570" s="8">
        <v>279</v>
      </c>
      <c r="D1570" s="8" t="s">
        <v>1283</v>
      </c>
      <c r="E1570" s="8">
        <v>6113030</v>
      </c>
    </row>
    <row r="1571" spans="1:5" x14ac:dyDescent="0.5">
      <c r="A1571" s="7">
        <v>6113150</v>
      </c>
      <c r="B1571" s="8" t="s">
        <v>1182</v>
      </c>
      <c r="C1571" s="8">
        <v>287</v>
      </c>
      <c r="D1571" s="8" t="s">
        <v>1183</v>
      </c>
      <c r="E1571" s="8">
        <v>5713150</v>
      </c>
    </row>
    <row r="1572" spans="1:5" x14ac:dyDescent="0.5">
      <c r="A1572" s="7">
        <v>6113160</v>
      </c>
      <c r="B1572" s="8" t="s">
        <v>1222</v>
      </c>
      <c r="C1572" s="8">
        <v>288</v>
      </c>
      <c r="D1572" s="8" t="s">
        <v>1223</v>
      </c>
      <c r="E1572" s="8">
        <v>5413160</v>
      </c>
    </row>
    <row r="1573" spans="1:5" x14ac:dyDescent="0.5">
      <c r="A1573" s="7">
        <v>6113170</v>
      </c>
      <c r="B1573" s="8" t="s">
        <v>1184</v>
      </c>
      <c r="C1573" s="8">
        <v>290</v>
      </c>
      <c r="D1573" s="8" t="s">
        <v>1264</v>
      </c>
      <c r="E1573" s="8">
        <v>6213170</v>
      </c>
    </row>
    <row r="1574" spans="1:5" x14ac:dyDescent="0.5">
      <c r="A1574" s="7">
        <v>6113180</v>
      </c>
      <c r="B1574" s="8" t="s">
        <v>1186</v>
      </c>
      <c r="C1574" s="8">
        <v>291</v>
      </c>
      <c r="D1574" s="8" t="s">
        <v>1187</v>
      </c>
      <c r="E1574" s="8">
        <v>5713180</v>
      </c>
    </row>
    <row r="1575" spans="1:5" x14ac:dyDescent="0.5">
      <c r="A1575" s="7">
        <v>6113200</v>
      </c>
      <c r="B1575" s="8" t="s">
        <v>1188</v>
      </c>
      <c r="C1575" s="8">
        <v>292</v>
      </c>
      <c r="D1575" s="8" t="s">
        <v>1189</v>
      </c>
      <c r="E1575" s="8">
        <v>5713200</v>
      </c>
    </row>
    <row r="1576" spans="1:5" x14ac:dyDescent="0.5">
      <c r="A1576" s="7">
        <v>6113210</v>
      </c>
      <c r="B1576" s="8" t="s">
        <v>1168</v>
      </c>
      <c r="C1576" s="8">
        <v>293</v>
      </c>
      <c r="D1576" s="8" t="s">
        <v>1169</v>
      </c>
      <c r="E1576" s="8">
        <v>5713210</v>
      </c>
    </row>
    <row r="1577" spans="1:5" x14ac:dyDescent="0.5">
      <c r="A1577" s="7">
        <v>6113400</v>
      </c>
      <c r="B1577" s="8" t="s">
        <v>1301</v>
      </c>
      <c r="C1577" s="8">
        <v>308</v>
      </c>
      <c r="D1577" s="8" t="s">
        <v>1302</v>
      </c>
      <c r="E1577" s="8">
        <v>6113400</v>
      </c>
    </row>
    <row r="1578" spans="1:5" x14ac:dyDescent="0.5">
      <c r="A1578" s="7">
        <v>6113500</v>
      </c>
      <c r="B1578" s="8" t="s">
        <v>1265</v>
      </c>
      <c r="C1578" s="8">
        <v>317</v>
      </c>
      <c r="D1578" s="8" t="s">
        <v>1266</v>
      </c>
      <c r="E1578" s="8">
        <v>5713500</v>
      </c>
    </row>
    <row r="1579" spans="1:5" x14ac:dyDescent="0.5">
      <c r="A1579" s="7">
        <v>6113520</v>
      </c>
      <c r="B1579" s="8" t="s">
        <v>1218</v>
      </c>
      <c r="C1579" s="8">
        <v>319</v>
      </c>
      <c r="D1579" s="8" t="s">
        <v>1219</v>
      </c>
      <c r="E1579" s="8">
        <v>5313520</v>
      </c>
    </row>
    <row r="1580" spans="1:5" x14ac:dyDescent="0.5">
      <c r="A1580" s="7">
        <v>6113530</v>
      </c>
      <c r="B1580" s="8" t="s">
        <v>1148</v>
      </c>
      <c r="C1580" s="8">
        <v>320</v>
      </c>
      <c r="D1580" s="8" t="s">
        <v>1149</v>
      </c>
      <c r="E1580" s="8">
        <v>5713530</v>
      </c>
    </row>
    <row r="1581" spans="1:5" x14ac:dyDescent="0.5">
      <c r="A1581" s="7">
        <v>6113680</v>
      </c>
      <c r="B1581" s="8" t="s">
        <v>1151</v>
      </c>
      <c r="C1581" s="8">
        <v>336</v>
      </c>
      <c r="D1581" s="8" t="s">
        <v>1152</v>
      </c>
      <c r="E1581" s="8">
        <v>5413680</v>
      </c>
    </row>
    <row r="1582" spans="1:5" x14ac:dyDescent="0.5">
      <c r="A1582" s="7">
        <v>6113690</v>
      </c>
      <c r="B1582" s="8" t="s">
        <v>1288</v>
      </c>
      <c r="C1582" s="8">
        <v>337</v>
      </c>
      <c r="D1582" s="8" t="s">
        <v>1289</v>
      </c>
      <c r="E1582" s="8">
        <v>6013690</v>
      </c>
    </row>
    <row r="1583" spans="1:5" x14ac:dyDescent="0.5">
      <c r="A1583" s="7">
        <v>6113700</v>
      </c>
      <c r="B1583" s="8" t="s">
        <v>1220</v>
      </c>
      <c r="C1583" s="8">
        <v>338</v>
      </c>
      <c r="D1583" s="8" t="s">
        <v>1221</v>
      </c>
      <c r="E1583" s="8">
        <v>6013700</v>
      </c>
    </row>
    <row r="1584" spans="1:5" x14ac:dyDescent="0.5">
      <c r="A1584" s="7">
        <v>6113760</v>
      </c>
      <c r="B1584" s="8" t="s">
        <v>1192</v>
      </c>
      <c r="C1584" s="8">
        <v>344</v>
      </c>
      <c r="D1584" s="8" t="s">
        <v>1193</v>
      </c>
      <c r="E1584" s="8">
        <v>4813760</v>
      </c>
    </row>
    <row r="1585" spans="1:5" x14ac:dyDescent="0.5">
      <c r="A1585" s="7">
        <v>6113770</v>
      </c>
      <c r="B1585" s="8" t="s">
        <v>1292</v>
      </c>
      <c r="C1585" s="8">
        <v>345</v>
      </c>
      <c r="D1585" s="8" t="s">
        <v>1293</v>
      </c>
      <c r="E1585" s="8">
        <v>5313770</v>
      </c>
    </row>
    <row r="1586" spans="1:5" x14ac:dyDescent="0.5">
      <c r="A1586" s="7">
        <v>6114000</v>
      </c>
      <c r="B1586" s="8" t="s">
        <v>1296</v>
      </c>
      <c r="C1586" s="8">
        <v>362</v>
      </c>
      <c r="D1586" s="8" t="s">
        <v>1297</v>
      </c>
      <c r="E1586" s="8">
        <v>6014000</v>
      </c>
    </row>
    <row r="1587" spans="1:5" x14ac:dyDescent="0.5">
      <c r="A1587" s="7">
        <v>6114710</v>
      </c>
      <c r="B1587" s="8" t="s">
        <v>987</v>
      </c>
      <c r="C1587" s="8">
        <v>414</v>
      </c>
      <c r="D1587" s="8" t="s">
        <v>1108</v>
      </c>
      <c r="E1587" s="8">
        <v>5414710</v>
      </c>
    </row>
    <row r="1588" spans="1:5" x14ac:dyDescent="0.5">
      <c r="A1588" s="7">
        <v>6114720</v>
      </c>
      <c r="B1588" s="8" t="s">
        <v>989</v>
      </c>
      <c r="C1588" s="8">
        <v>416</v>
      </c>
      <c r="D1588" s="8" t="s">
        <v>1122</v>
      </c>
      <c r="E1588" s="8">
        <v>6014720</v>
      </c>
    </row>
    <row r="1589" spans="1:5" x14ac:dyDescent="0.5">
      <c r="A1589" s="7">
        <v>6114790</v>
      </c>
      <c r="B1589" s="8" t="s">
        <v>1099</v>
      </c>
      <c r="C1589" s="8">
        <v>426</v>
      </c>
      <c r="D1589" s="8" t="s">
        <v>1100</v>
      </c>
      <c r="E1589" s="8">
        <v>5214790</v>
      </c>
    </row>
    <row r="1590" spans="1:5" x14ac:dyDescent="0.5">
      <c r="A1590" s="7">
        <v>6213030</v>
      </c>
      <c r="B1590" s="8" t="s">
        <v>1282</v>
      </c>
      <c r="C1590" s="8">
        <v>279</v>
      </c>
      <c r="D1590" s="8" t="s">
        <v>1283</v>
      </c>
      <c r="E1590" s="8">
        <v>6113030</v>
      </c>
    </row>
    <row r="1591" spans="1:5" x14ac:dyDescent="0.5">
      <c r="A1591" s="7">
        <v>6213100</v>
      </c>
      <c r="B1591" s="8" t="s">
        <v>1057</v>
      </c>
      <c r="C1591" s="8">
        <v>285</v>
      </c>
      <c r="D1591" s="8" t="s">
        <v>1058</v>
      </c>
      <c r="E1591" s="8">
        <v>4113100</v>
      </c>
    </row>
    <row r="1592" spans="1:5" x14ac:dyDescent="0.5">
      <c r="A1592" s="7">
        <v>6213130</v>
      </c>
      <c r="B1592" s="8" t="s">
        <v>1167</v>
      </c>
      <c r="C1592" s="8">
        <v>286</v>
      </c>
      <c r="D1592" s="8" t="s">
        <v>1060</v>
      </c>
      <c r="E1592" s="8">
        <v>5113130</v>
      </c>
    </row>
    <row r="1593" spans="1:5" x14ac:dyDescent="0.5">
      <c r="A1593" s="7">
        <v>6213170</v>
      </c>
      <c r="B1593" s="8" t="s">
        <v>1184</v>
      </c>
      <c r="C1593" s="8">
        <v>290</v>
      </c>
      <c r="D1593" s="8" t="s">
        <v>1264</v>
      </c>
      <c r="E1593" s="8">
        <v>6213170</v>
      </c>
    </row>
    <row r="1594" spans="1:5" x14ac:dyDescent="0.5">
      <c r="A1594" s="7">
        <v>6213210</v>
      </c>
      <c r="B1594" s="8" t="s">
        <v>1168</v>
      </c>
      <c r="C1594" s="8">
        <v>293</v>
      </c>
      <c r="D1594" s="8" t="s">
        <v>1169</v>
      </c>
      <c r="E1594" s="8">
        <v>5713210</v>
      </c>
    </row>
    <row r="1595" spans="1:5" x14ac:dyDescent="0.5">
      <c r="A1595" s="7">
        <v>6213700</v>
      </c>
      <c r="B1595" s="8" t="s">
        <v>1220</v>
      </c>
      <c r="C1595" s="8">
        <v>338</v>
      </c>
      <c r="D1595" s="8" t="s">
        <v>1221</v>
      </c>
      <c r="E1595" s="8">
        <v>6013700</v>
      </c>
    </row>
    <row r="1596" spans="1:5" x14ac:dyDescent="0.5">
      <c r="A1596" s="7">
        <v>6214710</v>
      </c>
      <c r="B1596" s="8" t="s">
        <v>987</v>
      </c>
      <c r="C1596" s="8">
        <v>412</v>
      </c>
      <c r="D1596" s="8" t="s">
        <v>1096</v>
      </c>
      <c r="E1596" s="8">
        <v>5114710</v>
      </c>
    </row>
    <row r="1597" spans="1:5" x14ac:dyDescent="0.5">
      <c r="A1597" s="7">
        <v>6214720</v>
      </c>
      <c r="B1597" s="8" t="s">
        <v>989</v>
      </c>
      <c r="C1597" s="8">
        <v>416</v>
      </c>
      <c r="D1597" s="8" t="s">
        <v>1122</v>
      </c>
      <c r="E1597" s="8">
        <v>6014720</v>
      </c>
    </row>
    <row r="1598" spans="1:5" x14ac:dyDescent="0.5">
      <c r="A1598" s="7">
        <v>6214790</v>
      </c>
      <c r="B1598" s="8" t="s">
        <v>1099</v>
      </c>
      <c r="C1598" s="8">
        <v>426</v>
      </c>
      <c r="D1598" s="8" t="s">
        <v>1100</v>
      </c>
      <c r="E1598" s="8">
        <v>5214790</v>
      </c>
    </row>
    <row r="1599" spans="1:5" x14ac:dyDescent="0.5">
      <c r="A1599" s="7">
        <v>6214930</v>
      </c>
      <c r="B1599" s="8" t="s">
        <v>1105</v>
      </c>
      <c r="C1599" s="8">
        <v>438</v>
      </c>
      <c r="D1599" s="8" t="s">
        <v>1106</v>
      </c>
      <c r="E1599" s="8">
        <v>5114930</v>
      </c>
    </row>
    <row r="1600" spans="1:5" x14ac:dyDescent="0.5">
      <c r="A1600" s="7">
        <v>6215180</v>
      </c>
      <c r="B1600" s="8" t="s">
        <v>1113</v>
      </c>
      <c r="C1600" s="8">
        <v>452</v>
      </c>
      <c r="D1600" s="8" t="s">
        <v>1114</v>
      </c>
      <c r="E1600" s="8">
        <v>6215180</v>
      </c>
    </row>
    <row r="1601" spans="1:5" x14ac:dyDescent="0.5">
      <c r="A1601" s="7">
        <v>6313020</v>
      </c>
      <c r="B1601" s="8" t="s">
        <v>1072</v>
      </c>
      <c r="C1601" s="8">
        <v>278</v>
      </c>
      <c r="D1601" s="8" t="s">
        <v>1073</v>
      </c>
      <c r="E1601" s="8">
        <v>5013021</v>
      </c>
    </row>
    <row r="1602" spans="1:5" x14ac:dyDescent="0.5">
      <c r="A1602" s="7">
        <v>6313030</v>
      </c>
      <c r="B1602" s="8" t="s">
        <v>1282</v>
      </c>
      <c r="C1602" s="8">
        <v>279</v>
      </c>
      <c r="D1602" s="8" t="s">
        <v>1283</v>
      </c>
      <c r="E1602" s="8">
        <v>6113030</v>
      </c>
    </row>
    <row r="1603" spans="1:5" x14ac:dyDescent="0.5">
      <c r="A1603" s="7">
        <v>6313210</v>
      </c>
      <c r="B1603" s="8" t="s">
        <v>1168</v>
      </c>
      <c r="C1603" s="8">
        <v>293</v>
      </c>
      <c r="D1603" s="8" t="s">
        <v>1169</v>
      </c>
      <c r="E1603" s="8">
        <v>5713210</v>
      </c>
    </row>
    <row r="1604" spans="1:5" x14ac:dyDescent="0.5">
      <c r="A1604" s="7">
        <v>6313620</v>
      </c>
      <c r="B1604" s="8" t="s">
        <v>1081</v>
      </c>
      <c r="C1604" s="8">
        <v>327</v>
      </c>
      <c r="D1604" s="8" t="s">
        <v>1082</v>
      </c>
      <c r="E1604" s="8">
        <v>5113620</v>
      </c>
    </row>
    <row r="1605" spans="1:5" x14ac:dyDescent="0.5">
      <c r="A1605" s="7">
        <v>6313660</v>
      </c>
      <c r="B1605" s="8" t="s">
        <v>1206</v>
      </c>
      <c r="C1605" s="8">
        <v>334</v>
      </c>
      <c r="D1605" s="8" t="s">
        <v>1207</v>
      </c>
      <c r="E1605" s="8">
        <v>5113660</v>
      </c>
    </row>
    <row r="1606" spans="1:5" x14ac:dyDescent="0.5">
      <c r="A1606" s="7">
        <v>6313690</v>
      </c>
      <c r="B1606" s="8" t="s">
        <v>1288</v>
      </c>
      <c r="C1606" s="8">
        <v>337</v>
      </c>
      <c r="D1606" s="8" t="s">
        <v>1289</v>
      </c>
      <c r="E1606" s="8">
        <v>6013690</v>
      </c>
    </row>
    <row r="1607" spans="1:5" x14ac:dyDescent="0.5">
      <c r="A1607" s="7">
        <v>6313700</v>
      </c>
      <c r="B1607" s="8" t="s">
        <v>1220</v>
      </c>
      <c r="C1607" s="8">
        <v>338</v>
      </c>
      <c r="D1607" s="8" t="s">
        <v>1221</v>
      </c>
      <c r="E1607" s="8">
        <v>6013700</v>
      </c>
    </row>
    <row r="1608" spans="1:5" x14ac:dyDescent="0.5">
      <c r="A1608" s="7">
        <v>6313730</v>
      </c>
      <c r="B1608" s="8" t="s">
        <v>1303</v>
      </c>
      <c r="C1608" s="8">
        <v>341</v>
      </c>
      <c r="D1608" s="8" t="s">
        <v>1304</v>
      </c>
      <c r="E1608" s="8">
        <v>6413730</v>
      </c>
    </row>
    <row r="1609" spans="1:5" x14ac:dyDescent="0.5">
      <c r="A1609" s="7">
        <v>6313770</v>
      </c>
      <c r="B1609" s="8" t="s">
        <v>1292</v>
      </c>
      <c r="C1609" s="8">
        <v>345</v>
      </c>
      <c r="D1609" s="8" t="s">
        <v>1293</v>
      </c>
      <c r="E1609" s="8">
        <v>5313770</v>
      </c>
    </row>
    <row r="1610" spans="1:5" x14ac:dyDescent="0.5">
      <c r="A1610" s="7">
        <v>6314000</v>
      </c>
      <c r="B1610" s="8" t="s">
        <v>1296</v>
      </c>
      <c r="C1610" s="8">
        <v>362</v>
      </c>
      <c r="D1610" s="8" t="s">
        <v>1297</v>
      </c>
      <c r="E1610" s="8">
        <v>6014000</v>
      </c>
    </row>
    <row r="1611" spans="1:5" x14ac:dyDescent="0.5">
      <c r="A1611" s="7">
        <v>6314710</v>
      </c>
      <c r="B1611" s="8" t="s">
        <v>987</v>
      </c>
      <c r="C1611" s="8">
        <v>414</v>
      </c>
      <c r="D1611" s="8" t="s">
        <v>1108</v>
      </c>
      <c r="E1611" s="8">
        <v>5414710</v>
      </c>
    </row>
    <row r="1612" spans="1:5" x14ac:dyDescent="0.5">
      <c r="A1612" s="7">
        <v>6314720</v>
      </c>
      <c r="B1612" s="8" t="s">
        <v>989</v>
      </c>
      <c r="C1612" s="8">
        <v>416</v>
      </c>
      <c r="D1612" s="8" t="s">
        <v>1122</v>
      </c>
      <c r="E1612" s="8">
        <v>6014720</v>
      </c>
    </row>
    <row r="1613" spans="1:5" x14ac:dyDescent="0.5">
      <c r="A1613" s="7">
        <v>6314750</v>
      </c>
      <c r="B1613" s="8" t="s">
        <v>1097</v>
      </c>
      <c r="C1613" s="8">
        <v>422</v>
      </c>
      <c r="D1613" s="8" t="s">
        <v>1098</v>
      </c>
      <c r="E1613" s="8">
        <v>5014750</v>
      </c>
    </row>
    <row r="1614" spans="1:5" x14ac:dyDescent="0.5">
      <c r="A1614" s="7">
        <v>6314770</v>
      </c>
      <c r="B1614" s="8" t="s">
        <v>1076</v>
      </c>
      <c r="C1614" s="8">
        <v>424</v>
      </c>
      <c r="D1614" s="8" t="s">
        <v>1077</v>
      </c>
      <c r="E1614" s="8">
        <v>4114770</v>
      </c>
    </row>
    <row r="1615" spans="1:5" x14ac:dyDescent="0.5">
      <c r="A1615" s="7">
        <v>6314790</v>
      </c>
      <c r="B1615" s="8" t="s">
        <v>1099</v>
      </c>
      <c r="C1615" s="8">
        <v>426</v>
      </c>
      <c r="D1615" s="8" t="s">
        <v>1100</v>
      </c>
      <c r="E1615" s="8">
        <v>5214790</v>
      </c>
    </row>
    <row r="1616" spans="1:5" x14ac:dyDescent="0.5">
      <c r="A1616" s="7">
        <v>6314810</v>
      </c>
      <c r="B1616" s="8" t="s">
        <v>1101</v>
      </c>
      <c r="C1616" s="8">
        <v>428</v>
      </c>
      <c r="D1616" s="8" t="s">
        <v>1102</v>
      </c>
      <c r="E1616" s="8">
        <v>5014810</v>
      </c>
    </row>
    <row r="1617" spans="1:5" x14ac:dyDescent="0.5">
      <c r="A1617" s="7">
        <v>6314920</v>
      </c>
      <c r="B1617" s="8" t="s">
        <v>1103</v>
      </c>
      <c r="C1617" s="8">
        <v>437</v>
      </c>
      <c r="D1617" s="8" t="s">
        <v>1104</v>
      </c>
      <c r="E1617" s="8">
        <v>5114920</v>
      </c>
    </row>
    <row r="1618" spans="1:5" x14ac:dyDescent="0.5">
      <c r="A1618" s="7">
        <v>6314940</v>
      </c>
      <c r="B1618" s="8" t="s">
        <v>1107</v>
      </c>
      <c r="C1618" s="8">
        <v>439</v>
      </c>
      <c r="D1618" s="8" t="s">
        <v>1305</v>
      </c>
      <c r="E1618" s="8">
        <v>6514940</v>
      </c>
    </row>
    <row r="1619" spans="1:5" x14ac:dyDescent="0.5">
      <c r="A1619" s="7">
        <v>6315180</v>
      </c>
      <c r="B1619" s="8" t="s">
        <v>1113</v>
      </c>
      <c r="C1619" s="8">
        <v>452</v>
      </c>
      <c r="D1619" s="8" t="s">
        <v>1114</v>
      </c>
      <c r="E1619" s="8">
        <v>6215180</v>
      </c>
    </row>
    <row r="1620" spans="1:5" x14ac:dyDescent="0.5">
      <c r="A1620" s="7">
        <v>6413020</v>
      </c>
      <c r="B1620" s="8" t="s">
        <v>1072</v>
      </c>
      <c r="C1620" s="8">
        <v>278</v>
      </c>
      <c r="D1620" s="8" t="s">
        <v>1073</v>
      </c>
      <c r="E1620" s="8">
        <v>5013021</v>
      </c>
    </row>
    <row r="1621" spans="1:5" x14ac:dyDescent="0.5">
      <c r="A1621" s="7">
        <v>6413030</v>
      </c>
      <c r="B1621" s="8" t="s">
        <v>1282</v>
      </c>
      <c r="C1621" s="8">
        <v>279</v>
      </c>
      <c r="D1621" s="8" t="s">
        <v>1283</v>
      </c>
      <c r="E1621" s="8">
        <v>6113030</v>
      </c>
    </row>
    <row r="1622" spans="1:5" x14ac:dyDescent="0.5">
      <c r="A1622" s="7">
        <v>6413540</v>
      </c>
      <c r="B1622" s="8" t="s">
        <v>1306</v>
      </c>
      <c r="C1622" s="8">
        <v>321</v>
      </c>
      <c r="D1622" s="8" t="s">
        <v>1287</v>
      </c>
      <c r="E1622" s="8">
        <v>6413540</v>
      </c>
    </row>
    <row r="1623" spans="1:5" x14ac:dyDescent="0.5">
      <c r="A1623" s="7">
        <v>6413620</v>
      </c>
      <c r="B1623" s="8" t="s">
        <v>1081</v>
      </c>
      <c r="C1623" s="8">
        <v>327</v>
      </c>
      <c r="D1623" s="8" t="s">
        <v>1082</v>
      </c>
      <c r="E1623" s="8">
        <v>5113620</v>
      </c>
    </row>
    <row r="1624" spans="1:5" x14ac:dyDescent="0.5">
      <c r="A1624" s="7">
        <v>6413660</v>
      </c>
      <c r="B1624" s="8" t="s">
        <v>1206</v>
      </c>
      <c r="C1624" s="8">
        <v>334</v>
      </c>
      <c r="D1624" s="8" t="s">
        <v>1207</v>
      </c>
      <c r="E1624" s="8">
        <v>5113660</v>
      </c>
    </row>
    <row r="1625" spans="1:5" x14ac:dyDescent="0.5">
      <c r="A1625" s="7">
        <v>6413690</v>
      </c>
      <c r="B1625" s="8" t="s">
        <v>1288</v>
      </c>
      <c r="C1625" s="8">
        <v>337</v>
      </c>
      <c r="D1625" s="8" t="s">
        <v>1289</v>
      </c>
      <c r="E1625" s="8">
        <v>6013690</v>
      </c>
    </row>
    <row r="1626" spans="1:5" x14ac:dyDescent="0.5">
      <c r="A1626" s="7">
        <v>6413700</v>
      </c>
      <c r="B1626" s="8" t="s">
        <v>1220</v>
      </c>
      <c r="C1626" s="8">
        <v>338</v>
      </c>
      <c r="D1626" s="8" t="s">
        <v>1221</v>
      </c>
      <c r="E1626" s="8">
        <v>6013700</v>
      </c>
    </row>
    <row r="1627" spans="1:5" x14ac:dyDescent="0.5">
      <c r="A1627" s="7">
        <v>6413730</v>
      </c>
      <c r="B1627" s="8" t="s">
        <v>1303</v>
      </c>
      <c r="C1627" s="8">
        <v>341</v>
      </c>
      <c r="D1627" s="8" t="s">
        <v>1304</v>
      </c>
      <c r="E1627" s="8">
        <v>6413730</v>
      </c>
    </row>
    <row r="1628" spans="1:5" x14ac:dyDescent="0.5">
      <c r="A1628" s="7">
        <v>6413740</v>
      </c>
      <c r="B1628" s="8" t="s">
        <v>1307</v>
      </c>
      <c r="C1628" s="8">
        <v>342</v>
      </c>
      <c r="D1628" s="8" t="s">
        <v>1308</v>
      </c>
      <c r="E1628" s="8">
        <v>6413740</v>
      </c>
    </row>
    <row r="1629" spans="1:5" x14ac:dyDescent="0.5">
      <c r="A1629" s="7">
        <v>6413770</v>
      </c>
      <c r="B1629" s="8" t="s">
        <v>1292</v>
      </c>
      <c r="C1629" s="8">
        <v>345</v>
      </c>
      <c r="D1629" s="8" t="s">
        <v>1293</v>
      </c>
      <c r="E1629" s="8">
        <v>5313770</v>
      </c>
    </row>
    <row r="1630" spans="1:5" x14ac:dyDescent="0.5">
      <c r="A1630" s="7">
        <v>6413890</v>
      </c>
      <c r="B1630" s="8" t="s">
        <v>1309</v>
      </c>
      <c r="C1630" s="8">
        <v>355</v>
      </c>
      <c r="D1630" s="8" t="s">
        <v>1310</v>
      </c>
      <c r="E1630" s="8">
        <v>6413890</v>
      </c>
    </row>
    <row r="1631" spans="1:5" x14ac:dyDescent="0.5">
      <c r="A1631" s="7">
        <v>6414000</v>
      </c>
      <c r="B1631" s="8" t="s">
        <v>1296</v>
      </c>
      <c r="C1631" s="8">
        <v>362</v>
      </c>
      <c r="D1631" s="8" t="s">
        <v>1297</v>
      </c>
      <c r="E1631" s="8">
        <v>6014000</v>
      </c>
    </row>
    <row r="1632" spans="1:5" x14ac:dyDescent="0.5">
      <c r="A1632" s="7">
        <v>6414090</v>
      </c>
      <c r="B1632" s="8" t="s">
        <v>1208</v>
      </c>
      <c r="C1632" s="8">
        <v>367</v>
      </c>
      <c r="D1632" s="8" t="s">
        <v>1209</v>
      </c>
      <c r="E1632" s="8">
        <v>5014090</v>
      </c>
    </row>
    <row r="1633" spans="1:5" x14ac:dyDescent="0.5">
      <c r="A1633" s="7">
        <v>6414710</v>
      </c>
      <c r="B1633" s="8" t="s">
        <v>987</v>
      </c>
      <c r="C1633" s="8">
        <v>414</v>
      </c>
      <c r="D1633" s="8" t="s">
        <v>1108</v>
      </c>
      <c r="E1633" s="8">
        <v>5414710</v>
      </c>
    </row>
    <row r="1634" spans="1:5" x14ac:dyDescent="0.5">
      <c r="A1634" s="7">
        <v>6414720</v>
      </c>
      <c r="B1634" s="8" t="s">
        <v>989</v>
      </c>
      <c r="C1634" s="8">
        <v>416</v>
      </c>
      <c r="D1634" s="8" t="s">
        <v>1122</v>
      </c>
      <c r="E1634" s="8">
        <v>6014720</v>
      </c>
    </row>
    <row r="1635" spans="1:5" x14ac:dyDescent="0.5">
      <c r="A1635" s="7">
        <v>6414750</v>
      </c>
      <c r="B1635" s="8" t="s">
        <v>1097</v>
      </c>
      <c r="C1635" s="8">
        <v>422</v>
      </c>
      <c r="D1635" s="8" t="s">
        <v>1098</v>
      </c>
      <c r="E1635" s="8">
        <v>5014750</v>
      </c>
    </row>
    <row r="1636" spans="1:5" x14ac:dyDescent="0.5">
      <c r="A1636" s="7">
        <v>6414770</v>
      </c>
      <c r="B1636" s="8" t="s">
        <v>1076</v>
      </c>
      <c r="C1636" s="8">
        <v>424</v>
      </c>
      <c r="D1636" s="8" t="s">
        <v>1077</v>
      </c>
      <c r="E1636" s="8">
        <v>4114770</v>
      </c>
    </row>
    <row r="1637" spans="1:5" x14ac:dyDescent="0.5">
      <c r="A1637" s="7">
        <v>6414790</v>
      </c>
      <c r="B1637" s="8" t="s">
        <v>1099</v>
      </c>
      <c r="C1637" s="8">
        <v>426</v>
      </c>
      <c r="D1637" s="8" t="s">
        <v>1100</v>
      </c>
      <c r="E1637" s="8">
        <v>5214790</v>
      </c>
    </row>
    <row r="1638" spans="1:5" x14ac:dyDescent="0.5">
      <c r="A1638" s="7">
        <v>6414800</v>
      </c>
      <c r="B1638" s="8" t="s">
        <v>1037</v>
      </c>
      <c r="C1638" s="8">
        <v>427</v>
      </c>
      <c r="D1638" s="8" t="s">
        <v>1038</v>
      </c>
      <c r="E1638" s="8">
        <v>5514800</v>
      </c>
    </row>
    <row r="1639" spans="1:5" x14ac:dyDescent="0.5">
      <c r="A1639" s="7">
        <v>6414940</v>
      </c>
      <c r="B1639" s="8" t="s">
        <v>1107</v>
      </c>
      <c r="C1639" s="8">
        <v>439</v>
      </c>
      <c r="D1639" s="8" t="s">
        <v>1305</v>
      </c>
      <c r="E1639" s="8">
        <v>6514940</v>
      </c>
    </row>
    <row r="1640" spans="1:5" x14ac:dyDescent="0.5">
      <c r="A1640" s="7">
        <v>6415180</v>
      </c>
      <c r="B1640" s="8" t="s">
        <v>1113</v>
      </c>
      <c r="C1640" s="8">
        <v>452</v>
      </c>
      <c r="D1640" s="8" t="s">
        <v>1114</v>
      </c>
      <c r="E1640" s="8">
        <v>6215180</v>
      </c>
    </row>
    <row r="1641" spans="1:5" x14ac:dyDescent="0.5">
      <c r="A1641" s="7">
        <v>6415260</v>
      </c>
      <c r="B1641" s="8" t="s">
        <v>1311</v>
      </c>
      <c r="C1641" s="8">
        <v>428</v>
      </c>
      <c r="D1641" s="8" t="s">
        <v>1102</v>
      </c>
      <c r="E1641" s="8">
        <v>5014810</v>
      </c>
    </row>
    <row r="1642" spans="1:5" x14ac:dyDescent="0.5">
      <c r="A1642" s="7">
        <v>6513020</v>
      </c>
      <c r="B1642" s="8" t="s">
        <v>1072</v>
      </c>
      <c r="C1642" s="8">
        <v>278</v>
      </c>
      <c r="D1642" s="8" t="s">
        <v>1073</v>
      </c>
      <c r="E1642" s="8">
        <v>5013021</v>
      </c>
    </row>
    <row r="1643" spans="1:5" x14ac:dyDescent="0.5">
      <c r="A1643" s="7">
        <v>6513030</v>
      </c>
      <c r="B1643" s="8" t="s">
        <v>1282</v>
      </c>
      <c r="C1643" s="8">
        <v>279</v>
      </c>
      <c r="D1643" s="8" t="s">
        <v>1283</v>
      </c>
      <c r="E1643" s="8">
        <v>6113030</v>
      </c>
    </row>
    <row r="1644" spans="1:5" x14ac:dyDescent="0.5">
      <c r="A1644" s="7">
        <v>6513240</v>
      </c>
      <c r="B1644" s="8" t="s">
        <v>1284</v>
      </c>
      <c r="C1644" s="8">
        <v>296</v>
      </c>
      <c r="D1644" s="8" t="s">
        <v>1285</v>
      </c>
      <c r="E1644" s="8">
        <v>6013240</v>
      </c>
    </row>
    <row r="1645" spans="1:5" x14ac:dyDescent="0.5">
      <c r="A1645" s="7">
        <v>6513550</v>
      </c>
      <c r="B1645" s="8" t="s">
        <v>1286</v>
      </c>
      <c r="C1645" s="8">
        <v>321</v>
      </c>
      <c r="D1645" s="8" t="s">
        <v>1287</v>
      </c>
      <c r="E1645" s="8">
        <v>6413540</v>
      </c>
    </row>
    <row r="1646" spans="1:5" x14ac:dyDescent="0.5">
      <c r="A1646" s="7">
        <v>6513620</v>
      </c>
      <c r="B1646" s="8" t="s">
        <v>1081</v>
      </c>
      <c r="C1646" s="8">
        <v>327</v>
      </c>
      <c r="D1646" s="8" t="s">
        <v>1082</v>
      </c>
      <c r="E1646" s="8">
        <v>5113620</v>
      </c>
    </row>
    <row r="1647" spans="1:5" x14ac:dyDescent="0.5">
      <c r="A1647" s="7">
        <v>6513660</v>
      </c>
      <c r="B1647" s="8" t="s">
        <v>1206</v>
      </c>
      <c r="C1647" s="8">
        <v>334</v>
      </c>
      <c r="D1647" s="8" t="s">
        <v>1207</v>
      </c>
      <c r="E1647" s="8">
        <v>5113660</v>
      </c>
    </row>
    <row r="1648" spans="1:5" x14ac:dyDescent="0.5">
      <c r="A1648" s="7">
        <v>6513690</v>
      </c>
      <c r="B1648" s="8" t="s">
        <v>1288</v>
      </c>
      <c r="C1648" s="8">
        <v>337</v>
      </c>
      <c r="D1648" s="8" t="s">
        <v>1289</v>
      </c>
      <c r="E1648" s="8">
        <v>6013690</v>
      </c>
    </row>
    <row r="1649" spans="1:5" x14ac:dyDescent="0.5">
      <c r="A1649" s="7">
        <v>6513700</v>
      </c>
      <c r="B1649" s="8" t="s">
        <v>1220</v>
      </c>
      <c r="C1649" s="8">
        <v>338</v>
      </c>
      <c r="D1649" s="8" t="s">
        <v>1221</v>
      </c>
      <c r="E1649" s="8">
        <v>6013700</v>
      </c>
    </row>
    <row r="1650" spans="1:5" x14ac:dyDescent="0.5">
      <c r="A1650" s="7">
        <v>6513730</v>
      </c>
      <c r="B1650" s="8" t="s">
        <v>1303</v>
      </c>
      <c r="C1650" s="8">
        <v>341</v>
      </c>
      <c r="D1650" s="8" t="s">
        <v>1304</v>
      </c>
      <c r="E1650" s="8">
        <v>6413730</v>
      </c>
    </row>
    <row r="1651" spans="1:5" x14ac:dyDescent="0.5">
      <c r="A1651" s="7">
        <v>6513740</v>
      </c>
      <c r="B1651" s="8" t="s">
        <v>1307</v>
      </c>
      <c r="C1651" s="8">
        <v>342</v>
      </c>
      <c r="D1651" s="8" t="s">
        <v>1308</v>
      </c>
      <c r="E1651" s="8">
        <v>6413740</v>
      </c>
    </row>
    <row r="1652" spans="1:5" x14ac:dyDescent="0.5">
      <c r="A1652" s="7">
        <v>6513770</v>
      </c>
      <c r="B1652" s="8" t="s">
        <v>1292</v>
      </c>
      <c r="C1652" s="8">
        <v>345</v>
      </c>
      <c r="D1652" s="8" t="s">
        <v>1293</v>
      </c>
      <c r="E1652" s="8">
        <v>5313770</v>
      </c>
    </row>
    <row r="1653" spans="1:5" x14ac:dyDescent="0.5">
      <c r="A1653" s="7">
        <v>6513790</v>
      </c>
      <c r="B1653" s="8" t="s">
        <v>1294</v>
      </c>
      <c r="C1653" s="8">
        <v>347</v>
      </c>
      <c r="D1653" s="8" t="s">
        <v>1295</v>
      </c>
      <c r="E1653" s="8">
        <v>6013790</v>
      </c>
    </row>
    <row r="1654" spans="1:5" x14ac:dyDescent="0.5">
      <c r="A1654" s="7">
        <v>6514360</v>
      </c>
      <c r="B1654" s="8" t="s">
        <v>1298</v>
      </c>
      <c r="C1654" s="8">
        <v>389</v>
      </c>
      <c r="D1654" s="8" t="s">
        <v>1312</v>
      </c>
      <c r="E1654" s="8">
        <v>6514360</v>
      </c>
    </row>
    <row r="1655" spans="1:5" x14ac:dyDescent="0.5">
      <c r="A1655" s="7">
        <v>6514710</v>
      </c>
      <c r="B1655" s="8" t="s">
        <v>987</v>
      </c>
      <c r="C1655" s="8">
        <v>414</v>
      </c>
      <c r="D1655" s="8" t="s">
        <v>1108</v>
      </c>
      <c r="E1655" s="8">
        <v>5414710</v>
      </c>
    </row>
    <row r="1656" spans="1:5" x14ac:dyDescent="0.5">
      <c r="A1656" s="7">
        <v>6514720</v>
      </c>
      <c r="B1656" s="8" t="s">
        <v>989</v>
      </c>
      <c r="C1656" s="8">
        <v>416</v>
      </c>
      <c r="D1656" s="8" t="s">
        <v>1122</v>
      </c>
      <c r="E1656" s="8">
        <v>6014720</v>
      </c>
    </row>
    <row r="1657" spans="1:5" x14ac:dyDescent="0.5">
      <c r="A1657" s="7">
        <v>6514750</v>
      </c>
      <c r="B1657" s="8" t="s">
        <v>1097</v>
      </c>
      <c r="C1657" s="8">
        <v>422</v>
      </c>
      <c r="D1657" s="8" t="s">
        <v>1098</v>
      </c>
      <c r="E1657" s="8">
        <v>5014750</v>
      </c>
    </row>
    <row r="1658" spans="1:5" x14ac:dyDescent="0.5">
      <c r="A1658" s="7">
        <v>6514770</v>
      </c>
      <c r="B1658" s="8" t="s">
        <v>1076</v>
      </c>
      <c r="C1658" s="8">
        <v>424</v>
      </c>
      <c r="D1658" s="8" t="s">
        <v>1077</v>
      </c>
      <c r="E1658" s="8">
        <v>4114770</v>
      </c>
    </row>
    <row r="1659" spans="1:5" x14ac:dyDescent="0.5">
      <c r="A1659" s="7">
        <v>6514790</v>
      </c>
      <c r="B1659" s="8" t="s">
        <v>1099</v>
      </c>
      <c r="C1659" s="8">
        <v>426</v>
      </c>
      <c r="D1659" s="8" t="s">
        <v>1100</v>
      </c>
      <c r="E1659" s="8">
        <v>5214790</v>
      </c>
    </row>
    <row r="1660" spans="1:5" x14ac:dyDescent="0.5">
      <c r="A1660" s="7">
        <v>6514800</v>
      </c>
      <c r="B1660" s="8" t="s">
        <v>1037</v>
      </c>
      <c r="C1660" s="8">
        <v>427</v>
      </c>
      <c r="D1660" s="8" t="s">
        <v>1038</v>
      </c>
      <c r="E1660" s="8">
        <v>5514800</v>
      </c>
    </row>
    <row r="1661" spans="1:5" x14ac:dyDescent="0.5">
      <c r="A1661" s="7">
        <v>6514900</v>
      </c>
      <c r="B1661" s="8" t="s">
        <v>1041</v>
      </c>
      <c r="C1661" s="8">
        <v>436</v>
      </c>
      <c r="D1661" s="8" t="s">
        <v>1313</v>
      </c>
      <c r="E1661" s="8">
        <v>6514900</v>
      </c>
    </row>
    <row r="1662" spans="1:5" x14ac:dyDescent="0.5">
      <c r="A1662" s="7">
        <v>6514940</v>
      </c>
      <c r="B1662" s="8" t="s">
        <v>1107</v>
      </c>
      <c r="C1662" s="8">
        <v>439</v>
      </c>
      <c r="D1662" s="8" t="s">
        <v>1305</v>
      </c>
      <c r="E1662" s="8">
        <v>6514940</v>
      </c>
    </row>
    <row r="1663" spans="1:5" x14ac:dyDescent="0.5">
      <c r="A1663" s="7">
        <v>6515180</v>
      </c>
      <c r="B1663" s="8" t="s">
        <v>1113</v>
      </c>
      <c r="C1663" s="8">
        <v>452</v>
      </c>
      <c r="D1663" s="8" t="s">
        <v>1114</v>
      </c>
      <c r="E1663" s="8">
        <v>6215180</v>
      </c>
    </row>
    <row r="1664" spans="1:5" x14ac:dyDescent="0.5">
      <c r="A1664" s="7">
        <v>6515260</v>
      </c>
      <c r="B1664" s="8" t="s">
        <v>1311</v>
      </c>
      <c r="C1664" s="8">
        <v>428</v>
      </c>
      <c r="D1664" s="8" t="s">
        <v>1102</v>
      </c>
      <c r="E1664" s="8">
        <v>5014810</v>
      </c>
    </row>
    <row r="1665" spans="1:5" x14ac:dyDescent="0.5">
      <c r="A1665" s="7">
        <v>6613020</v>
      </c>
      <c r="B1665" s="8" t="s">
        <v>1072</v>
      </c>
      <c r="C1665" s="8">
        <v>278</v>
      </c>
      <c r="D1665" s="8" t="s">
        <v>1073</v>
      </c>
      <c r="E1665" s="8">
        <v>5013021</v>
      </c>
    </row>
    <row r="1666" spans="1:5" x14ac:dyDescent="0.5">
      <c r="A1666" s="7">
        <v>6613240</v>
      </c>
      <c r="B1666" s="8" t="s">
        <v>1284</v>
      </c>
      <c r="C1666" s="8">
        <v>296</v>
      </c>
      <c r="D1666" s="8" t="s">
        <v>1285</v>
      </c>
      <c r="E1666" s="8">
        <v>6013240</v>
      </c>
    </row>
    <row r="1667" spans="1:5" x14ac:dyDescent="0.5">
      <c r="A1667" s="7">
        <v>6613440</v>
      </c>
      <c r="B1667" s="8" t="s">
        <v>1079</v>
      </c>
      <c r="C1667" s="8">
        <v>314</v>
      </c>
      <c r="D1667" s="8" t="s">
        <v>1314</v>
      </c>
      <c r="E1667" s="8">
        <v>6613440</v>
      </c>
    </row>
    <row r="1668" spans="1:5" x14ac:dyDescent="0.5">
      <c r="A1668" s="7">
        <v>6613540</v>
      </c>
      <c r="B1668" s="8" t="s">
        <v>1306</v>
      </c>
      <c r="C1668" s="8">
        <v>321</v>
      </c>
      <c r="D1668" s="8" t="s">
        <v>1287</v>
      </c>
      <c r="E1668" s="8">
        <v>6413540</v>
      </c>
    </row>
    <row r="1669" spans="1:5" x14ac:dyDescent="0.5">
      <c r="A1669" s="7">
        <v>6613620</v>
      </c>
      <c r="B1669" s="8" t="s">
        <v>1081</v>
      </c>
      <c r="C1669" s="8">
        <v>327</v>
      </c>
      <c r="D1669" s="8" t="s">
        <v>1082</v>
      </c>
      <c r="E1669" s="8">
        <v>5113620</v>
      </c>
    </row>
    <row r="1670" spans="1:5" x14ac:dyDescent="0.5">
      <c r="A1670" s="7">
        <v>6613660</v>
      </c>
      <c r="B1670" s="8" t="s">
        <v>1206</v>
      </c>
      <c r="C1670" s="8">
        <v>334</v>
      </c>
      <c r="D1670" s="8" t="s">
        <v>1207</v>
      </c>
      <c r="E1670" s="8">
        <v>5113660</v>
      </c>
    </row>
    <row r="1671" spans="1:5" x14ac:dyDescent="0.5">
      <c r="A1671" s="7">
        <v>6613690</v>
      </c>
      <c r="B1671" s="8" t="s">
        <v>1288</v>
      </c>
      <c r="C1671" s="8">
        <v>337</v>
      </c>
      <c r="D1671" s="8" t="s">
        <v>1289</v>
      </c>
      <c r="E1671" s="8">
        <v>6013690</v>
      </c>
    </row>
    <row r="1672" spans="1:5" x14ac:dyDescent="0.5">
      <c r="A1672" s="7">
        <v>6613700</v>
      </c>
      <c r="B1672" s="8" t="s">
        <v>1220</v>
      </c>
      <c r="C1672" s="8">
        <v>338</v>
      </c>
      <c r="D1672" s="8" t="s">
        <v>1221</v>
      </c>
      <c r="E1672" s="8">
        <v>6013700</v>
      </c>
    </row>
    <row r="1673" spans="1:5" x14ac:dyDescent="0.5">
      <c r="A1673" s="7">
        <v>6613730</v>
      </c>
      <c r="B1673" s="8" t="s">
        <v>1303</v>
      </c>
      <c r="C1673" s="8">
        <v>341</v>
      </c>
      <c r="D1673" s="8" t="s">
        <v>1304</v>
      </c>
      <c r="E1673" s="8">
        <v>6413730</v>
      </c>
    </row>
    <row r="1674" spans="1:5" x14ac:dyDescent="0.5">
      <c r="A1674" s="7">
        <v>6613740</v>
      </c>
      <c r="B1674" s="8" t="s">
        <v>1307</v>
      </c>
      <c r="C1674" s="8">
        <v>342</v>
      </c>
      <c r="D1674" s="8" t="s">
        <v>1308</v>
      </c>
      <c r="E1674" s="8">
        <v>6413740</v>
      </c>
    </row>
    <row r="1675" spans="1:5" x14ac:dyDescent="0.5">
      <c r="A1675" s="7">
        <v>6613770</v>
      </c>
      <c r="B1675" s="8" t="s">
        <v>1292</v>
      </c>
      <c r="C1675" s="8">
        <v>345</v>
      </c>
      <c r="D1675" s="8" t="s">
        <v>1293</v>
      </c>
      <c r="E1675" s="8">
        <v>5313770</v>
      </c>
    </row>
    <row r="1676" spans="1:5" x14ac:dyDescent="0.5">
      <c r="A1676" s="7">
        <v>6613860</v>
      </c>
      <c r="B1676" s="8" t="s">
        <v>1315</v>
      </c>
      <c r="C1676" s="8">
        <v>355</v>
      </c>
      <c r="D1676" s="8" t="s">
        <v>1310</v>
      </c>
      <c r="E1676" s="8">
        <v>6413890</v>
      </c>
    </row>
    <row r="1677" spans="1:5" x14ac:dyDescent="0.5">
      <c r="A1677" s="7">
        <v>6613890</v>
      </c>
      <c r="B1677" s="8" t="s">
        <v>1309</v>
      </c>
      <c r="C1677" s="8">
        <v>355</v>
      </c>
      <c r="D1677" s="8" t="s">
        <v>1310</v>
      </c>
      <c r="E1677" s="8">
        <v>6413890</v>
      </c>
    </row>
    <row r="1678" spans="1:5" x14ac:dyDescent="0.5">
      <c r="A1678" s="7">
        <v>6614360</v>
      </c>
      <c r="B1678" s="8" t="s">
        <v>1298</v>
      </c>
      <c r="C1678" s="8">
        <v>389</v>
      </c>
      <c r="D1678" s="8" t="s">
        <v>1312</v>
      </c>
      <c r="E1678" s="8">
        <v>6514360</v>
      </c>
    </row>
    <row r="1679" spans="1:5" x14ac:dyDescent="0.5">
      <c r="A1679" s="7">
        <v>6614720</v>
      </c>
      <c r="B1679" s="8" t="s">
        <v>989</v>
      </c>
      <c r="C1679" s="8">
        <v>416</v>
      </c>
      <c r="D1679" s="8" t="s">
        <v>1122</v>
      </c>
      <c r="E1679" s="8">
        <v>6014720</v>
      </c>
    </row>
    <row r="1680" spans="1:5" x14ac:dyDescent="0.5">
      <c r="A1680" s="7">
        <v>6614750</v>
      </c>
      <c r="B1680" s="8" t="s">
        <v>1097</v>
      </c>
      <c r="C1680" s="8">
        <v>422</v>
      </c>
      <c r="D1680" s="8" t="s">
        <v>1098</v>
      </c>
      <c r="E1680" s="8">
        <v>5014750</v>
      </c>
    </row>
    <row r="1681" spans="1:5" x14ac:dyDescent="0.5">
      <c r="A1681" s="7">
        <v>6614770</v>
      </c>
      <c r="B1681" s="8" t="s">
        <v>1076</v>
      </c>
      <c r="C1681" s="8">
        <v>424</v>
      </c>
      <c r="D1681" s="8" t="s">
        <v>1077</v>
      </c>
      <c r="E1681" s="8">
        <v>4114770</v>
      </c>
    </row>
    <row r="1682" spans="1:5" x14ac:dyDescent="0.5">
      <c r="A1682" s="7">
        <v>6614790</v>
      </c>
      <c r="B1682" s="8" t="s">
        <v>1099</v>
      </c>
      <c r="C1682" s="8">
        <v>426</v>
      </c>
      <c r="D1682" s="8" t="s">
        <v>1100</v>
      </c>
      <c r="E1682" s="8">
        <v>5214790</v>
      </c>
    </row>
    <row r="1683" spans="1:5" x14ac:dyDescent="0.5">
      <c r="A1683" s="7">
        <v>6614800</v>
      </c>
      <c r="B1683" s="8" t="s">
        <v>1037</v>
      </c>
      <c r="C1683" s="8">
        <v>427</v>
      </c>
      <c r="D1683" s="8" t="s">
        <v>1038</v>
      </c>
      <c r="E1683" s="8">
        <v>5514800</v>
      </c>
    </row>
    <row r="1684" spans="1:5" x14ac:dyDescent="0.5">
      <c r="A1684" s="7">
        <v>6614900</v>
      </c>
      <c r="B1684" s="8" t="s">
        <v>1041</v>
      </c>
      <c r="C1684" s="8">
        <v>436</v>
      </c>
      <c r="D1684" s="8" t="s">
        <v>1313</v>
      </c>
      <c r="E1684" s="8">
        <v>6514900</v>
      </c>
    </row>
    <row r="1685" spans="1:5" x14ac:dyDescent="0.5">
      <c r="A1685" s="7">
        <v>6614940</v>
      </c>
      <c r="B1685" s="8" t="s">
        <v>1107</v>
      </c>
      <c r="C1685" s="8">
        <v>439</v>
      </c>
      <c r="D1685" s="8" t="s">
        <v>1305</v>
      </c>
      <c r="E1685" s="8">
        <v>6514940</v>
      </c>
    </row>
    <row r="1686" spans="1:5" x14ac:dyDescent="0.5">
      <c r="A1686" s="7">
        <v>6615260</v>
      </c>
      <c r="B1686" s="8" t="s">
        <v>1311</v>
      </c>
      <c r="C1686" s="8">
        <v>428</v>
      </c>
      <c r="D1686" s="8" t="s">
        <v>1102</v>
      </c>
      <c r="E1686" s="8">
        <v>5014810</v>
      </c>
    </row>
    <row r="1687" spans="1:5" x14ac:dyDescent="0.5">
      <c r="A1687" s="7">
        <v>6716380</v>
      </c>
      <c r="B1687" s="8" t="s">
        <v>1316</v>
      </c>
      <c r="C1687" s="8">
        <v>491</v>
      </c>
      <c r="D1687" s="8" t="s">
        <v>1317</v>
      </c>
      <c r="E1687" s="8">
        <v>7616380</v>
      </c>
    </row>
    <row r="1688" spans="1:5" x14ac:dyDescent="0.5">
      <c r="A1688" s="7">
        <v>6716390</v>
      </c>
      <c r="B1688" s="8" t="s">
        <v>1318</v>
      </c>
      <c r="C1688" s="8">
        <v>492</v>
      </c>
      <c r="D1688" s="8" t="s">
        <v>1319</v>
      </c>
      <c r="E1688" s="9">
        <v>7616390</v>
      </c>
    </row>
    <row r="1689" spans="1:5" x14ac:dyDescent="0.5">
      <c r="A1689" s="7">
        <v>6716821</v>
      </c>
      <c r="B1689" s="8" t="s">
        <v>1320</v>
      </c>
      <c r="C1689" s="8">
        <v>524</v>
      </c>
      <c r="D1689" s="8" t="s">
        <v>1321</v>
      </c>
      <c r="E1689" s="8">
        <v>7616821</v>
      </c>
    </row>
    <row r="1690" spans="1:5" x14ac:dyDescent="0.5">
      <c r="A1690" s="7">
        <v>6716830</v>
      </c>
      <c r="B1690" s="8" t="s">
        <v>1322</v>
      </c>
      <c r="C1690" s="8">
        <v>526</v>
      </c>
      <c r="D1690" s="8" t="s">
        <v>1323</v>
      </c>
      <c r="E1690" s="8">
        <v>7616830</v>
      </c>
    </row>
    <row r="1691" spans="1:5" x14ac:dyDescent="0.5">
      <c r="A1691" s="7">
        <v>6716840</v>
      </c>
      <c r="B1691" s="8" t="s">
        <v>1324</v>
      </c>
      <c r="C1691" s="8">
        <v>527</v>
      </c>
      <c r="D1691" s="8" t="s">
        <v>1325</v>
      </c>
      <c r="E1691" s="8">
        <v>6716840</v>
      </c>
    </row>
    <row r="1692" spans="1:5" x14ac:dyDescent="0.5">
      <c r="A1692" s="7">
        <v>6716850</v>
      </c>
      <c r="B1692" s="8" t="s">
        <v>1326</v>
      </c>
      <c r="C1692" s="8">
        <v>528</v>
      </c>
      <c r="D1692" s="8" t="s">
        <v>1327</v>
      </c>
      <c r="E1692" s="8">
        <v>7616850</v>
      </c>
    </row>
    <row r="1693" spans="1:5" x14ac:dyDescent="0.5">
      <c r="A1693" s="7">
        <v>6716860</v>
      </c>
      <c r="B1693" s="8" t="s">
        <v>1328</v>
      </c>
      <c r="C1693" s="8">
        <v>529</v>
      </c>
      <c r="D1693" s="8" t="s">
        <v>1329</v>
      </c>
      <c r="E1693" s="8">
        <v>6716860</v>
      </c>
    </row>
    <row r="1694" spans="1:5" x14ac:dyDescent="0.5">
      <c r="A1694" s="7">
        <v>6716870</v>
      </c>
      <c r="B1694" s="8" t="s">
        <v>1330</v>
      </c>
      <c r="C1694" s="8">
        <v>530</v>
      </c>
      <c r="D1694" s="8" t="s">
        <v>1331</v>
      </c>
      <c r="E1694" s="8">
        <v>7616870</v>
      </c>
    </row>
    <row r="1695" spans="1:5" x14ac:dyDescent="0.5">
      <c r="A1695" s="7">
        <v>6716880</v>
      </c>
      <c r="B1695" s="8" t="s">
        <v>1332</v>
      </c>
      <c r="C1695" s="8">
        <v>531</v>
      </c>
      <c r="D1695" s="8" t="s">
        <v>1333</v>
      </c>
      <c r="E1695" s="8">
        <v>6716880</v>
      </c>
    </row>
    <row r="1696" spans="1:5" x14ac:dyDescent="0.5">
      <c r="A1696" s="7">
        <v>6716890</v>
      </c>
      <c r="B1696" s="8" t="s">
        <v>1334</v>
      </c>
      <c r="C1696" s="8">
        <v>532</v>
      </c>
      <c r="D1696" s="8" t="s">
        <v>1333</v>
      </c>
      <c r="E1696" s="8">
        <v>6716890</v>
      </c>
    </row>
    <row r="1697" spans="1:5" x14ac:dyDescent="0.5">
      <c r="A1697" s="7">
        <v>6716902</v>
      </c>
      <c r="B1697" s="8" t="s">
        <v>1335</v>
      </c>
      <c r="C1697" s="8">
        <v>534</v>
      </c>
      <c r="D1697" s="8" t="s">
        <v>1336</v>
      </c>
      <c r="E1697" s="8">
        <v>6716902</v>
      </c>
    </row>
    <row r="1698" spans="1:5" x14ac:dyDescent="0.5">
      <c r="A1698" s="7">
        <v>6716942</v>
      </c>
      <c r="B1698" s="8" t="s">
        <v>1337</v>
      </c>
      <c r="C1698" s="8">
        <v>536</v>
      </c>
      <c r="D1698" s="8" t="s">
        <v>1338</v>
      </c>
      <c r="E1698" s="9">
        <v>7616942</v>
      </c>
    </row>
    <row r="1699" spans="1:5" x14ac:dyDescent="0.5">
      <c r="A1699" s="7">
        <v>6716970</v>
      </c>
      <c r="B1699" s="8" t="s">
        <v>1339</v>
      </c>
      <c r="C1699" s="8">
        <v>537</v>
      </c>
      <c r="D1699" s="8" t="s">
        <v>1340</v>
      </c>
      <c r="E1699" s="8">
        <v>6716970</v>
      </c>
    </row>
    <row r="1700" spans="1:5" x14ac:dyDescent="0.5">
      <c r="A1700" s="7">
        <v>6716980</v>
      </c>
      <c r="B1700" s="8" t="s">
        <v>1341</v>
      </c>
      <c r="C1700" s="8">
        <v>538</v>
      </c>
      <c r="D1700" s="8" t="s">
        <v>1342</v>
      </c>
      <c r="E1700" s="9">
        <v>7616980</v>
      </c>
    </row>
    <row r="1701" spans="1:5" x14ac:dyDescent="0.5">
      <c r="A1701" s="7">
        <v>6716990</v>
      </c>
      <c r="B1701" s="8" t="s">
        <v>1343</v>
      </c>
      <c r="C1701" s="8">
        <v>539</v>
      </c>
      <c r="D1701" s="8" t="s">
        <v>1344</v>
      </c>
      <c r="E1701" s="8">
        <v>7616990</v>
      </c>
    </row>
    <row r="1702" spans="1:5" x14ac:dyDescent="0.5">
      <c r="A1702" s="7">
        <v>6717010</v>
      </c>
      <c r="B1702" s="8" t="s">
        <v>1345</v>
      </c>
      <c r="C1702" s="8">
        <v>540</v>
      </c>
      <c r="D1702" s="8" t="s">
        <v>1346</v>
      </c>
      <c r="E1702" s="8">
        <v>7617010</v>
      </c>
    </row>
    <row r="1703" spans="1:5" x14ac:dyDescent="0.5">
      <c r="A1703" s="7">
        <v>6717020</v>
      </c>
      <c r="B1703" s="8" t="s">
        <v>1347</v>
      </c>
      <c r="C1703" s="8">
        <v>541</v>
      </c>
      <c r="D1703" s="8" t="s">
        <v>1348</v>
      </c>
      <c r="E1703" s="9">
        <v>7617020</v>
      </c>
    </row>
    <row r="1704" spans="1:5" x14ac:dyDescent="0.5">
      <c r="A1704" s="7">
        <v>6717030</v>
      </c>
      <c r="B1704" s="8" t="s">
        <v>1349</v>
      </c>
      <c r="C1704" s="8">
        <v>542</v>
      </c>
      <c r="D1704" s="8" t="s">
        <v>1350</v>
      </c>
      <c r="E1704" s="8">
        <v>6717030</v>
      </c>
    </row>
    <row r="1705" spans="1:5" x14ac:dyDescent="0.5">
      <c r="A1705" s="7">
        <v>6717050</v>
      </c>
      <c r="B1705" s="8" t="s">
        <v>1351</v>
      </c>
      <c r="C1705" s="8">
        <v>544</v>
      </c>
      <c r="D1705" s="8" t="s">
        <v>1352</v>
      </c>
      <c r="E1705" s="8">
        <v>7617050</v>
      </c>
    </row>
    <row r="1706" spans="1:5" x14ac:dyDescent="0.5">
      <c r="A1706" s="7">
        <v>6717060</v>
      </c>
      <c r="B1706" s="8" t="s">
        <v>1353</v>
      </c>
      <c r="C1706" s="8">
        <v>545</v>
      </c>
      <c r="D1706" s="8" t="s">
        <v>1354</v>
      </c>
      <c r="E1706" s="8">
        <v>6717060</v>
      </c>
    </row>
    <row r="1707" spans="1:5" x14ac:dyDescent="0.5">
      <c r="A1707" s="7">
        <v>6717080</v>
      </c>
      <c r="B1707" s="8" t="s">
        <v>1355</v>
      </c>
      <c r="C1707" s="8">
        <v>546</v>
      </c>
      <c r="D1707" s="8" t="s">
        <v>1356</v>
      </c>
      <c r="E1707" s="8">
        <v>6717080</v>
      </c>
    </row>
    <row r="1708" spans="1:5" x14ac:dyDescent="0.5">
      <c r="A1708" s="7">
        <v>6717090</v>
      </c>
      <c r="B1708" s="8" t="s">
        <v>1357</v>
      </c>
      <c r="C1708" s="8">
        <v>547</v>
      </c>
      <c r="D1708" s="8" t="s">
        <v>1358</v>
      </c>
      <c r="E1708" s="8">
        <v>7617090</v>
      </c>
    </row>
    <row r="1709" spans="1:5" x14ac:dyDescent="0.5">
      <c r="A1709" s="7">
        <v>6717110</v>
      </c>
      <c r="B1709" s="8" t="s">
        <v>1359</v>
      </c>
      <c r="C1709" s="8">
        <v>548</v>
      </c>
      <c r="D1709" s="8" t="s">
        <v>1360</v>
      </c>
      <c r="E1709" s="8">
        <v>7617110</v>
      </c>
    </row>
    <row r="1710" spans="1:5" x14ac:dyDescent="0.5">
      <c r="A1710" s="7">
        <v>6717120</v>
      </c>
      <c r="B1710" s="8" t="s">
        <v>1361</v>
      </c>
      <c r="C1710" s="8">
        <v>549</v>
      </c>
      <c r="D1710" s="8" t="s">
        <v>1362</v>
      </c>
      <c r="E1710" s="8">
        <v>7617120</v>
      </c>
    </row>
    <row r="1711" spans="1:5" x14ac:dyDescent="0.5">
      <c r="A1711" s="7">
        <v>6717150</v>
      </c>
      <c r="B1711" s="8" t="s">
        <v>1363</v>
      </c>
      <c r="C1711" s="8">
        <v>552</v>
      </c>
      <c r="D1711" s="8" t="s">
        <v>1364</v>
      </c>
      <c r="E1711" s="8">
        <v>7617150</v>
      </c>
    </row>
    <row r="1712" spans="1:5" x14ac:dyDescent="0.5">
      <c r="A1712" s="7">
        <v>6816011</v>
      </c>
      <c r="B1712" s="8" t="s">
        <v>1365</v>
      </c>
      <c r="C1712" s="8">
        <v>457</v>
      </c>
      <c r="D1712" s="8" t="s">
        <v>1366</v>
      </c>
      <c r="E1712" s="8">
        <v>7616011</v>
      </c>
    </row>
    <row r="1713" spans="1:5" x14ac:dyDescent="0.5">
      <c r="A1713" s="7">
        <v>6816030</v>
      </c>
      <c r="B1713" s="8" t="s">
        <v>1367</v>
      </c>
      <c r="C1713" s="8">
        <v>459</v>
      </c>
      <c r="D1713" s="8" t="s">
        <v>1368</v>
      </c>
      <c r="E1713" s="8">
        <v>7616030</v>
      </c>
    </row>
    <row r="1714" spans="1:5" x14ac:dyDescent="0.5">
      <c r="A1714" s="7">
        <v>6816041</v>
      </c>
      <c r="B1714" s="8" t="s">
        <v>1369</v>
      </c>
      <c r="C1714" s="8">
        <v>460</v>
      </c>
      <c r="D1714" s="8" t="s">
        <v>1370</v>
      </c>
      <c r="E1714" s="8">
        <v>7616041</v>
      </c>
    </row>
    <row r="1715" spans="1:5" x14ac:dyDescent="0.5">
      <c r="A1715" s="7">
        <v>6816050</v>
      </c>
      <c r="B1715" s="8" t="s">
        <v>1371</v>
      </c>
      <c r="C1715" s="8">
        <v>462</v>
      </c>
      <c r="D1715" s="8" t="s">
        <v>1372</v>
      </c>
      <c r="E1715" s="9">
        <v>7616050</v>
      </c>
    </row>
    <row r="1716" spans="1:5" x14ac:dyDescent="0.5">
      <c r="A1716" s="7">
        <v>6816070</v>
      </c>
      <c r="B1716" s="8" t="s">
        <v>1373</v>
      </c>
      <c r="C1716" s="8">
        <v>465</v>
      </c>
      <c r="D1716" s="8" t="s">
        <v>1374</v>
      </c>
      <c r="E1716" s="9">
        <v>7616070</v>
      </c>
    </row>
    <row r="1717" spans="1:5" x14ac:dyDescent="0.5">
      <c r="A1717" s="7">
        <v>6816141</v>
      </c>
      <c r="B1717" s="8" t="s">
        <v>1375</v>
      </c>
      <c r="C1717" s="8">
        <v>473</v>
      </c>
      <c r="D1717" s="8" t="s">
        <v>1376</v>
      </c>
      <c r="E1717" s="9">
        <v>6916141</v>
      </c>
    </row>
    <row r="1718" spans="1:5" x14ac:dyDescent="0.5">
      <c r="A1718" s="7">
        <v>6816150</v>
      </c>
      <c r="B1718" s="8" t="s">
        <v>1377</v>
      </c>
      <c r="C1718" s="8">
        <v>475</v>
      </c>
      <c r="D1718" s="8" t="s">
        <v>1378</v>
      </c>
      <c r="E1718" s="9">
        <v>7616150</v>
      </c>
    </row>
    <row r="1719" spans="1:5" x14ac:dyDescent="0.5">
      <c r="A1719" s="7">
        <v>6816170</v>
      </c>
      <c r="B1719" s="8" t="s">
        <v>1379</v>
      </c>
      <c r="C1719" s="8">
        <v>477</v>
      </c>
      <c r="D1719" s="8" t="s">
        <v>1380</v>
      </c>
      <c r="E1719" s="9">
        <v>7616170</v>
      </c>
    </row>
    <row r="1720" spans="1:5" x14ac:dyDescent="0.5">
      <c r="A1720" s="7">
        <v>6816211</v>
      </c>
      <c r="B1720" s="8" t="s">
        <v>1381</v>
      </c>
      <c r="C1720" s="8">
        <v>479</v>
      </c>
      <c r="D1720" s="8" t="s">
        <v>1382</v>
      </c>
      <c r="E1720" s="9">
        <v>7616211</v>
      </c>
    </row>
    <row r="1721" spans="1:5" x14ac:dyDescent="0.5">
      <c r="A1721" s="7">
        <v>6816220</v>
      </c>
      <c r="B1721" s="8" t="s">
        <v>1383</v>
      </c>
      <c r="C1721" s="8">
        <v>481</v>
      </c>
      <c r="D1721" s="8" t="s">
        <v>1384</v>
      </c>
      <c r="E1721" s="9">
        <v>7616220</v>
      </c>
    </row>
    <row r="1722" spans="1:5" x14ac:dyDescent="0.5">
      <c r="A1722" s="7">
        <v>6816300</v>
      </c>
      <c r="B1722" s="8" t="s">
        <v>1385</v>
      </c>
      <c r="C1722" s="8">
        <v>485</v>
      </c>
      <c r="D1722" s="8" t="s">
        <v>1386</v>
      </c>
      <c r="E1722" s="9">
        <v>6916300</v>
      </c>
    </row>
    <row r="1723" spans="1:5" x14ac:dyDescent="0.5">
      <c r="A1723" s="7">
        <v>6816380</v>
      </c>
      <c r="B1723" s="8" t="s">
        <v>1316</v>
      </c>
      <c r="C1723" s="8">
        <v>491</v>
      </c>
      <c r="D1723" s="8" t="s">
        <v>1317</v>
      </c>
      <c r="E1723" s="8">
        <v>7616380</v>
      </c>
    </row>
    <row r="1724" spans="1:5" x14ac:dyDescent="0.5">
      <c r="A1724" s="7">
        <v>6816390</v>
      </c>
      <c r="B1724" s="8" t="s">
        <v>1318</v>
      </c>
      <c r="C1724" s="8">
        <v>492</v>
      </c>
      <c r="D1724" s="8" t="s">
        <v>1319</v>
      </c>
      <c r="E1724" s="9">
        <v>7616390</v>
      </c>
    </row>
    <row r="1725" spans="1:5" x14ac:dyDescent="0.5">
      <c r="A1725" s="7">
        <v>6816821</v>
      </c>
      <c r="B1725" s="8" t="s">
        <v>1320</v>
      </c>
      <c r="C1725" s="8">
        <v>524</v>
      </c>
      <c r="D1725" s="8" t="s">
        <v>1321</v>
      </c>
      <c r="E1725" s="8">
        <v>7616821</v>
      </c>
    </row>
    <row r="1726" spans="1:5" x14ac:dyDescent="0.5">
      <c r="A1726" s="7">
        <v>6816822</v>
      </c>
      <c r="B1726" s="8" t="s">
        <v>1387</v>
      </c>
      <c r="C1726" s="8">
        <v>525</v>
      </c>
      <c r="D1726" s="8" t="s">
        <v>1388</v>
      </c>
      <c r="E1726" s="8">
        <v>6816822</v>
      </c>
    </row>
    <row r="1727" spans="1:5" x14ac:dyDescent="0.5">
      <c r="A1727" s="7">
        <v>6816830</v>
      </c>
      <c r="B1727" s="8" t="s">
        <v>1322</v>
      </c>
      <c r="C1727" s="8">
        <v>526</v>
      </c>
      <c r="D1727" s="8" t="s">
        <v>1323</v>
      </c>
      <c r="E1727" s="8">
        <v>7616830</v>
      </c>
    </row>
    <row r="1728" spans="1:5" x14ac:dyDescent="0.5">
      <c r="A1728" s="7">
        <v>6816840</v>
      </c>
      <c r="B1728" s="8" t="s">
        <v>1324</v>
      </c>
      <c r="C1728" s="8">
        <v>527</v>
      </c>
      <c r="D1728" s="8" t="s">
        <v>1325</v>
      </c>
      <c r="E1728" s="8">
        <v>6716840</v>
      </c>
    </row>
    <row r="1729" spans="1:5" x14ac:dyDescent="0.5">
      <c r="A1729" s="7">
        <v>6816850</v>
      </c>
      <c r="B1729" s="8" t="s">
        <v>1326</v>
      </c>
      <c r="C1729" s="8">
        <v>528</v>
      </c>
      <c r="D1729" s="8" t="s">
        <v>1327</v>
      </c>
      <c r="E1729" s="8">
        <v>7616850</v>
      </c>
    </row>
    <row r="1730" spans="1:5" x14ac:dyDescent="0.5">
      <c r="A1730" s="7">
        <v>6816860</v>
      </c>
      <c r="B1730" s="8" t="s">
        <v>1328</v>
      </c>
      <c r="C1730" s="8">
        <v>529</v>
      </c>
      <c r="D1730" s="8" t="s">
        <v>1329</v>
      </c>
      <c r="E1730" s="8">
        <v>6716860</v>
      </c>
    </row>
    <row r="1731" spans="1:5" x14ac:dyDescent="0.5">
      <c r="A1731" s="7">
        <v>6816870</v>
      </c>
      <c r="B1731" s="8" t="s">
        <v>1330</v>
      </c>
      <c r="C1731" s="8">
        <v>530</v>
      </c>
      <c r="D1731" s="8" t="s">
        <v>1331</v>
      </c>
      <c r="E1731" s="8">
        <v>7616870</v>
      </c>
    </row>
    <row r="1732" spans="1:5" x14ac:dyDescent="0.5">
      <c r="A1732" s="7">
        <v>6816880</v>
      </c>
      <c r="B1732" s="8" t="s">
        <v>1332</v>
      </c>
      <c r="C1732" s="8">
        <v>531</v>
      </c>
      <c r="D1732" s="8" t="s">
        <v>1333</v>
      </c>
      <c r="E1732" s="8">
        <v>6716880</v>
      </c>
    </row>
    <row r="1733" spans="1:5" x14ac:dyDescent="0.5">
      <c r="A1733" s="7">
        <v>6816890</v>
      </c>
      <c r="B1733" s="8" t="s">
        <v>1334</v>
      </c>
      <c r="C1733" s="8">
        <v>532</v>
      </c>
      <c r="D1733" s="8" t="s">
        <v>1389</v>
      </c>
      <c r="E1733" s="8">
        <v>6716890</v>
      </c>
    </row>
    <row r="1734" spans="1:5" x14ac:dyDescent="0.5">
      <c r="A1734" s="7">
        <v>6816901</v>
      </c>
      <c r="B1734" s="8" t="s">
        <v>1390</v>
      </c>
      <c r="C1734" s="8">
        <v>533</v>
      </c>
      <c r="D1734" s="8" t="s">
        <v>1391</v>
      </c>
      <c r="E1734" s="8">
        <v>7616901</v>
      </c>
    </row>
    <row r="1735" spans="1:5" x14ac:dyDescent="0.5">
      <c r="A1735" s="7">
        <v>6816902</v>
      </c>
      <c r="B1735" s="8" t="s">
        <v>1335</v>
      </c>
      <c r="C1735" s="8">
        <v>534</v>
      </c>
      <c r="D1735" s="8" t="s">
        <v>1336</v>
      </c>
      <c r="E1735" s="8">
        <v>6716902</v>
      </c>
    </row>
    <row r="1736" spans="1:5" x14ac:dyDescent="0.5">
      <c r="A1736" s="7">
        <v>6816941</v>
      </c>
      <c r="B1736" s="8" t="s">
        <v>1392</v>
      </c>
      <c r="C1736" s="8">
        <v>535</v>
      </c>
      <c r="D1736" s="8" t="s">
        <v>1393</v>
      </c>
      <c r="E1736" s="9">
        <v>6816941</v>
      </c>
    </row>
    <row r="1737" spans="1:5" x14ac:dyDescent="0.5">
      <c r="A1737" s="7">
        <v>6816942</v>
      </c>
      <c r="B1737" s="8" t="s">
        <v>1337</v>
      </c>
      <c r="C1737" s="8">
        <v>536</v>
      </c>
      <c r="D1737" s="8" t="s">
        <v>1338</v>
      </c>
      <c r="E1737" s="9">
        <v>7616942</v>
      </c>
    </row>
    <row r="1738" spans="1:5" x14ac:dyDescent="0.5">
      <c r="A1738" s="7">
        <v>6816970</v>
      </c>
      <c r="B1738" s="8" t="s">
        <v>1339</v>
      </c>
      <c r="C1738" s="8">
        <v>537</v>
      </c>
      <c r="D1738" s="8" t="s">
        <v>1340</v>
      </c>
      <c r="E1738" s="8">
        <v>6716970</v>
      </c>
    </row>
    <row r="1739" spans="1:5" x14ac:dyDescent="0.5">
      <c r="A1739" s="7">
        <v>6816980</v>
      </c>
      <c r="B1739" s="8" t="s">
        <v>1341</v>
      </c>
      <c r="C1739" s="8">
        <v>538</v>
      </c>
      <c r="D1739" s="8" t="s">
        <v>1342</v>
      </c>
      <c r="E1739" s="9">
        <v>7616980</v>
      </c>
    </row>
    <row r="1740" spans="1:5" x14ac:dyDescent="0.5">
      <c r="A1740" s="7">
        <v>6816990</v>
      </c>
      <c r="B1740" s="8" t="s">
        <v>1343</v>
      </c>
      <c r="C1740" s="8">
        <v>539</v>
      </c>
      <c r="D1740" s="8" t="s">
        <v>1344</v>
      </c>
      <c r="E1740" s="8">
        <v>7616990</v>
      </c>
    </row>
    <row r="1741" spans="1:5" x14ac:dyDescent="0.5">
      <c r="A1741" s="7">
        <v>6817010</v>
      </c>
      <c r="B1741" s="8" t="s">
        <v>1345</v>
      </c>
      <c r="C1741" s="8">
        <v>540</v>
      </c>
      <c r="D1741" s="8" t="s">
        <v>1346</v>
      </c>
      <c r="E1741" s="8">
        <v>7617010</v>
      </c>
    </row>
    <row r="1742" spans="1:5" x14ac:dyDescent="0.5">
      <c r="A1742" s="7">
        <v>6817020</v>
      </c>
      <c r="B1742" s="8" t="s">
        <v>1347</v>
      </c>
      <c r="C1742" s="8">
        <v>541</v>
      </c>
      <c r="D1742" s="8" t="s">
        <v>1348</v>
      </c>
      <c r="E1742" s="9">
        <v>7617020</v>
      </c>
    </row>
    <row r="1743" spans="1:5" x14ac:dyDescent="0.5">
      <c r="A1743" s="7">
        <v>6817030</v>
      </c>
      <c r="B1743" s="8" t="s">
        <v>1349</v>
      </c>
      <c r="C1743" s="8">
        <v>542</v>
      </c>
      <c r="D1743" s="8" t="s">
        <v>1350</v>
      </c>
      <c r="E1743" s="8">
        <v>6717030</v>
      </c>
    </row>
    <row r="1744" spans="1:5" x14ac:dyDescent="0.5">
      <c r="A1744" s="7">
        <v>6817040</v>
      </c>
      <c r="B1744" s="8" t="s">
        <v>1394</v>
      </c>
      <c r="C1744" s="8">
        <v>543</v>
      </c>
      <c r="D1744" s="8" t="s">
        <v>1395</v>
      </c>
      <c r="E1744" s="8">
        <v>6817040</v>
      </c>
    </row>
    <row r="1745" spans="1:5" x14ac:dyDescent="0.5">
      <c r="A1745" s="7">
        <v>6817050</v>
      </c>
      <c r="B1745" s="8" t="s">
        <v>1351</v>
      </c>
      <c r="C1745" s="8">
        <v>544</v>
      </c>
      <c r="D1745" s="8" t="s">
        <v>1352</v>
      </c>
      <c r="E1745" s="8">
        <v>7617050</v>
      </c>
    </row>
    <row r="1746" spans="1:5" x14ac:dyDescent="0.5">
      <c r="A1746" s="7">
        <v>6817060</v>
      </c>
      <c r="B1746" s="8" t="s">
        <v>1353</v>
      </c>
      <c r="C1746" s="8">
        <v>545</v>
      </c>
      <c r="D1746" s="8" t="s">
        <v>1354</v>
      </c>
      <c r="E1746" s="8">
        <v>6717060</v>
      </c>
    </row>
    <row r="1747" spans="1:5" x14ac:dyDescent="0.5">
      <c r="A1747" s="7">
        <v>6817080</v>
      </c>
      <c r="B1747" s="8" t="s">
        <v>1355</v>
      </c>
      <c r="C1747" s="8">
        <v>546</v>
      </c>
      <c r="D1747" s="8" t="s">
        <v>1356</v>
      </c>
      <c r="E1747" s="8">
        <v>6717080</v>
      </c>
    </row>
    <row r="1748" spans="1:5" x14ac:dyDescent="0.5">
      <c r="A1748" s="7">
        <v>6817110</v>
      </c>
      <c r="B1748" s="8" t="s">
        <v>1359</v>
      </c>
      <c r="C1748" s="8">
        <v>548</v>
      </c>
      <c r="D1748" s="8" t="s">
        <v>1360</v>
      </c>
      <c r="E1748" s="8">
        <v>7617110</v>
      </c>
    </row>
    <row r="1749" spans="1:5" x14ac:dyDescent="0.5">
      <c r="A1749" s="7">
        <v>6817120</v>
      </c>
      <c r="B1749" s="8" t="s">
        <v>1361</v>
      </c>
      <c r="C1749" s="8">
        <v>549</v>
      </c>
      <c r="D1749" s="8" t="s">
        <v>1362</v>
      </c>
      <c r="E1749" s="8">
        <v>7617120</v>
      </c>
    </row>
    <row r="1750" spans="1:5" x14ac:dyDescent="0.5">
      <c r="A1750" s="7">
        <v>6817130</v>
      </c>
      <c r="B1750" s="8" t="s">
        <v>1396</v>
      </c>
      <c r="C1750" s="8">
        <v>550</v>
      </c>
      <c r="D1750" s="8" t="s">
        <v>1397</v>
      </c>
      <c r="E1750" s="8">
        <v>6817130</v>
      </c>
    </row>
    <row r="1751" spans="1:5" x14ac:dyDescent="0.5">
      <c r="A1751" s="7">
        <v>6817140</v>
      </c>
      <c r="B1751" s="8" t="s">
        <v>1398</v>
      </c>
      <c r="C1751" s="8">
        <v>551</v>
      </c>
      <c r="D1751" s="8" t="s">
        <v>1399</v>
      </c>
      <c r="E1751" s="8">
        <v>6817140</v>
      </c>
    </row>
    <row r="1752" spans="1:5" x14ac:dyDescent="0.5">
      <c r="A1752" s="7">
        <v>6817150</v>
      </c>
      <c r="B1752" s="8" t="s">
        <v>1363</v>
      </c>
      <c r="C1752" s="8">
        <v>552</v>
      </c>
      <c r="D1752" s="8" t="s">
        <v>1364</v>
      </c>
      <c r="E1752" s="8">
        <v>7617150</v>
      </c>
    </row>
    <row r="1753" spans="1:5" x14ac:dyDescent="0.5">
      <c r="A1753" s="7">
        <v>6916011</v>
      </c>
      <c r="B1753" s="8" t="s">
        <v>1365</v>
      </c>
      <c r="C1753" s="8">
        <v>457</v>
      </c>
      <c r="D1753" s="8" t="s">
        <v>1366</v>
      </c>
      <c r="E1753" s="8">
        <v>7616011</v>
      </c>
    </row>
    <row r="1754" spans="1:5" x14ac:dyDescent="0.5">
      <c r="A1754" s="7">
        <v>6916030</v>
      </c>
      <c r="B1754" s="8" t="s">
        <v>1367</v>
      </c>
      <c r="C1754" s="8">
        <v>459</v>
      </c>
      <c r="D1754" s="8" t="s">
        <v>1368</v>
      </c>
      <c r="E1754" s="8">
        <v>7616030</v>
      </c>
    </row>
    <row r="1755" spans="1:5" x14ac:dyDescent="0.5">
      <c r="A1755" s="7">
        <v>6916041</v>
      </c>
      <c r="B1755" s="8" t="s">
        <v>1369</v>
      </c>
      <c r="C1755" s="8">
        <v>460</v>
      </c>
      <c r="D1755" s="8" t="s">
        <v>1370</v>
      </c>
      <c r="E1755" s="8">
        <v>7616041</v>
      </c>
    </row>
    <row r="1756" spans="1:5" x14ac:dyDescent="0.5">
      <c r="A1756" s="7">
        <v>6916050</v>
      </c>
      <c r="B1756" s="8" t="s">
        <v>1371</v>
      </c>
      <c r="C1756" s="8">
        <v>462</v>
      </c>
      <c r="D1756" s="8" t="s">
        <v>1372</v>
      </c>
      <c r="E1756" s="9">
        <v>7616050</v>
      </c>
    </row>
    <row r="1757" spans="1:5" x14ac:dyDescent="0.5">
      <c r="A1757" s="7">
        <v>6916062</v>
      </c>
      <c r="B1757" s="8" t="s">
        <v>1400</v>
      </c>
      <c r="C1757" s="8">
        <v>464</v>
      </c>
      <c r="D1757" s="8" t="s">
        <v>1401</v>
      </c>
      <c r="E1757" s="9">
        <v>6916062</v>
      </c>
    </row>
    <row r="1758" spans="1:5" x14ac:dyDescent="0.5">
      <c r="A1758" s="7">
        <v>6916070</v>
      </c>
      <c r="B1758" s="8" t="s">
        <v>1373</v>
      </c>
      <c r="C1758" s="8">
        <v>465</v>
      </c>
      <c r="D1758" s="8" t="s">
        <v>1374</v>
      </c>
      <c r="E1758" s="9">
        <v>7616070</v>
      </c>
    </row>
    <row r="1759" spans="1:5" x14ac:dyDescent="0.5">
      <c r="A1759" s="7">
        <v>6916090</v>
      </c>
      <c r="B1759" s="8" t="s">
        <v>1402</v>
      </c>
      <c r="C1759" s="8">
        <v>467</v>
      </c>
      <c r="D1759" s="8" t="s">
        <v>1403</v>
      </c>
      <c r="E1759" s="9">
        <v>7516090</v>
      </c>
    </row>
    <row r="1760" spans="1:5" x14ac:dyDescent="0.5">
      <c r="A1760" s="7">
        <v>6916101</v>
      </c>
      <c r="B1760" s="8" t="s">
        <v>1404</v>
      </c>
      <c r="C1760" s="8">
        <v>468</v>
      </c>
      <c r="D1760" s="8" t="s">
        <v>1405</v>
      </c>
      <c r="E1760" s="9">
        <v>7616101</v>
      </c>
    </row>
    <row r="1761" spans="1:5" x14ac:dyDescent="0.5">
      <c r="A1761" s="7">
        <v>6916110</v>
      </c>
      <c r="B1761" s="8" t="s">
        <v>1406</v>
      </c>
      <c r="C1761" s="8">
        <v>470</v>
      </c>
      <c r="D1761" s="8" t="s">
        <v>1407</v>
      </c>
      <c r="E1761" s="9">
        <v>6916110</v>
      </c>
    </row>
    <row r="1762" spans="1:5" x14ac:dyDescent="0.5">
      <c r="A1762" s="7">
        <v>6916120</v>
      </c>
      <c r="B1762" s="8" t="s">
        <v>1408</v>
      </c>
      <c r="C1762" s="8">
        <v>471</v>
      </c>
      <c r="D1762" s="8" t="s">
        <v>1409</v>
      </c>
      <c r="E1762" s="9">
        <v>6916120</v>
      </c>
    </row>
    <row r="1763" spans="1:5" x14ac:dyDescent="0.5">
      <c r="A1763" s="7">
        <v>6916141</v>
      </c>
      <c r="B1763" s="8" t="s">
        <v>1375</v>
      </c>
      <c r="C1763" s="8">
        <v>473</v>
      </c>
      <c r="D1763" s="8" t="s">
        <v>1376</v>
      </c>
      <c r="E1763" s="9">
        <v>6916141</v>
      </c>
    </row>
    <row r="1764" spans="1:5" x14ac:dyDescent="0.5">
      <c r="A1764" s="7">
        <v>6916170</v>
      </c>
      <c r="B1764" s="8" t="s">
        <v>1379</v>
      </c>
      <c r="C1764" s="8">
        <v>477</v>
      </c>
      <c r="D1764" s="8" t="s">
        <v>1380</v>
      </c>
      <c r="E1764" s="9">
        <v>7616170</v>
      </c>
    </row>
    <row r="1765" spans="1:5" x14ac:dyDescent="0.5">
      <c r="A1765" s="7">
        <v>6916211</v>
      </c>
      <c r="B1765" s="8" t="s">
        <v>1381</v>
      </c>
      <c r="C1765" s="8">
        <v>479</v>
      </c>
      <c r="D1765" s="8" t="s">
        <v>1382</v>
      </c>
      <c r="E1765" s="9">
        <v>7616211</v>
      </c>
    </row>
    <row r="1766" spans="1:5" x14ac:dyDescent="0.5">
      <c r="A1766" s="7">
        <v>6916220</v>
      </c>
      <c r="B1766" s="8" t="s">
        <v>1383</v>
      </c>
      <c r="C1766" s="8">
        <v>481</v>
      </c>
      <c r="D1766" s="8" t="s">
        <v>1384</v>
      </c>
      <c r="E1766" s="9">
        <v>7616220</v>
      </c>
    </row>
    <row r="1767" spans="1:5" x14ac:dyDescent="0.5">
      <c r="A1767" s="7">
        <v>6916240</v>
      </c>
      <c r="B1767" s="8" t="s">
        <v>1410</v>
      </c>
      <c r="C1767" s="8">
        <v>482</v>
      </c>
      <c r="D1767" s="8" t="s">
        <v>1411</v>
      </c>
      <c r="E1767" s="9">
        <v>6916240</v>
      </c>
    </row>
    <row r="1768" spans="1:5" x14ac:dyDescent="0.5">
      <c r="A1768" s="7">
        <v>6916280</v>
      </c>
      <c r="B1768" s="8" t="s">
        <v>1412</v>
      </c>
      <c r="C1768" s="8">
        <v>483</v>
      </c>
      <c r="D1768" s="8" t="s">
        <v>1413</v>
      </c>
      <c r="E1768" s="9">
        <v>6916280</v>
      </c>
    </row>
    <row r="1769" spans="1:5" x14ac:dyDescent="0.5">
      <c r="A1769" s="7">
        <v>6916290</v>
      </c>
      <c r="B1769" s="8" t="s">
        <v>1414</v>
      </c>
      <c r="C1769" s="8">
        <v>484</v>
      </c>
      <c r="D1769" s="8" t="s">
        <v>1415</v>
      </c>
      <c r="E1769" s="9">
        <v>7616290</v>
      </c>
    </row>
    <row r="1770" spans="1:5" x14ac:dyDescent="0.5">
      <c r="A1770" s="7">
        <v>6916300</v>
      </c>
      <c r="B1770" s="8" t="s">
        <v>1385</v>
      </c>
      <c r="C1770" s="8">
        <v>485</v>
      </c>
      <c r="D1770" s="8" t="s">
        <v>1386</v>
      </c>
      <c r="E1770" s="9">
        <v>6916300</v>
      </c>
    </row>
    <row r="1771" spans="1:5" x14ac:dyDescent="0.5">
      <c r="A1771" s="7">
        <v>6916310</v>
      </c>
      <c r="B1771" s="8" t="s">
        <v>1416</v>
      </c>
      <c r="C1771" s="8">
        <v>486</v>
      </c>
      <c r="D1771" s="8" t="s">
        <v>1417</v>
      </c>
      <c r="E1771" s="9">
        <v>6916310</v>
      </c>
    </row>
    <row r="1772" spans="1:5" x14ac:dyDescent="0.5">
      <c r="A1772" s="7">
        <v>6916330</v>
      </c>
      <c r="B1772" s="8" t="s">
        <v>1418</v>
      </c>
      <c r="C1772" s="8">
        <v>487</v>
      </c>
      <c r="D1772" s="8" t="s">
        <v>1419</v>
      </c>
      <c r="E1772" s="9">
        <v>6916330</v>
      </c>
    </row>
    <row r="1773" spans="1:5" x14ac:dyDescent="0.5">
      <c r="A1773" s="7">
        <v>6916351</v>
      </c>
      <c r="B1773" s="8" t="s">
        <v>1420</v>
      </c>
      <c r="C1773" s="8">
        <v>488</v>
      </c>
      <c r="D1773" s="8" t="s">
        <v>1421</v>
      </c>
      <c r="E1773" s="9">
        <v>6916351</v>
      </c>
    </row>
    <row r="1774" spans="1:5" x14ac:dyDescent="0.5">
      <c r="A1774" s="7">
        <v>6916371</v>
      </c>
      <c r="B1774" s="8" t="s">
        <v>1422</v>
      </c>
      <c r="C1774" s="8">
        <v>489</v>
      </c>
      <c r="D1774" s="8" t="s">
        <v>1423</v>
      </c>
      <c r="E1774" s="9">
        <v>7616371</v>
      </c>
    </row>
    <row r="1775" spans="1:5" x14ac:dyDescent="0.5">
      <c r="A1775" s="7">
        <v>6916372</v>
      </c>
      <c r="B1775" s="8" t="s">
        <v>1424</v>
      </c>
      <c r="C1775" s="8">
        <v>490</v>
      </c>
      <c r="D1775" s="8" t="s">
        <v>1425</v>
      </c>
      <c r="E1775" s="9">
        <v>6916372</v>
      </c>
    </row>
    <row r="1776" spans="1:5" x14ac:dyDescent="0.5">
      <c r="A1776" s="7">
        <v>6916380</v>
      </c>
      <c r="B1776" s="8" t="s">
        <v>1316</v>
      </c>
      <c r="C1776" s="8">
        <v>491</v>
      </c>
      <c r="D1776" s="8" t="s">
        <v>1317</v>
      </c>
      <c r="E1776" s="8">
        <v>7616380</v>
      </c>
    </row>
    <row r="1777" spans="1:5" x14ac:dyDescent="0.5">
      <c r="A1777" s="7">
        <v>6916390</v>
      </c>
      <c r="B1777" s="8" t="s">
        <v>1318</v>
      </c>
      <c r="C1777" s="8">
        <v>492</v>
      </c>
      <c r="D1777" s="8" t="s">
        <v>1319</v>
      </c>
      <c r="E1777" s="9">
        <v>7616390</v>
      </c>
    </row>
    <row r="1778" spans="1:5" x14ac:dyDescent="0.5">
      <c r="A1778" s="7">
        <v>6916822</v>
      </c>
      <c r="B1778" s="8" t="s">
        <v>1387</v>
      </c>
      <c r="C1778" s="8">
        <v>525</v>
      </c>
      <c r="D1778" s="8" t="s">
        <v>1388</v>
      </c>
      <c r="E1778" s="8">
        <v>6816822</v>
      </c>
    </row>
    <row r="1779" spans="1:5" x14ac:dyDescent="0.5">
      <c r="A1779" s="7">
        <v>6916830</v>
      </c>
      <c r="B1779" s="8" t="s">
        <v>1322</v>
      </c>
      <c r="C1779" s="8">
        <v>526</v>
      </c>
      <c r="D1779" s="8" t="s">
        <v>1323</v>
      </c>
      <c r="E1779" s="8">
        <v>7616830</v>
      </c>
    </row>
    <row r="1780" spans="1:5" x14ac:dyDescent="0.5">
      <c r="A1780" s="7">
        <v>6916840</v>
      </c>
      <c r="B1780" s="8" t="s">
        <v>1324</v>
      </c>
      <c r="C1780" s="8">
        <v>527</v>
      </c>
      <c r="D1780" s="8" t="s">
        <v>1325</v>
      </c>
      <c r="E1780" s="8">
        <v>6716840</v>
      </c>
    </row>
    <row r="1781" spans="1:5" x14ac:dyDescent="0.5">
      <c r="A1781" s="7">
        <v>6916850</v>
      </c>
      <c r="B1781" s="8" t="s">
        <v>1326</v>
      </c>
      <c r="C1781" s="8">
        <v>528</v>
      </c>
      <c r="D1781" s="8" t="s">
        <v>1327</v>
      </c>
      <c r="E1781" s="8">
        <v>7616850</v>
      </c>
    </row>
    <row r="1782" spans="1:5" x14ac:dyDescent="0.5">
      <c r="A1782" s="7">
        <v>6916860</v>
      </c>
      <c r="B1782" s="8" t="s">
        <v>1328</v>
      </c>
      <c r="C1782" s="8">
        <v>529</v>
      </c>
      <c r="D1782" s="8" t="s">
        <v>1329</v>
      </c>
      <c r="E1782" s="8">
        <v>6716860</v>
      </c>
    </row>
    <row r="1783" spans="1:5" x14ac:dyDescent="0.5">
      <c r="A1783" s="7">
        <v>6916870</v>
      </c>
      <c r="B1783" s="8" t="s">
        <v>1330</v>
      </c>
      <c r="C1783" s="8">
        <v>530</v>
      </c>
      <c r="D1783" s="8" t="s">
        <v>1331</v>
      </c>
      <c r="E1783" s="8">
        <v>7616870</v>
      </c>
    </row>
    <row r="1784" spans="1:5" x14ac:dyDescent="0.5">
      <c r="A1784" s="7">
        <v>6916880</v>
      </c>
      <c r="B1784" s="8" t="s">
        <v>1332</v>
      </c>
      <c r="C1784" s="8">
        <v>531</v>
      </c>
      <c r="D1784" s="8" t="s">
        <v>1333</v>
      </c>
      <c r="E1784" s="8">
        <v>6716880</v>
      </c>
    </row>
    <row r="1785" spans="1:5" x14ac:dyDescent="0.5">
      <c r="A1785" s="7">
        <v>6916890</v>
      </c>
      <c r="B1785" s="8" t="s">
        <v>1334</v>
      </c>
      <c r="C1785" s="8">
        <v>532</v>
      </c>
      <c r="D1785" s="8" t="s">
        <v>1389</v>
      </c>
      <c r="E1785" s="8">
        <v>6716890</v>
      </c>
    </row>
    <row r="1786" spans="1:5" x14ac:dyDescent="0.5">
      <c r="A1786" s="7">
        <v>6916901</v>
      </c>
      <c r="B1786" s="8" t="s">
        <v>1390</v>
      </c>
      <c r="C1786" s="8">
        <v>533</v>
      </c>
      <c r="D1786" s="8" t="s">
        <v>1391</v>
      </c>
      <c r="E1786" s="8">
        <v>7616901</v>
      </c>
    </row>
    <row r="1787" spans="1:5" x14ac:dyDescent="0.5">
      <c r="A1787" s="7">
        <v>6916941</v>
      </c>
      <c r="B1787" s="8" t="s">
        <v>1392</v>
      </c>
      <c r="C1787" s="8">
        <v>535</v>
      </c>
      <c r="D1787" s="8" t="s">
        <v>1393</v>
      </c>
      <c r="E1787" s="9">
        <v>6816941</v>
      </c>
    </row>
    <row r="1788" spans="1:5" x14ac:dyDescent="0.5">
      <c r="A1788" s="7">
        <v>6916970</v>
      </c>
      <c r="B1788" s="8" t="s">
        <v>1339</v>
      </c>
      <c r="C1788" s="8">
        <v>537</v>
      </c>
      <c r="D1788" s="8" t="s">
        <v>1340</v>
      </c>
      <c r="E1788" s="8">
        <v>6716970</v>
      </c>
    </row>
    <row r="1789" spans="1:5" x14ac:dyDescent="0.5">
      <c r="A1789" s="7">
        <v>6916980</v>
      </c>
      <c r="B1789" s="8" t="s">
        <v>1341</v>
      </c>
      <c r="C1789" s="8">
        <v>538</v>
      </c>
      <c r="D1789" s="8" t="s">
        <v>1342</v>
      </c>
      <c r="E1789" s="9">
        <v>7616980</v>
      </c>
    </row>
    <row r="1790" spans="1:5" x14ac:dyDescent="0.5">
      <c r="A1790" s="7">
        <v>6916990</v>
      </c>
      <c r="B1790" s="8" t="s">
        <v>1343</v>
      </c>
      <c r="C1790" s="8">
        <v>539</v>
      </c>
      <c r="D1790" s="8" t="s">
        <v>1344</v>
      </c>
      <c r="E1790" s="8">
        <v>7616990</v>
      </c>
    </row>
    <row r="1791" spans="1:5" x14ac:dyDescent="0.5">
      <c r="A1791" s="7">
        <v>6917050</v>
      </c>
      <c r="B1791" s="8" t="s">
        <v>1351</v>
      </c>
      <c r="C1791" s="8">
        <v>544</v>
      </c>
      <c r="D1791" s="8" t="s">
        <v>1352</v>
      </c>
      <c r="E1791" s="8">
        <v>7617050</v>
      </c>
    </row>
    <row r="1792" spans="1:5" x14ac:dyDescent="0.5">
      <c r="A1792" s="7">
        <v>6917060</v>
      </c>
      <c r="B1792" s="8" t="s">
        <v>1353</v>
      </c>
      <c r="C1792" s="8">
        <v>545</v>
      </c>
      <c r="D1792" s="8" t="s">
        <v>1354</v>
      </c>
      <c r="E1792" s="8">
        <v>6717060</v>
      </c>
    </row>
    <row r="1793" spans="1:5" x14ac:dyDescent="0.5">
      <c r="A1793" s="7">
        <v>6917080</v>
      </c>
      <c r="B1793" s="8" t="s">
        <v>1355</v>
      </c>
      <c r="C1793" s="8">
        <v>546</v>
      </c>
      <c r="D1793" s="8" t="s">
        <v>1356</v>
      </c>
      <c r="E1793" s="8">
        <v>6717080</v>
      </c>
    </row>
    <row r="1794" spans="1:5" x14ac:dyDescent="0.5">
      <c r="A1794" s="7">
        <v>6917150</v>
      </c>
      <c r="B1794" s="8" t="s">
        <v>1363</v>
      </c>
      <c r="C1794" s="8">
        <v>552</v>
      </c>
      <c r="D1794" s="8" t="s">
        <v>1364</v>
      </c>
      <c r="E1794" s="8">
        <v>7617150</v>
      </c>
    </row>
    <row r="1795" spans="1:5" x14ac:dyDescent="0.5">
      <c r="A1795" s="7">
        <v>7016011</v>
      </c>
      <c r="B1795" s="8" t="s">
        <v>1365</v>
      </c>
      <c r="C1795" s="8">
        <v>457</v>
      </c>
      <c r="D1795" s="8" t="s">
        <v>1366</v>
      </c>
      <c r="E1795" s="8">
        <v>7616011</v>
      </c>
    </row>
    <row r="1796" spans="1:5" x14ac:dyDescent="0.5">
      <c r="A1796" s="7">
        <v>7016030</v>
      </c>
      <c r="B1796" s="8" t="s">
        <v>1367</v>
      </c>
      <c r="C1796" s="8">
        <v>459</v>
      </c>
      <c r="D1796" s="8" t="s">
        <v>1368</v>
      </c>
      <c r="E1796" s="8">
        <v>7616030</v>
      </c>
    </row>
    <row r="1797" spans="1:5" x14ac:dyDescent="0.5">
      <c r="A1797" s="7">
        <v>7016041</v>
      </c>
      <c r="B1797" s="8" t="s">
        <v>1369</v>
      </c>
      <c r="C1797" s="8">
        <v>460</v>
      </c>
      <c r="D1797" s="8" t="s">
        <v>1370</v>
      </c>
      <c r="E1797" s="8">
        <v>7616041</v>
      </c>
    </row>
    <row r="1798" spans="1:5" x14ac:dyDescent="0.5">
      <c r="A1798" s="7">
        <v>7016050</v>
      </c>
      <c r="B1798" s="8" t="s">
        <v>1371</v>
      </c>
      <c r="C1798" s="8">
        <v>462</v>
      </c>
      <c r="D1798" s="8" t="s">
        <v>1372</v>
      </c>
      <c r="E1798" s="9">
        <v>7616050</v>
      </c>
    </row>
    <row r="1799" spans="1:5" x14ac:dyDescent="0.5">
      <c r="A1799" s="7">
        <v>7016061</v>
      </c>
      <c r="B1799" s="8" t="s">
        <v>1426</v>
      </c>
      <c r="C1799" s="8">
        <v>463</v>
      </c>
      <c r="D1799" s="8" t="s">
        <v>1427</v>
      </c>
      <c r="E1799" s="9">
        <v>7416061</v>
      </c>
    </row>
    <row r="1800" spans="1:5" x14ac:dyDescent="0.5">
      <c r="A1800" s="7">
        <v>7016062</v>
      </c>
      <c r="B1800" s="8" t="s">
        <v>1400</v>
      </c>
      <c r="C1800" s="8">
        <v>464</v>
      </c>
      <c r="D1800" s="8" t="s">
        <v>1401</v>
      </c>
      <c r="E1800" s="9">
        <v>6916062</v>
      </c>
    </row>
    <row r="1801" spans="1:5" x14ac:dyDescent="0.5">
      <c r="A1801" s="7">
        <v>7016070</v>
      </c>
      <c r="B1801" s="8" t="s">
        <v>1373</v>
      </c>
      <c r="C1801" s="8">
        <v>465</v>
      </c>
      <c r="D1801" s="8" t="s">
        <v>1374</v>
      </c>
      <c r="E1801" s="9">
        <v>7616070</v>
      </c>
    </row>
    <row r="1802" spans="1:5" x14ac:dyDescent="0.5">
      <c r="A1802" s="7">
        <v>7016080</v>
      </c>
      <c r="B1802" s="8" t="s">
        <v>1428</v>
      </c>
      <c r="C1802" s="8">
        <v>466</v>
      </c>
      <c r="D1802" s="8" t="s">
        <v>1429</v>
      </c>
      <c r="E1802" s="9">
        <v>7616080</v>
      </c>
    </row>
    <row r="1803" spans="1:5" x14ac:dyDescent="0.5">
      <c r="A1803" s="7">
        <v>7016090</v>
      </c>
      <c r="B1803" s="8" t="s">
        <v>1430</v>
      </c>
      <c r="C1803" s="8">
        <v>467</v>
      </c>
      <c r="D1803" s="8" t="s">
        <v>1403</v>
      </c>
      <c r="E1803" s="9">
        <v>7516090</v>
      </c>
    </row>
    <row r="1804" spans="1:5" x14ac:dyDescent="0.5">
      <c r="A1804" s="7">
        <v>7016101</v>
      </c>
      <c r="B1804" s="8" t="s">
        <v>1404</v>
      </c>
      <c r="C1804" s="8">
        <v>468</v>
      </c>
      <c r="D1804" s="8" t="s">
        <v>1405</v>
      </c>
      <c r="E1804" s="9">
        <v>7616101</v>
      </c>
    </row>
    <row r="1805" spans="1:5" x14ac:dyDescent="0.5">
      <c r="A1805" s="7">
        <v>7016110</v>
      </c>
      <c r="B1805" s="8" t="s">
        <v>1406</v>
      </c>
      <c r="C1805" s="8">
        <v>470</v>
      </c>
      <c r="D1805" s="8" t="s">
        <v>1407</v>
      </c>
      <c r="E1805" s="9">
        <v>6916110</v>
      </c>
    </row>
    <row r="1806" spans="1:5" x14ac:dyDescent="0.5">
      <c r="A1806" s="7">
        <v>7016120</v>
      </c>
      <c r="B1806" s="8" t="s">
        <v>1408</v>
      </c>
      <c r="C1806" s="8">
        <v>471</v>
      </c>
      <c r="D1806" s="8" t="s">
        <v>1409</v>
      </c>
      <c r="E1806" s="9">
        <v>6916120</v>
      </c>
    </row>
    <row r="1807" spans="1:5" x14ac:dyDescent="0.5">
      <c r="A1807" s="7">
        <v>7016141</v>
      </c>
      <c r="B1807" s="8" t="s">
        <v>1375</v>
      </c>
      <c r="C1807" s="8">
        <v>473</v>
      </c>
      <c r="D1807" s="8" t="s">
        <v>1376</v>
      </c>
      <c r="E1807" s="9">
        <v>6916141</v>
      </c>
    </row>
    <row r="1808" spans="1:5" x14ac:dyDescent="0.5">
      <c r="A1808" s="7">
        <v>7016150</v>
      </c>
      <c r="B1808" s="8" t="s">
        <v>1377</v>
      </c>
      <c r="C1808" s="8">
        <v>475</v>
      </c>
      <c r="D1808" s="8" t="s">
        <v>1378</v>
      </c>
      <c r="E1808" s="9">
        <v>7616150</v>
      </c>
    </row>
    <row r="1809" spans="1:5" x14ac:dyDescent="0.5">
      <c r="A1809" s="7">
        <v>7016160</v>
      </c>
      <c r="B1809" s="8" t="s">
        <v>1431</v>
      </c>
      <c r="C1809" s="8">
        <v>476</v>
      </c>
      <c r="D1809" s="8" t="s">
        <v>1432</v>
      </c>
      <c r="E1809" s="9">
        <v>7216160</v>
      </c>
    </row>
    <row r="1810" spans="1:5" x14ac:dyDescent="0.5">
      <c r="A1810" s="7">
        <v>7016170</v>
      </c>
      <c r="B1810" s="8" t="s">
        <v>1379</v>
      </c>
      <c r="C1810" s="8">
        <v>477</v>
      </c>
      <c r="D1810" s="8" t="s">
        <v>1380</v>
      </c>
      <c r="E1810" s="9">
        <v>7616170</v>
      </c>
    </row>
    <row r="1811" spans="1:5" x14ac:dyDescent="0.5">
      <c r="A1811" s="7">
        <v>7016211</v>
      </c>
      <c r="B1811" s="8" t="s">
        <v>1381</v>
      </c>
      <c r="C1811" s="8">
        <v>479</v>
      </c>
      <c r="D1811" s="8" t="s">
        <v>1382</v>
      </c>
      <c r="E1811" s="9">
        <v>7616211</v>
      </c>
    </row>
    <row r="1812" spans="1:5" x14ac:dyDescent="0.5">
      <c r="A1812" s="7">
        <v>7016220</v>
      </c>
      <c r="B1812" s="8" t="s">
        <v>1383</v>
      </c>
      <c r="C1812" s="8">
        <v>481</v>
      </c>
      <c r="D1812" s="8" t="s">
        <v>1384</v>
      </c>
      <c r="E1812" s="9">
        <v>7616220</v>
      </c>
    </row>
    <row r="1813" spans="1:5" x14ac:dyDescent="0.5">
      <c r="A1813" s="7">
        <v>7016240</v>
      </c>
      <c r="B1813" s="8" t="s">
        <v>1410</v>
      </c>
      <c r="C1813" s="8">
        <v>482</v>
      </c>
      <c r="D1813" s="8" t="s">
        <v>1411</v>
      </c>
      <c r="E1813" s="9">
        <v>6916240</v>
      </c>
    </row>
    <row r="1814" spans="1:5" x14ac:dyDescent="0.5">
      <c r="A1814" s="7">
        <v>7016280</v>
      </c>
      <c r="B1814" s="8" t="s">
        <v>1412</v>
      </c>
      <c r="C1814" s="8">
        <v>483</v>
      </c>
      <c r="D1814" s="8" t="s">
        <v>1413</v>
      </c>
      <c r="E1814" s="9">
        <v>6916280</v>
      </c>
    </row>
    <row r="1815" spans="1:5" x14ac:dyDescent="0.5">
      <c r="A1815" s="7">
        <v>7016290</v>
      </c>
      <c r="B1815" s="8" t="s">
        <v>1414</v>
      </c>
      <c r="C1815" s="8">
        <v>484</v>
      </c>
      <c r="D1815" s="8" t="s">
        <v>1415</v>
      </c>
      <c r="E1815" s="9">
        <v>7616290</v>
      </c>
    </row>
    <row r="1816" spans="1:5" x14ac:dyDescent="0.5">
      <c r="A1816" s="7">
        <v>7016300</v>
      </c>
      <c r="B1816" s="8" t="s">
        <v>1385</v>
      </c>
      <c r="C1816" s="8">
        <v>485</v>
      </c>
      <c r="D1816" s="8" t="s">
        <v>1386</v>
      </c>
      <c r="E1816" s="9">
        <v>6916300</v>
      </c>
    </row>
    <row r="1817" spans="1:5" x14ac:dyDescent="0.5">
      <c r="A1817" s="7">
        <v>7016310</v>
      </c>
      <c r="B1817" s="8" t="s">
        <v>1416</v>
      </c>
      <c r="C1817" s="8">
        <v>486</v>
      </c>
      <c r="D1817" s="8" t="s">
        <v>1417</v>
      </c>
      <c r="E1817" s="9">
        <v>6916310</v>
      </c>
    </row>
    <row r="1818" spans="1:5" x14ac:dyDescent="0.5">
      <c r="A1818" s="7">
        <v>7016320</v>
      </c>
      <c r="B1818" s="8" t="s">
        <v>1433</v>
      </c>
      <c r="C1818" s="8">
        <v>100</v>
      </c>
      <c r="D1818" s="8" t="s">
        <v>578</v>
      </c>
      <c r="E1818" s="8" t="s">
        <v>579</v>
      </c>
    </row>
    <row r="1819" spans="1:5" x14ac:dyDescent="0.5">
      <c r="A1819" s="7">
        <v>7016330</v>
      </c>
      <c r="B1819" s="8" t="s">
        <v>1418</v>
      </c>
      <c r="C1819" s="8">
        <v>487</v>
      </c>
      <c r="D1819" s="8" t="s">
        <v>1419</v>
      </c>
      <c r="E1819" s="9">
        <v>6916330</v>
      </c>
    </row>
    <row r="1820" spans="1:5" x14ac:dyDescent="0.5">
      <c r="A1820" s="7">
        <v>7016351</v>
      </c>
      <c r="B1820" s="8" t="s">
        <v>1420</v>
      </c>
      <c r="C1820" s="8">
        <v>488</v>
      </c>
      <c r="D1820" s="8" t="s">
        <v>1421</v>
      </c>
      <c r="E1820" s="9">
        <v>6916351</v>
      </c>
    </row>
    <row r="1821" spans="1:5" x14ac:dyDescent="0.5">
      <c r="A1821" s="7">
        <v>7016372</v>
      </c>
      <c r="B1821" s="8" t="s">
        <v>1424</v>
      </c>
      <c r="C1821" s="8">
        <v>490</v>
      </c>
      <c r="D1821" s="8" t="s">
        <v>1425</v>
      </c>
      <c r="E1821" s="9">
        <v>6916372</v>
      </c>
    </row>
    <row r="1822" spans="1:5" x14ac:dyDescent="0.5">
      <c r="A1822" s="7">
        <v>7116011</v>
      </c>
      <c r="B1822" s="8" t="s">
        <v>1365</v>
      </c>
      <c r="C1822" s="8">
        <v>457</v>
      </c>
      <c r="D1822" s="8" t="s">
        <v>1366</v>
      </c>
      <c r="E1822" s="8">
        <v>7616011</v>
      </c>
    </row>
    <row r="1823" spans="1:5" x14ac:dyDescent="0.5">
      <c r="A1823" s="7">
        <v>7116030</v>
      </c>
      <c r="B1823" s="8" t="s">
        <v>1367</v>
      </c>
      <c r="C1823" s="8">
        <v>459</v>
      </c>
      <c r="D1823" s="8" t="s">
        <v>1368</v>
      </c>
      <c r="E1823" s="8">
        <v>7616030</v>
      </c>
    </row>
    <row r="1824" spans="1:5" x14ac:dyDescent="0.5">
      <c r="A1824" s="7">
        <v>7116041</v>
      </c>
      <c r="B1824" s="8" t="s">
        <v>1369</v>
      </c>
      <c r="C1824" s="8">
        <v>460</v>
      </c>
      <c r="D1824" s="8" t="s">
        <v>1370</v>
      </c>
      <c r="E1824" s="8">
        <v>7616041</v>
      </c>
    </row>
    <row r="1825" spans="1:5" x14ac:dyDescent="0.5">
      <c r="A1825" s="7">
        <v>7116050</v>
      </c>
      <c r="B1825" s="8" t="s">
        <v>1371</v>
      </c>
      <c r="C1825" s="8">
        <v>462</v>
      </c>
      <c r="D1825" s="8" t="s">
        <v>1372</v>
      </c>
      <c r="E1825" s="9">
        <v>7616050</v>
      </c>
    </row>
    <row r="1826" spans="1:5" x14ac:dyDescent="0.5">
      <c r="A1826" s="7">
        <v>7116061</v>
      </c>
      <c r="B1826" s="8" t="s">
        <v>1426</v>
      </c>
      <c r="C1826" s="8">
        <v>463</v>
      </c>
      <c r="D1826" s="8" t="s">
        <v>1427</v>
      </c>
      <c r="E1826" s="9">
        <v>7416061</v>
      </c>
    </row>
    <row r="1827" spans="1:5" x14ac:dyDescent="0.5">
      <c r="A1827" s="7">
        <v>7116062</v>
      </c>
      <c r="B1827" s="8" t="s">
        <v>1400</v>
      </c>
      <c r="C1827" s="8">
        <v>464</v>
      </c>
      <c r="D1827" s="8" t="s">
        <v>1401</v>
      </c>
      <c r="E1827" s="9">
        <v>6916062</v>
      </c>
    </row>
    <row r="1828" spans="1:5" x14ac:dyDescent="0.5">
      <c r="A1828" s="7">
        <v>7116080</v>
      </c>
      <c r="B1828" s="8" t="s">
        <v>1428</v>
      </c>
      <c r="C1828" s="8">
        <v>466</v>
      </c>
      <c r="D1828" s="8" t="s">
        <v>1429</v>
      </c>
      <c r="E1828" s="9">
        <v>7616080</v>
      </c>
    </row>
    <row r="1829" spans="1:5" x14ac:dyDescent="0.5">
      <c r="A1829" s="7">
        <v>7116090</v>
      </c>
      <c r="B1829" s="8" t="s">
        <v>1430</v>
      </c>
      <c r="C1829" s="8">
        <v>467</v>
      </c>
      <c r="D1829" s="8" t="s">
        <v>1403</v>
      </c>
      <c r="E1829" s="9">
        <v>7516090</v>
      </c>
    </row>
    <row r="1830" spans="1:5" x14ac:dyDescent="0.5">
      <c r="A1830" s="7">
        <v>7116101</v>
      </c>
      <c r="B1830" s="8" t="s">
        <v>1404</v>
      </c>
      <c r="C1830" s="8">
        <v>468</v>
      </c>
      <c r="D1830" s="8" t="s">
        <v>1405</v>
      </c>
      <c r="E1830" s="9">
        <v>7616101</v>
      </c>
    </row>
    <row r="1831" spans="1:5" x14ac:dyDescent="0.5">
      <c r="A1831" s="7">
        <v>7116110</v>
      </c>
      <c r="B1831" s="8" t="s">
        <v>1406</v>
      </c>
      <c r="C1831" s="8">
        <v>470</v>
      </c>
      <c r="D1831" s="8" t="s">
        <v>1407</v>
      </c>
      <c r="E1831" s="9">
        <v>6916110</v>
      </c>
    </row>
    <row r="1832" spans="1:5" x14ac:dyDescent="0.5">
      <c r="A1832" s="7">
        <v>7116130</v>
      </c>
      <c r="B1832" s="8" t="s">
        <v>1434</v>
      </c>
      <c r="C1832" s="8">
        <v>472</v>
      </c>
      <c r="D1832" s="8" t="s">
        <v>1435</v>
      </c>
      <c r="E1832" s="9">
        <v>7116130</v>
      </c>
    </row>
    <row r="1833" spans="1:5" x14ac:dyDescent="0.5">
      <c r="A1833" s="7">
        <v>7116141</v>
      </c>
      <c r="B1833" s="8" t="s">
        <v>1375</v>
      </c>
      <c r="C1833" s="8">
        <v>473</v>
      </c>
      <c r="D1833" s="8" t="s">
        <v>1376</v>
      </c>
      <c r="E1833" s="9">
        <v>6916141</v>
      </c>
    </row>
    <row r="1834" spans="1:5" x14ac:dyDescent="0.5">
      <c r="A1834" s="7">
        <v>7116150</v>
      </c>
      <c r="B1834" s="8" t="s">
        <v>1377</v>
      </c>
      <c r="C1834" s="8">
        <v>475</v>
      </c>
      <c r="D1834" s="8" t="s">
        <v>1378</v>
      </c>
      <c r="E1834" s="9">
        <v>7616150</v>
      </c>
    </row>
    <row r="1835" spans="1:5" x14ac:dyDescent="0.5">
      <c r="A1835" s="7">
        <v>7116160</v>
      </c>
      <c r="B1835" s="8" t="s">
        <v>1431</v>
      </c>
      <c r="C1835" s="8">
        <v>476</v>
      </c>
      <c r="D1835" s="8" t="s">
        <v>1432</v>
      </c>
      <c r="E1835" s="9">
        <v>7216160</v>
      </c>
    </row>
    <row r="1836" spans="1:5" x14ac:dyDescent="0.5">
      <c r="A1836" s="7">
        <v>7116170</v>
      </c>
      <c r="B1836" s="8" t="s">
        <v>1379</v>
      </c>
      <c r="C1836" s="8">
        <v>477</v>
      </c>
      <c r="D1836" s="8" t="s">
        <v>1380</v>
      </c>
      <c r="E1836" s="9">
        <v>7616170</v>
      </c>
    </row>
    <row r="1837" spans="1:5" x14ac:dyDescent="0.5">
      <c r="A1837" s="7">
        <v>7116211</v>
      </c>
      <c r="B1837" s="8" t="s">
        <v>1381</v>
      </c>
      <c r="C1837" s="8">
        <v>479</v>
      </c>
      <c r="D1837" s="8" t="s">
        <v>1382</v>
      </c>
      <c r="E1837" s="9">
        <v>7616211</v>
      </c>
    </row>
    <row r="1838" spans="1:5" x14ac:dyDescent="0.5">
      <c r="A1838" s="7">
        <v>7116220</v>
      </c>
      <c r="B1838" s="8" t="s">
        <v>1383</v>
      </c>
      <c r="C1838" s="8">
        <v>481</v>
      </c>
      <c r="D1838" s="8" t="s">
        <v>1384</v>
      </c>
      <c r="E1838" s="9">
        <v>7616220</v>
      </c>
    </row>
    <row r="1839" spans="1:5" x14ac:dyDescent="0.5">
      <c r="A1839" s="7">
        <v>7116240</v>
      </c>
      <c r="B1839" s="8" t="s">
        <v>1410</v>
      </c>
      <c r="C1839" s="8">
        <v>482</v>
      </c>
      <c r="D1839" s="8" t="s">
        <v>1411</v>
      </c>
      <c r="E1839" s="9">
        <v>6916240</v>
      </c>
    </row>
    <row r="1840" spans="1:5" x14ac:dyDescent="0.5">
      <c r="A1840" s="7">
        <v>7116280</v>
      </c>
      <c r="B1840" s="8" t="s">
        <v>1412</v>
      </c>
      <c r="C1840" s="8">
        <v>483</v>
      </c>
      <c r="D1840" s="8" t="s">
        <v>1413</v>
      </c>
      <c r="E1840" s="9">
        <v>6916280</v>
      </c>
    </row>
    <row r="1841" spans="1:5" x14ac:dyDescent="0.5">
      <c r="A1841" s="7">
        <v>7116290</v>
      </c>
      <c r="B1841" s="8" t="s">
        <v>1414</v>
      </c>
      <c r="C1841" s="8">
        <v>484</v>
      </c>
      <c r="D1841" s="8" t="s">
        <v>1415</v>
      </c>
      <c r="E1841" s="9">
        <v>7616290</v>
      </c>
    </row>
    <row r="1842" spans="1:5" x14ac:dyDescent="0.5">
      <c r="A1842" s="7">
        <v>7116300</v>
      </c>
      <c r="B1842" s="8" t="s">
        <v>1385</v>
      </c>
      <c r="C1842" s="8">
        <v>485</v>
      </c>
      <c r="D1842" s="8" t="s">
        <v>1386</v>
      </c>
      <c r="E1842" s="9">
        <v>6916300</v>
      </c>
    </row>
    <row r="1843" spans="1:5" x14ac:dyDescent="0.5">
      <c r="A1843" s="7">
        <v>7116310</v>
      </c>
      <c r="B1843" s="8" t="s">
        <v>1416</v>
      </c>
      <c r="C1843" s="8">
        <v>486</v>
      </c>
      <c r="D1843" s="8" t="s">
        <v>1417</v>
      </c>
      <c r="E1843" s="9">
        <v>6916310</v>
      </c>
    </row>
    <row r="1844" spans="1:5" x14ac:dyDescent="0.5">
      <c r="A1844" s="7">
        <v>7116330</v>
      </c>
      <c r="B1844" s="8" t="s">
        <v>1418</v>
      </c>
      <c r="C1844" s="8">
        <v>487</v>
      </c>
      <c r="D1844" s="8" t="s">
        <v>1419</v>
      </c>
      <c r="E1844" s="9">
        <v>6916330</v>
      </c>
    </row>
    <row r="1845" spans="1:5" x14ac:dyDescent="0.5">
      <c r="A1845" s="7">
        <v>7116351</v>
      </c>
      <c r="B1845" s="8" t="s">
        <v>1420</v>
      </c>
      <c r="C1845" s="8">
        <v>488</v>
      </c>
      <c r="D1845" s="8" t="s">
        <v>1421</v>
      </c>
      <c r="E1845" s="9">
        <v>6916351</v>
      </c>
    </row>
    <row r="1846" spans="1:5" x14ac:dyDescent="0.5">
      <c r="A1846" s="7">
        <v>7116371</v>
      </c>
      <c r="B1846" s="8" t="s">
        <v>1422</v>
      </c>
      <c r="C1846" s="8">
        <v>489</v>
      </c>
      <c r="D1846" s="8" t="s">
        <v>1423</v>
      </c>
      <c r="E1846" s="9">
        <v>7616371</v>
      </c>
    </row>
    <row r="1847" spans="1:5" x14ac:dyDescent="0.5">
      <c r="A1847" s="7">
        <v>7116372</v>
      </c>
      <c r="B1847" s="8" t="s">
        <v>1424</v>
      </c>
      <c r="C1847" s="8">
        <v>490</v>
      </c>
      <c r="D1847" s="8" t="s">
        <v>1425</v>
      </c>
      <c r="E1847" s="9">
        <v>6916372</v>
      </c>
    </row>
    <row r="1848" spans="1:5" x14ac:dyDescent="0.5">
      <c r="A1848" s="7">
        <v>7216011</v>
      </c>
      <c r="B1848" s="8" t="s">
        <v>1365</v>
      </c>
      <c r="C1848" s="8">
        <v>457</v>
      </c>
      <c r="D1848" s="8" t="s">
        <v>1366</v>
      </c>
      <c r="E1848" s="8">
        <v>7616011</v>
      </c>
    </row>
    <row r="1849" spans="1:5" x14ac:dyDescent="0.5">
      <c r="A1849" s="7">
        <v>7216030</v>
      </c>
      <c r="B1849" s="8" t="s">
        <v>1367</v>
      </c>
      <c r="C1849" s="8">
        <v>459</v>
      </c>
      <c r="D1849" s="8" t="s">
        <v>1368</v>
      </c>
      <c r="E1849" s="8">
        <v>7616030</v>
      </c>
    </row>
    <row r="1850" spans="1:5" x14ac:dyDescent="0.5">
      <c r="A1850" s="7">
        <v>7216041</v>
      </c>
      <c r="B1850" s="8" t="s">
        <v>1369</v>
      </c>
      <c r="C1850" s="8">
        <v>460</v>
      </c>
      <c r="D1850" s="8" t="s">
        <v>1370</v>
      </c>
      <c r="E1850" s="8">
        <v>7616041</v>
      </c>
    </row>
    <row r="1851" spans="1:5" x14ac:dyDescent="0.5">
      <c r="A1851" s="7">
        <v>7216050</v>
      </c>
      <c r="B1851" s="8" t="s">
        <v>1371</v>
      </c>
      <c r="C1851" s="8">
        <v>462</v>
      </c>
      <c r="D1851" s="8" t="s">
        <v>1372</v>
      </c>
      <c r="E1851" s="9">
        <v>7616050</v>
      </c>
    </row>
    <row r="1852" spans="1:5" x14ac:dyDescent="0.5">
      <c r="A1852" s="7">
        <v>7216070</v>
      </c>
      <c r="B1852" s="8" t="s">
        <v>1373</v>
      </c>
      <c r="C1852" s="8">
        <v>465</v>
      </c>
      <c r="D1852" s="8" t="s">
        <v>1374</v>
      </c>
      <c r="E1852" s="9">
        <v>7616070</v>
      </c>
    </row>
    <row r="1853" spans="1:5" x14ac:dyDescent="0.5">
      <c r="A1853" s="7">
        <v>7216080</v>
      </c>
      <c r="B1853" s="8" t="s">
        <v>1428</v>
      </c>
      <c r="C1853" s="8">
        <v>466</v>
      </c>
      <c r="D1853" s="8" t="s">
        <v>1429</v>
      </c>
      <c r="E1853" s="9">
        <v>7616080</v>
      </c>
    </row>
    <row r="1854" spans="1:5" x14ac:dyDescent="0.5">
      <c r="A1854" s="7">
        <v>7216090</v>
      </c>
      <c r="B1854" s="8" t="s">
        <v>1402</v>
      </c>
      <c r="C1854" s="8">
        <v>467</v>
      </c>
      <c r="D1854" s="8" t="s">
        <v>1403</v>
      </c>
      <c r="E1854" s="9">
        <v>7516090</v>
      </c>
    </row>
    <row r="1855" spans="1:5" x14ac:dyDescent="0.5">
      <c r="A1855" s="7">
        <v>7216101</v>
      </c>
      <c r="B1855" s="8" t="s">
        <v>1404</v>
      </c>
      <c r="C1855" s="8">
        <v>468</v>
      </c>
      <c r="D1855" s="8" t="s">
        <v>1405</v>
      </c>
      <c r="E1855" s="9">
        <v>7616101</v>
      </c>
    </row>
    <row r="1856" spans="1:5" x14ac:dyDescent="0.5">
      <c r="A1856" s="7">
        <v>7216110</v>
      </c>
      <c r="B1856" s="8" t="s">
        <v>1406</v>
      </c>
      <c r="C1856" s="8">
        <v>470</v>
      </c>
      <c r="D1856" s="8" t="s">
        <v>1407</v>
      </c>
      <c r="E1856" s="9">
        <v>6916110</v>
      </c>
    </row>
    <row r="1857" spans="1:5" x14ac:dyDescent="0.5">
      <c r="A1857" s="7">
        <v>7216141</v>
      </c>
      <c r="B1857" s="8" t="s">
        <v>1375</v>
      </c>
      <c r="C1857" s="8">
        <v>473</v>
      </c>
      <c r="D1857" s="8" t="s">
        <v>1376</v>
      </c>
      <c r="E1857" s="9">
        <v>6916141</v>
      </c>
    </row>
    <row r="1858" spans="1:5" x14ac:dyDescent="0.5">
      <c r="A1858" s="7">
        <v>7216150</v>
      </c>
      <c r="B1858" s="8" t="s">
        <v>1377</v>
      </c>
      <c r="C1858" s="8">
        <v>475</v>
      </c>
      <c r="D1858" s="8" t="s">
        <v>1378</v>
      </c>
      <c r="E1858" s="9">
        <v>7616150</v>
      </c>
    </row>
    <row r="1859" spans="1:5" x14ac:dyDescent="0.5">
      <c r="A1859" s="7">
        <v>7216160</v>
      </c>
      <c r="B1859" s="8" t="s">
        <v>1431</v>
      </c>
      <c r="C1859" s="8">
        <v>476</v>
      </c>
      <c r="D1859" s="8" t="s">
        <v>1432</v>
      </c>
      <c r="E1859" s="9">
        <v>7216160</v>
      </c>
    </row>
    <row r="1860" spans="1:5" x14ac:dyDescent="0.5">
      <c r="A1860" s="7">
        <v>7216170</v>
      </c>
      <c r="B1860" s="8" t="s">
        <v>1379</v>
      </c>
      <c r="C1860" s="8">
        <v>477</v>
      </c>
      <c r="D1860" s="8" t="s">
        <v>1380</v>
      </c>
      <c r="E1860" s="9">
        <v>7616170</v>
      </c>
    </row>
    <row r="1861" spans="1:5" x14ac:dyDescent="0.5">
      <c r="A1861" s="7">
        <v>7216211</v>
      </c>
      <c r="B1861" s="8" t="s">
        <v>1381</v>
      </c>
      <c r="C1861" s="8">
        <v>479</v>
      </c>
      <c r="D1861" s="8" t="s">
        <v>1382</v>
      </c>
      <c r="E1861" s="9">
        <v>7616211</v>
      </c>
    </row>
    <row r="1862" spans="1:5" x14ac:dyDescent="0.5">
      <c r="A1862" s="7">
        <v>7216220</v>
      </c>
      <c r="B1862" s="8" t="s">
        <v>1383</v>
      </c>
      <c r="C1862" s="8">
        <v>481</v>
      </c>
      <c r="D1862" s="8" t="s">
        <v>1384</v>
      </c>
      <c r="E1862" s="9">
        <v>7616220</v>
      </c>
    </row>
    <row r="1863" spans="1:5" x14ac:dyDescent="0.5">
      <c r="A1863" s="7">
        <v>7216240</v>
      </c>
      <c r="B1863" s="8" t="s">
        <v>1410</v>
      </c>
      <c r="C1863" s="8">
        <v>482</v>
      </c>
      <c r="D1863" s="8" t="s">
        <v>1411</v>
      </c>
      <c r="E1863" s="9">
        <v>6916240</v>
      </c>
    </row>
    <row r="1864" spans="1:5" x14ac:dyDescent="0.5">
      <c r="A1864" s="7">
        <v>7216280</v>
      </c>
      <c r="B1864" s="8" t="s">
        <v>1412</v>
      </c>
      <c r="C1864" s="8">
        <v>483</v>
      </c>
      <c r="D1864" s="8" t="s">
        <v>1413</v>
      </c>
      <c r="E1864" s="9">
        <v>6916280</v>
      </c>
    </row>
    <row r="1865" spans="1:5" x14ac:dyDescent="0.5">
      <c r="A1865" s="7">
        <v>7216290</v>
      </c>
      <c r="B1865" s="8" t="s">
        <v>1414</v>
      </c>
      <c r="C1865" s="8">
        <v>484</v>
      </c>
      <c r="D1865" s="8" t="s">
        <v>1415</v>
      </c>
      <c r="E1865" s="9">
        <v>7616290</v>
      </c>
    </row>
    <row r="1866" spans="1:5" x14ac:dyDescent="0.5">
      <c r="A1866" s="7">
        <v>7216300</v>
      </c>
      <c r="B1866" s="8" t="s">
        <v>1385</v>
      </c>
      <c r="C1866" s="8">
        <v>485</v>
      </c>
      <c r="D1866" s="8" t="s">
        <v>1386</v>
      </c>
      <c r="E1866" s="9">
        <v>6916300</v>
      </c>
    </row>
    <row r="1867" spans="1:5" x14ac:dyDescent="0.5">
      <c r="A1867" s="7">
        <v>7216310</v>
      </c>
      <c r="B1867" s="8" t="s">
        <v>1416</v>
      </c>
      <c r="C1867" s="8">
        <v>486</v>
      </c>
      <c r="D1867" s="8" t="s">
        <v>1417</v>
      </c>
      <c r="E1867" s="9">
        <v>6916310</v>
      </c>
    </row>
    <row r="1868" spans="1:5" x14ac:dyDescent="0.5">
      <c r="A1868" s="7">
        <v>7216380</v>
      </c>
      <c r="B1868" s="8" t="s">
        <v>1316</v>
      </c>
      <c r="C1868" s="8">
        <v>491</v>
      </c>
      <c r="D1868" s="8" t="s">
        <v>1317</v>
      </c>
      <c r="E1868" s="8">
        <v>7616380</v>
      </c>
    </row>
    <row r="1869" spans="1:5" x14ac:dyDescent="0.5">
      <c r="A1869" s="7">
        <v>7216390</v>
      </c>
      <c r="B1869" s="8" t="s">
        <v>1436</v>
      </c>
      <c r="C1869" s="8">
        <v>492</v>
      </c>
      <c r="D1869" s="8" t="s">
        <v>1319</v>
      </c>
      <c r="E1869" s="9">
        <v>7616390</v>
      </c>
    </row>
    <row r="1870" spans="1:5" x14ac:dyDescent="0.5">
      <c r="A1870" s="7">
        <v>7216510</v>
      </c>
      <c r="B1870" s="8" t="s">
        <v>1437</v>
      </c>
      <c r="C1870" s="8">
        <v>502</v>
      </c>
      <c r="D1870" s="8" t="s">
        <v>1438</v>
      </c>
      <c r="E1870" s="9">
        <v>7616510</v>
      </c>
    </row>
    <row r="1871" spans="1:5" x14ac:dyDescent="0.5">
      <c r="A1871" s="7">
        <v>7216822</v>
      </c>
      <c r="B1871" s="8" t="s">
        <v>1387</v>
      </c>
      <c r="C1871" s="8">
        <v>525</v>
      </c>
      <c r="D1871" s="8" t="s">
        <v>1388</v>
      </c>
      <c r="E1871" s="8">
        <v>6816822</v>
      </c>
    </row>
    <row r="1872" spans="1:5" x14ac:dyDescent="0.5">
      <c r="A1872" s="7">
        <v>7216830</v>
      </c>
      <c r="B1872" s="8" t="s">
        <v>1322</v>
      </c>
      <c r="C1872" s="8">
        <v>526</v>
      </c>
      <c r="D1872" s="8" t="s">
        <v>1323</v>
      </c>
      <c r="E1872" s="8">
        <v>7616830</v>
      </c>
    </row>
    <row r="1873" spans="1:5" x14ac:dyDescent="0.5">
      <c r="A1873" s="7">
        <v>7216850</v>
      </c>
      <c r="B1873" s="8" t="s">
        <v>1326</v>
      </c>
      <c r="C1873" s="8">
        <v>528</v>
      </c>
      <c r="D1873" s="8" t="s">
        <v>1327</v>
      </c>
      <c r="E1873" s="8">
        <v>7616850</v>
      </c>
    </row>
    <row r="1874" spans="1:5" x14ac:dyDescent="0.5">
      <c r="A1874" s="7">
        <v>7216870</v>
      </c>
      <c r="B1874" s="8" t="s">
        <v>1330</v>
      </c>
      <c r="C1874" s="8">
        <v>530</v>
      </c>
      <c r="D1874" s="8" t="s">
        <v>1331</v>
      </c>
      <c r="E1874" s="8">
        <v>7616870</v>
      </c>
    </row>
    <row r="1875" spans="1:5" x14ac:dyDescent="0.5">
      <c r="A1875" s="7">
        <v>7216880</v>
      </c>
      <c r="B1875" s="8" t="s">
        <v>1332</v>
      </c>
      <c r="C1875" s="8">
        <v>531</v>
      </c>
      <c r="D1875" s="8" t="s">
        <v>1333</v>
      </c>
      <c r="E1875" s="8">
        <v>6716880</v>
      </c>
    </row>
    <row r="1876" spans="1:5" x14ac:dyDescent="0.5">
      <c r="A1876" s="7">
        <v>7216901</v>
      </c>
      <c r="B1876" s="8" t="s">
        <v>1390</v>
      </c>
      <c r="C1876" s="8">
        <v>533</v>
      </c>
      <c r="D1876" s="8" t="s">
        <v>1391</v>
      </c>
      <c r="E1876" s="8">
        <v>7616901</v>
      </c>
    </row>
    <row r="1877" spans="1:5" x14ac:dyDescent="0.5">
      <c r="A1877" s="7">
        <v>7216941</v>
      </c>
      <c r="B1877" s="8" t="s">
        <v>1392</v>
      </c>
      <c r="C1877" s="8">
        <v>535</v>
      </c>
      <c r="D1877" s="8" t="s">
        <v>1393</v>
      </c>
      <c r="E1877" s="9">
        <v>6816941</v>
      </c>
    </row>
    <row r="1878" spans="1:5" x14ac:dyDescent="0.5">
      <c r="A1878" s="7">
        <v>7216970</v>
      </c>
      <c r="B1878" s="8" t="s">
        <v>1339</v>
      </c>
      <c r="C1878" s="8">
        <v>537</v>
      </c>
      <c r="D1878" s="8" t="s">
        <v>1340</v>
      </c>
      <c r="E1878" s="8">
        <v>6716970</v>
      </c>
    </row>
    <row r="1879" spans="1:5" x14ac:dyDescent="0.5">
      <c r="A1879" s="7">
        <v>7216980</v>
      </c>
      <c r="B1879" s="8" t="s">
        <v>1341</v>
      </c>
      <c r="C1879" s="8">
        <v>538</v>
      </c>
      <c r="D1879" s="8" t="s">
        <v>1342</v>
      </c>
      <c r="E1879" s="9">
        <v>7616980</v>
      </c>
    </row>
    <row r="1880" spans="1:5" x14ac:dyDescent="0.5">
      <c r="A1880" s="7">
        <v>7216990</v>
      </c>
      <c r="B1880" s="8" t="s">
        <v>1343</v>
      </c>
      <c r="C1880" s="8">
        <v>539</v>
      </c>
      <c r="D1880" s="8" t="s">
        <v>1344</v>
      </c>
      <c r="E1880" s="8">
        <v>7616990</v>
      </c>
    </row>
    <row r="1881" spans="1:5" x14ac:dyDescent="0.5">
      <c r="A1881" s="7">
        <v>7217010</v>
      </c>
      <c r="B1881" s="8" t="s">
        <v>1345</v>
      </c>
      <c r="C1881" s="8">
        <v>540</v>
      </c>
      <c r="D1881" s="8" t="s">
        <v>1346</v>
      </c>
      <c r="E1881" s="8">
        <v>7617010</v>
      </c>
    </row>
    <row r="1882" spans="1:5" x14ac:dyDescent="0.5">
      <c r="A1882" s="7">
        <v>7217020</v>
      </c>
      <c r="B1882" s="8" t="s">
        <v>1347</v>
      </c>
      <c r="C1882" s="8">
        <v>541</v>
      </c>
      <c r="D1882" s="8" t="s">
        <v>1348</v>
      </c>
      <c r="E1882" s="9">
        <v>7617020</v>
      </c>
    </row>
    <row r="1883" spans="1:5" x14ac:dyDescent="0.5">
      <c r="A1883" s="7">
        <v>7217030</v>
      </c>
      <c r="B1883" s="8" t="s">
        <v>1349</v>
      </c>
      <c r="C1883" s="8">
        <v>542</v>
      </c>
      <c r="D1883" s="8" t="s">
        <v>1350</v>
      </c>
      <c r="E1883" s="8">
        <v>6717030</v>
      </c>
    </row>
    <row r="1884" spans="1:5" x14ac:dyDescent="0.5">
      <c r="A1884" s="7">
        <v>7217040</v>
      </c>
      <c r="B1884" s="8" t="s">
        <v>1394</v>
      </c>
      <c r="C1884" s="8">
        <v>543</v>
      </c>
      <c r="D1884" s="8" t="s">
        <v>1395</v>
      </c>
      <c r="E1884" s="8">
        <v>6817040</v>
      </c>
    </row>
    <row r="1885" spans="1:5" x14ac:dyDescent="0.5">
      <c r="A1885" s="7">
        <v>7217050</v>
      </c>
      <c r="B1885" s="8" t="s">
        <v>1351</v>
      </c>
      <c r="C1885" s="8">
        <v>544</v>
      </c>
      <c r="D1885" s="8" t="s">
        <v>1352</v>
      </c>
      <c r="E1885" s="8">
        <v>7617050</v>
      </c>
    </row>
    <row r="1886" spans="1:5" x14ac:dyDescent="0.5">
      <c r="A1886" s="7">
        <v>7217060</v>
      </c>
      <c r="B1886" s="8" t="s">
        <v>1353</v>
      </c>
      <c r="C1886" s="8">
        <v>545</v>
      </c>
      <c r="D1886" s="8" t="s">
        <v>1354</v>
      </c>
      <c r="E1886" s="8">
        <v>6717060</v>
      </c>
    </row>
    <row r="1887" spans="1:5" x14ac:dyDescent="0.5">
      <c r="A1887" s="7">
        <v>7217080</v>
      </c>
      <c r="B1887" s="8" t="s">
        <v>1355</v>
      </c>
      <c r="C1887" s="8">
        <v>546</v>
      </c>
      <c r="D1887" s="8" t="s">
        <v>1356</v>
      </c>
      <c r="E1887" s="8">
        <v>6717080</v>
      </c>
    </row>
    <row r="1888" spans="1:5" x14ac:dyDescent="0.5">
      <c r="A1888" s="7">
        <v>7217090</v>
      </c>
      <c r="B1888" s="8" t="s">
        <v>1357</v>
      </c>
      <c r="C1888" s="8">
        <v>547</v>
      </c>
      <c r="D1888" s="8" t="s">
        <v>1358</v>
      </c>
      <c r="E1888" s="8">
        <v>7617090</v>
      </c>
    </row>
    <row r="1889" spans="1:5" x14ac:dyDescent="0.5">
      <c r="A1889" s="7">
        <v>7217110</v>
      </c>
      <c r="B1889" s="8" t="s">
        <v>1359</v>
      </c>
      <c r="C1889" s="8">
        <v>548</v>
      </c>
      <c r="D1889" s="8" t="s">
        <v>1360</v>
      </c>
      <c r="E1889" s="8">
        <v>7617110</v>
      </c>
    </row>
    <row r="1890" spans="1:5" x14ac:dyDescent="0.5">
      <c r="A1890" s="7">
        <v>7217120</v>
      </c>
      <c r="B1890" s="8" t="s">
        <v>1361</v>
      </c>
      <c r="C1890" s="8">
        <v>549</v>
      </c>
      <c r="D1890" s="8" t="s">
        <v>1362</v>
      </c>
      <c r="E1890" s="8">
        <v>7617120</v>
      </c>
    </row>
    <row r="1891" spans="1:5" x14ac:dyDescent="0.5">
      <c r="A1891" s="7">
        <v>7217140</v>
      </c>
      <c r="B1891" s="8" t="s">
        <v>1398</v>
      </c>
      <c r="C1891" s="8">
        <v>551</v>
      </c>
      <c r="D1891" s="8" t="s">
        <v>1399</v>
      </c>
      <c r="E1891" s="8">
        <v>6817140</v>
      </c>
    </row>
    <row r="1892" spans="1:5" x14ac:dyDescent="0.5">
      <c r="A1892" s="7">
        <v>7217150</v>
      </c>
      <c r="B1892" s="8" t="s">
        <v>1363</v>
      </c>
      <c r="C1892" s="8">
        <v>552</v>
      </c>
      <c r="D1892" s="8" t="s">
        <v>1364</v>
      </c>
      <c r="E1892" s="8">
        <v>7617150</v>
      </c>
    </row>
    <row r="1893" spans="1:5" x14ac:dyDescent="0.5">
      <c r="A1893" s="7">
        <v>7217170</v>
      </c>
      <c r="B1893" s="8" t="s">
        <v>1439</v>
      </c>
      <c r="C1893" s="8">
        <v>100</v>
      </c>
      <c r="D1893" s="8" t="s">
        <v>578</v>
      </c>
      <c r="E1893" s="8" t="s">
        <v>579</v>
      </c>
    </row>
    <row r="1894" spans="1:5" x14ac:dyDescent="0.5">
      <c r="A1894" s="7">
        <v>7217320</v>
      </c>
      <c r="B1894" s="8" t="s">
        <v>1440</v>
      </c>
      <c r="C1894" s="8">
        <v>100</v>
      </c>
      <c r="D1894" s="8" t="s">
        <v>578</v>
      </c>
      <c r="E1894" s="8" t="s">
        <v>579</v>
      </c>
    </row>
    <row r="1895" spans="1:5" x14ac:dyDescent="0.5">
      <c r="A1895" s="7">
        <v>7316011</v>
      </c>
      <c r="B1895" s="8" t="s">
        <v>1365</v>
      </c>
      <c r="C1895" s="8">
        <v>457</v>
      </c>
      <c r="D1895" s="8" t="s">
        <v>1366</v>
      </c>
      <c r="E1895" s="8">
        <v>7616011</v>
      </c>
    </row>
    <row r="1896" spans="1:5" x14ac:dyDescent="0.5">
      <c r="A1896" s="7">
        <v>7316012</v>
      </c>
      <c r="B1896" s="8" t="s">
        <v>1441</v>
      </c>
      <c r="C1896" s="8">
        <v>458</v>
      </c>
      <c r="D1896" s="8" t="s">
        <v>1442</v>
      </c>
      <c r="E1896" s="8">
        <v>7616012</v>
      </c>
    </row>
    <row r="1897" spans="1:5" x14ac:dyDescent="0.5">
      <c r="A1897" s="7">
        <v>7316030</v>
      </c>
      <c r="B1897" s="8" t="s">
        <v>1367</v>
      </c>
      <c r="C1897" s="8">
        <v>459</v>
      </c>
      <c r="D1897" s="8" t="s">
        <v>1368</v>
      </c>
      <c r="E1897" s="8">
        <v>7616030</v>
      </c>
    </row>
    <row r="1898" spans="1:5" x14ac:dyDescent="0.5">
      <c r="A1898" s="7">
        <v>7316041</v>
      </c>
      <c r="B1898" s="8" t="s">
        <v>1369</v>
      </c>
      <c r="C1898" s="8">
        <v>460</v>
      </c>
      <c r="D1898" s="8" t="s">
        <v>1370</v>
      </c>
      <c r="E1898" s="8">
        <v>7616041</v>
      </c>
    </row>
    <row r="1899" spans="1:5" x14ac:dyDescent="0.5">
      <c r="A1899" s="7">
        <v>7316042</v>
      </c>
      <c r="B1899" s="8" t="s">
        <v>1443</v>
      </c>
      <c r="C1899" s="8">
        <v>461</v>
      </c>
      <c r="D1899" s="8" t="s">
        <v>1444</v>
      </c>
      <c r="E1899" s="9">
        <v>7616042</v>
      </c>
    </row>
    <row r="1900" spans="1:5" x14ac:dyDescent="0.5">
      <c r="A1900" s="7">
        <v>7316050</v>
      </c>
      <c r="B1900" s="8" t="s">
        <v>1371</v>
      </c>
      <c r="C1900" s="8">
        <v>462</v>
      </c>
      <c r="D1900" s="8" t="s">
        <v>1372</v>
      </c>
      <c r="E1900" s="9">
        <v>7616050</v>
      </c>
    </row>
    <row r="1901" spans="1:5" x14ac:dyDescent="0.5">
      <c r="A1901" s="7">
        <v>7316061</v>
      </c>
      <c r="B1901" s="8" t="s">
        <v>1426</v>
      </c>
      <c r="C1901" s="8">
        <v>463</v>
      </c>
      <c r="D1901" s="8" t="s">
        <v>1427</v>
      </c>
      <c r="E1901" s="9">
        <v>7416061</v>
      </c>
    </row>
    <row r="1902" spans="1:5" x14ac:dyDescent="0.5">
      <c r="A1902" s="7">
        <v>7316062</v>
      </c>
      <c r="B1902" s="8" t="s">
        <v>1400</v>
      </c>
      <c r="C1902" s="8">
        <v>464</v>
      </c>
      <c r="D1902" s="8" t="s">
        <v>1401</v>
      </c>
      <c r="E1902" s="9">
        <v>6916062</v>
      </c>
    </row>
    <row r="1903" spans="1:5" x14ac:dyDescent="0.5">
      <c r="A1903" s="7">
        <v>7316070</v>
      </c>
      <c r="B1903" s="8" t="s">
        <v>1373</v>
      </c>
      <c r="C1903" s="8">
        <v>465</v>
      </c>
      <c r="D1903" s="8" t="s">
        <v>1374</v>
      </c>
      <c r="E1903" s="9">
        <v>7616070</v>
      </c>
    </row>
    <row r="1904" spans="1:5" x14ac:dyDescent="0.5">
      <c r="A1904" s="7">
        <v>7316080</v>
      </c>
      <c r="B1904" s="8" t="s">
        <v>1428</v>
      </c>
      <c r="C1904" s="8">
        <v>466</v>
      </c>
      <c r="D1904" s="8" t="s">
        <v>1429</v>
      </c>
      <c r="E1904" s="9">
        <v>7616080</v>
      </c>
    </row>
    <row r="1905" spans="1:5" x14ac:dyDescent="0.5">
      <c r="A1905" s="7">
        <v>7316090</v>
      </c>
      <c r="B1905" s="8" t="s">
        <v>1430</v>
      </c>
      <c r="C1905" s="8">
        <v>467</v>
      </c>
      <c r="D1905" s="8" t="s">
        <v>1403</v>
      </c>
      <c r="E1905" s="9">
        <v>7516090</v>
      </c>
    </row>
    <row r="1906" spans="1:5" x14ac:dyDescent="0.5">
      <c r="A1906" s="7">
        <v>7316101</v>
      </c>
      <c r="B1906" s="8" t="s">
        <v>1404</v>
      </c>
      <c r="C1906" s="8">
        <v>468</v>
      </c>
      <c r="D1906" s="8" t="s">
        <v>1405</v>
      </c>
      <c r="E1906" s="9">
        <v>7616101</v>
      </c>
    </row>
    <row r="1907" spans="1:5" x14ac:dyDescent="0.5">
      <c r="A1907" s="7">
        <v>7316102</v>
      </c>
      <c r="B1907" s="8" t="s">
        <v>1445</v>
      </c>
      <c r="C1907" s="8">
        <v>469</v>
      </c>
      <c r="D1907" s="8" t="s">
        <v>1446</v>
      </c>
      <c r="E1907" s="9">
        <v>7716102</v>
      </c>
    </row>
    <row r="1908" spans="1:5" x14ac:dyDescent="0.5">
      <c r="A1908" s="7">
        <v>7316110</v>
      </c>
      <c r="B1908" s="8" t="s">
        <v>1406</v>
      </c>
      <c r="C1908" s="8">
        <v>470</v>
      </c>
      <c r="D1908" s="8" t="s">
        <v>1407</v>
      </c>
      <c r="E1908" s="9">
        <v>6916110</v>
      </c>
    </row>
    <row r="1909" spans="1:5" x14ac:dyDescent="0.5">
      <c r="A1909" s="7">
        <v>7316120</v>
      </c>
      <c r="B1909" s="8" t="s">
        <v>1408</v>
      </c>
      <c r="C1909" s="8">
        <v>471</v>
      </c>
      <c r="D1909" s="8" t="s">
        <v>1409</v>
      </c>
      <c r="E1909" s="9">
        <v>6916120</v>
      </c>
    </row>
    <row r="1910" spans="1:5" x14ac:dyDescent="0.5">
      <c r="A1910" s="7">
        <v>7316141</v>
      </c>
      <c r="B1910" s="8" t="s">
        <v>1375</v>
      </c>
      <c r="C1910" s="8">
        <v>473</v>
      </c>
      <c r="D1910" s="8" t="s">
        <v>1376</v>
      </c>
      <c r="E1910" s="9">
        <v>6916141</v>
      </c>
    </row>
    <row r="1911" spans="1:5" x14ac:dyDescent="0.5">
      <c r="A1911" s="7">
        <v>7316142</v>
      </c>
      <c r="B1911" s="8" t="s">
        <v>1447</v>
      </c>
      <c r="C1911" s="8">
        <v>474</v>
      </c>
      <c r="D1911" s="8" t="s">
        <v>1448</v>
      </c>
      <c r="E1911" s="9">
        <v>7516142</v>
      </c>
    </row>
    <row r="1912" spans="1:5" x14ac:dyDescent="0.5">
      <c r="A1912" s="7">
        <v>7316150</v>
      </c>
      <c r="B1912" s="8" t="s">
        <v>1377</v>
      </c>
      <c r="C1912" s="8">
        <v>475</v>
      </c>
      <c r="D1912" s="8" t="s">
        <v>1378</v>
      </c>
      <c r="E1912" s="9">
        <v>7616150</v>
      </c>
    </row>
    <row r="1913" spans="1:5" x14ac:dyDescent="0.5">
      <c r="A1913" s="7">
        <v>7316160</v>
      </c>
      <c r="B1913" s="8" t="s">
        <v>1431</v>
      </c>
      <c r="C1913" s="8">
        <v>476</v>
      </c>
      <c r="D1913" s="8" t="s">
        <v>1432</v>
      </c>
      <c r="E1913" s="9">
        <v>7216160</v>
      </c>
    </row>
    <row r="1914" spans="1:5" x14ac:dyDescent="0.5">
      <c r="A1914" s="7">
        <v>7316170</v>
      </c>
      <c r="B1914" s="8" t="s">
        <v>1379</v>
      </c>
      <c r="C1914" s="8">
        <v>477</v>
      </c>
      <c r="D1914" s="8" t="s">
        <v>1380</v>
      </c>
      <c r="E1914" s="9">
        <v>7616170</v>
      </c>
    </row>
    <row r="1915" spans="1:5" x14ac:dyDescent="0.5">
      <c r="A1915" s="7">
        <v>7316181</v>
      </c>
      <c r="B1915" s="8" t="s">
        <v>1449</v>
      </c>
      <c r="C1915" s="8">
        <v>478</v>
      </c>
      <c r="D1915" s="8" t="s">
        <v>1450</v>
      </c>
      <c r="E1915" s="9">
        <v>7616181</v>
      </c>
    </row>
    <row r="1916" spans="1:5" x14ac:dyDescent="0.5">
      <c r="A1916" s="7">
        <v>7316211</v>
      </c>
      <c r="B1916" s="8" t="s">
        <v>1381</v>
      </c>
      <c r="C1916" s="8">
        <v>479</v>
      </c>
      <c r="D1916" s="8" t="s">
        <v>1382</v>
      </c>
      <c r="E1916" s="9">
        <v>7616211</v>
      </c>
    </row>
    <row r="1917" spans="1:5" x14ac:dyDescent="0.5">
      <c r="A1917" s="7">
        <v>7316212</v>
      </c>
      <c r="B1917" s="8" t="s">
        <v>1451</v>
      </c>
      <c r="C1917" s="8">
        <v>480</v>
      </c>
      <c r="D1917" s="8" t="s">
        <v>1452</v>
      </c>
      <c r="E1917" s="9">
        <v>7616212</v>
      </c>
    </row>
    <row r="1918" spans="1:5" x14ac:dyDescent="0.5">
      <c r="A1918" s="7">
        <v>7316220</v>
      </c>
      <c r="B1918" s="8" t="s">
        <v>1383</v>
      </c>
      <c r="C1918" s="8">
        <v>481</v>
      </c>
      <c r="D1918" s="8" t="s">
        <v>1384</v>
      </c>
      <c r="E1918" s="9">
        <v>7616220</v>
      </c>
    </row>
    <row r="1919" spans="1:5" x14ac:dyDescent="0.5">
      <c r="A1919" s="7">
        <v>7316240</v>
      </c>
      <c r="B1919" s="8" t="s">
        <v>1410</v>
      </c>
      <c r="C1919" s="8">
        <v>482</v>
      </c>
      <c r="D1919" s="8" t="s">
        <v>1411</v>
      </c>
      <c r="E1919" s="9">
        <v>6916240</v>
      </c>
    </row>
    <row r="1920" spans="1:5" x14ac:dyDescent="0.5">
      <c r="A1920" s="7">
        <v>7316280</v>
      </c>
      <c r="B1920" s="8" t="s">
        <v>1412</v>
      </c>
      <c r="C1920" s="8">
        <v>483</v>
      </c>
      <c r="D1920" s="8" t="s">
        <v>1413</v>
      </c>
      <c r="E1920" s="9">
        <v>6916280</v>
      </c>
    </row>
    <row r="1921" spans="1:5" x14ac:dyDescent="0.5">
      <c r="A1921" s="7">
        <v>7316290</v>
      </c>
      <c r="B1921" s="8" t="s">
        <v>1414</v>
      </c>
      <c r="C1921" s="8">
        <v>484</v>
      </c>
      <c r="D1921" s="8" t="s">
        <v>1415</v>
      </c>
      <c r="E1921" s="9">
        <v>7616290</v>
      </c>
    </row>
    <row r="1922" spans="1:5" x14ac:dyDescent="0.5">
      <c r="A1922" s="7">
        <v>7316300</v>
      </c>
      <c r="B1922" s="8" t="s">
        <v>1385</v>
      </c>
      <c r="C1922" s="8">
        <v>485</v>
      </c>
      <c r="D1922" s="8" t="s">
        <v>1386</v>
      </c>
      <c r="E1922" s="9">
        <v>6916300</v>
      </c>
    </row>
    <row r="1923" spans="1:5" x14ac:dyDescent="0.5">
      <c r="A1923" s="7">
        <v>7316310</v>
      </c>
      <c r="B1923" s="8" t="s">
        <v>1416</v>
      </c>
      <c r="C1923" s="8">
        <v>486</v>
      </c>
      <c r="D1923" s="8" t="s">
        <v>1417</v>
      </c>
      <c r="E1923" s="9">
        <v>6916310</v>
      </c>
    </row>
    <row r="1924" spans="1:5" x14ac:dyDescent="0.5">
      <c r="A1924" s="7">
        <v>7316320</v>
      </c>
      <c r="B1924" s="8" t="s">
        <v>1433</v>
      </c>
      <c r="C1924" s="8">
        <v>100</v>
      </c>
      <c r="D1924" s="8" t="s">
        <v>578</v>
      </c>
      <c r="E1924" s="8" t="s">
        <v>579</v>
      </c>
    </row>
    <row r="1925" spans="1:5" x14ac:dyDescent="0.5">
      <c r="A1925" s="7">
        <v>7316330</v>
      </c>
      <c r="B1925" s="8" t="s">
        <v>1418</v>
      </c>
      <c r="C1925" s="8">
        <v>487</v>
      </c>
      <c r="D1925" s="8" t="s">
        <v>1419</v>
      </c>
      <c r="E1925" s="9">
        <v>6916330</v>
      </c>
    </row>
    <row r="1926" spans="1:5" x14ac:dyDescent="0.5">
      <c r="A1926" s="7">
        <v>7316351</v>
      </c>
      <c r="B1926" s="8" t="s">
        <v>1420</v>
      </c>
      <c r="C1926" s="8">
        <v>488</v>
      </c>
      <c r="D1926" s="8" t="s">
        <v>1421</v>
      </c>
      <c r="E1926" s="9">
        <v>6916351</v>
      </c>
    </row>
    <row r="1927" spans="1:5" x14ac:dyDescent="0.5">
      <c r="A1927" s="7">
        <v>7316371</v>
      </c>
      <c r="B1927" s="8" t="s">
        <v>1422</v>
      </c>
      <c r="C1927" s="8">
        <v>489</v>
      </c>
      <c r="D1927" s="8" t="s">
        <v>1423</v>
      </c>
      <c r="E1927" s="9">
        <v>7616371</v>
      </c>
    </row>
    <row r="1928" spans="1:5" x14ac:dyDescent="0.5">
      <c r="A1928" s="7">
        <v>7316372</v>
      </c>
      <c r="B1928" s="8" t="s">
        <v>1424</v>
      </c>
      <c r="C1928" s="8">
        <v>490</v>
      </c>
      <c r="D1928" s="8" t="s">
        <v>1425</v>
      </c>
      <c r="E1928" s="9">
        <v>6916372</v>
      </c>
    </row>
    <row r="1929" spans="1:5" x14ac:dyDescent="0.5">
      <c r="A1929" s="7">
        <v>7316420</v>
      </c>
      <c r="B1929" s="8" t="s">
        <v>1453</v>
      </c>
      <c r="C1929" s="8">
        <v>494</v>
      </c>
      <c r="D1929" s="8" t="s">
        <v>1454</v>
      </c>
      <c r="E1929" s="9">
        <v>7616420</v>
      </c>
    </row>
    <row r="1930" spans="1:5" x14ac:dyDescent="0.5">
      <c r="A1930" s="7">
        <v>7316430</v>
      </c>
      <c r="B1930" s="8" t="s">
        <v>1455</v>
      </c>
      <c r="C1930" s="8">
        <v>495</v>
      </c>
      <c r="D1930" s="8" t="s">
        <v>1456</v>
      </c>
      <c r="E1930" s="9">
        <v>7816430</v>
      </c>
    </row>
    <row r="1931" spans="1:5" x14ac:dyDescent="0.5">
      <c r="A1931" s="7">
        <v>7316440</v>
      </c>
      <c r="B1931" s="8" t="s">
        <v>1457</v>
      </c>
      <c r="C1931" s="8">
        <v>496</v>
      </c>
      <c r="D1931" s="8" t="s">
        <v>1458</v>
      </c>
      <c r="E1931" s="9">
        <v>7616440</v>
      </c>
    </row>
    <row r="1932" spans="1:5" x14ac:dyDescent="0.5">
      <c r="A1932" s="7">
        <v>7316450</v>
      </c>
      <c r="B1932" s="8" t="s">
        <v>1459</v>
      </c>
      <c r="C1932" s="8">
        <v>497</v>
      </c>
      <c r="D1932" s="8" t="s">
        <v>1460</v>
      </c>
      <c r="E1932" s="9">
        <v>7516450</v>
      </c>
    </row>
    <row r="1933" spans="1:5" x14ac:dyDescent="0.5">
      <c r="A1933" s="7">
        <v>7316481</v>
      </c>
      <c r="B1933" s="8" t="s">
        <v>1461</v>
      </c>
      <c r="C1933" s="8">
        <v>499</v>
      </c>
      <c r="D1933" s="8" t="s">
        <v>1462</v>
      </c>
      <c r="E1933" s="8">
        <v>7316481</v>
      </c>
    </row>
    <row r="1934" spans="1:5" x14ac:dyDescent="0.5">
      <c r="A1934" s="7">
        <v>7316790</v>
      </c>
      <c r="B1934" s="8" t="s">
        <v>1463</v>
      </c>
      <c r="C1934" s="8">
        <v>521</v>
      </c>
      <c r="D1934" s="8" t="s">
        <v>1464</v>
      </c>
      <c r="E1934" s="9">
        <v>7616790</v>
      </c>
    </row>
    <row r="1935" spans="1:5" x14ac:dyDescent="0.5">
      <c r="A1935" s="7">
        <v>7416011</v>
      </c>
      <c r="B1935" s="8" t="s">
        <v>1365</v>
      </c>
      <c r="C1935" s="8">
        <v>457</v>
      </c>
      <c r="D1935" s="8" t="s">
        <v>1366</v>
      </c>
      <c r="E1935" s="8">
        <v>7616011</v>
      </c>
    </row>
    <row r="1936" spans="1:5" x14ac:dyDescent="0.5">
      <c r="A1936" s="7">
        <v>7416012</v>
      </c>
      <c r="B1936" s="8" t="s">
        <v>1441</v>
      </c>
      <c r="C1936" s="8">
        <v>458</v>
      </c>
      <c r="D1936" s="8" t="s">
        <v>1442</v>
      </c>
      <c r="E1936" s="8">
        <v>7616012</v>
      </c>
    </row>
    <row r="1937" spans="1:5" x14ac:dyDescent="0.5">
      <c r="A1937" s="7">
        <v>7416030</v>
      </c>
      <c r="B1937" s="8" t="s">
        <v>1367</v>
      </c>
      <c r="C1937" s="8">
        <v>459</v>
      </c>
      <c r="D1937" s="8" t="s">
        <v>1368</v>
      </c>
      <c r="E1937" s="8">
        <v>7616030</v>
      </c>
    </row>
    <row r="1938" spans="1:5" x14ac:dyDescent="0.5">
      <c r="A1938" s="7">
        <v>7416041</v>
      </c>
      <c r="B1938" s="8" t="s">
        <v>1369</v>
      </c>
      <c r="C1938" s="8">
        <v>460</v>
      </c>
      <c r="D1938" s="8" t="s">
        <v>1370</v>
      </c>
      <c r="E1938" s="8">
        <v>7616041</v>
      </c>
    </row>
    <row r="1939" spans="1:5" x14ac:dyDescent="0.5">
      <c r="A1939" s="7">
        <v>7416042</v>
      </c>
      <c r="B1939" s="8" t="s">
        <v>1443</v>
      </c>
      <c r="C1939" s="8">
        <v>461</v>
      </c>
      <c r="D1939" s="8" t="s">
        <v>1444</v>
      </c>
      <c r="E1939" s="9">
        <v>7616042</v>
      </c>
    </row>
    <row r="1940" spans="1:5" x14ac:dyDescent="0.5">
      <c r="A1940" s="7">
        <v>7416050</v>
      </c>
      <c r="B1940" s="8" t="s">
        <v>1371</v>
      </c>
      <c r="C1940" s="8">
        <v>462</v>
      </c>
      <c r="D1940" s="8" t="s">
        <v>1372</v>
      </c>
      <c r="E1940" s="9">
        <v>7616050</v>
      </c>
    </row>
    <row r="1941" spans="1:5" x14ac:dyDescent="0.5">
      <c r="A1941" s="7">
        <v>7416061</v>
      </c>
      <c r="B1941" s="8" t="s">
        <v>1426</v>
      </c>
      <c r="C1941" s="8">
        <v>463</v>
      </c>
      <c r="D1941" s="8" t="s">
        <v>1427</v>
      </c>
      <c r="E1941" s="9">
        <v>7416061</v>
      </c>
    </row>
    <row r="1942" spans="1:5" x14ac:dyDescent="0.5">
      <c r="A1942" s="7">
        <v>7416062</v>
      </c>
      <c r="B1942" s="8" t="s">
        <v>1400</v>
      </c>
      <c r="C1942" s="8">
        <v>464</v>
      </c>
      <c r="D1942" s="8" t="s">
        <v>1401</v>
      </c>
      <c r="E1942" s="9">
        <v>6916062</v>
      </c>
    </row>
    <row r="1943" spans="1:5" x14ac:dyDescent="0.5">
      <c r="A1943" s="7">
        <v>7416070</v>
      </c>
      <c r="B1943" s="8" t="s">
        <v>1373</v>
      </c>
      <c r="C1943" s="8">
        <v>465</v>
      </c>
      <c r="D1943" s="8" t="s">
        <v>1374</v>
      </c>
      <c r="E1943" s="9">
        <v>7616070</v>
      </c>
    </row>
    <row r="1944" spans="1:5" x14ac:dyDescent="0.5">
      <c r="A1944" s="7">
        <v>7416080</v>
      </c>
      <c r="B1944" s="8" t="s">
        <v>1428</v>
      </c>
      <c r="C1944" s="8">
        <v>466</v>
      </c>
      <c r="D1944" s="8" t="s">
        <v>1429</v>
      </c>
      <c r="E1944" s="9">
        <v>7616080</v>
      </c>
    </row>
    <row r="1945" spans="1:5" x14ac:dyDescent="0.5">
      <c r="A1945" s="7">
        <v>7416090</v>
      </c>
      <c r="B1945" s="8" t="s">
        <v>1430</v>
      </c>
      <c r="C1945" s="8">
        <v>467</v>
      </c>
      <c r="D1945" s="8" t="s">
        <v>1403</v>
      </c>
      <c r="E1945" s="9">
        <v>7516090</v>
      </c>
    </row>
    <row r="1946" spans="1:5" x14ac:dyDescent="0.5">
      <c r="A1946" s="7">
        <v>7416101</v>
      </c>
      <c r="B1946" s="8" t="s">
        <v>1404</v>
      </c>
      <c r="C1946" s="8">
        <v>468</v>
      </c>
      <c r="D1946" s="8" t="s">
        <v>1405</v>
      </c>
      <c r="E1946" s="9">
        <v>7616101</v>
      </c>
    </row>
    <row r="1947" spans="1:5" x14ac:dyDescent="0.5">
      <c r="A1947" s="7">
        <v>7416102</v>
      </c>
      <c r="B1947" s="8" t="s">
        <v>1445</v>
      </c>
      <c r="C1947" s="8">
        <v>469</v>
      </c>
      <c r="D1947" s="8" t="s">
        <v>1446</v>
      </c>
      <c r="E1947" s="9">
        <v>7716102</v>
      </c>
    </row>
    <row r="1948" spans="1:5" x14ac:dyDescent="0.5">
      <c r="A1948" s="7">
        <v>7416110</v>
      </c>
      <c r="B1948" s="8" t="s">
        <v>1406</v>
      </c>
      <c r="C1948" s="8">
        <v>470</v>
      </c>
      <c r="D1948" s="8" t="s">
        <v>1407</v>
      </c>
      <c r="E1948" s="9">
        <v>6916110</v>
      </c>
    </row>
    <row r="1949" spans="1:5" x14ac:dyDescent="0.5">
      <c r="A1949" s="7">
        <v>7416120</v>
      </c>
      <c r="B1949" s="8" t="s">
        <v>1408</v>
      </c>
      <c r="C1949" s="8">
        <v>471</v>
      </c>
      <c r="D1949" s="8" t="s">
        <v>1409</v>
      </c>
      <c r="E1949" s="9">
        <v>6916120</v>
      </c>
    </row>
    <row r="1950" spans="1:5" x14ac:dyDescent="0.5">
      <c r="A1950" s="7">
        <v>7416130</v>
      </c>
      <c r="B1950" s="8" t="s">
        <v>1434</v>
      </c>
      <c r="C1950" s="8">
        <v>472</v>
      </c>
      <c r="D1950" s="8" t="s">
        <v>1435</v>
      </c>
      <c r="E1950" s="9">
        <v>7116130</v>
      </c>
    </row>
    <row r="1951" spans="1:5" x14ac:dyDescent="0.5">
      <c r="A1951" s="7">
        <v>7416141</v>
      </c>
      <c r="B1951" s="8" t="s">
        <v>1375</v>
      </c>
      <c r="C1951" s="8">
        <v>473</v>
      </c>
      <c r="D1951" s="8" t="s">
        <v>1376</v>
      </c>
      <c r="E1951" s="9">
        <v>6916141</v>
      </c>
    </row>
    <row r="1952" spans="1:5" x14ac:dyDescent="0.5">
      <c r="A1952" s="7">
        <v>7416142</v>
      </c>
      <c r="B1952" s="8" t="s">
        <v>1447</v>
      </c>
      <c r="C1952" s="8">
        <v>474</v>
      </c>
      <c r="D1952" s="8" t="s">
        <v>1448</v>
      </c>
      <c r="E1952" s="9">
        <v>7516142</v>
      </c>
    </row>
    <row r="1953" spans="1:5" x14ac:dyDescent="0.5">
      <c r="A1953" s="7">
        <v>7416150</v>
      </c>
      <c r="B1953" s="8" t="s">
        <v>1377</v>
      </c>
      <c r="C1953" s="8">
        <v>475</v>
      </c>
      <c r="D1953" s="8" t="s">
        <v>1378</v>
      </c>
      <c r="E1953" s="9">
        <v>7616150</v>
      </c>
    </row>
    <row r="1954" spans="1:5" x14ac:dyDescent="0.5">
      <c r="A1954" s="7">
        <v>7416160</v>
      </c>
      <c r="B1954" s="8" t="s">
        <v>1431</v>
      </c>
      <c r="C1954" s="8">
        <v>476</v>
      </c>
      <c r="D1954" s="8" t="s">
        <v>1432</v>
      </c>
      <c r="E1954" s="9">
        <v>7216160</v>
      </c>
    </row>
    <row r="1955" spans="1:5" x14ac:dyDescent="0.5">
      <c r="A1955" s="7">
        <v>7416170</v>
      </c>
      <c r="B1955" s="8" t="s">
        <v>1379</v>
      </c>
      <c r="C1955" s="8">
        <v>477</v>
      </c>
      <c r="D1955" s="8" t="s">
        <v>1380</v>
      </c>
      <c r="E1955" s="9">
        <v>7616170</v>
      </c>
    </row>
    <row r="1956" spans="1:5" x14ac:dyDescent="0.5">
      <c r="A1956" s="7">
        <v>7416181</v>
      </c>
      <c r="B1956" s="8" t="s">
        <v>1449</v>
      </c>
      <c r="C1956" s="8">
        <v>478</v>
      </c>
      <c r="D1956" s="8" t="s">
        <v>1450</v>
      </c>
      <c r="E1956" s="9">
        <v>7616181</v>
      </c>
    </row>
    <row r="1957" spans="1:5" x14ac:dyDescent="0.5">
      <c r="A1957" s="7">
        <v>7416211</v>
      </c>
      <c r="B1957" s="8" t="s">
        <v>1381</v>
      </c>
      <c r="C1957" s="8">
        <v>479</v>
      </c>
      <c r="D1957" s="8" t="s">
        <v>1382</v>
      </c>
      <c r="E1957" s="9">
        <v>7616211</v>
      </c>
    </row>
    <row r="1958" spans="1:5" x14ac:dyDescent="0.5">
      <c r="A1958" s="7">
        <v>7416212</v>
      </c>
      <c r="B1958" s="8" t="s">
        <v>1451</v>
      </c>
      <c r="C1958" s="8">
        <v>480</v>
      </c>
      <c r="D1958" s="8" t="s">
        <v>1452</v>
      </c>
      <c r="E1958" s="9">
        <v>7616212</v>
      </c>
    </row>
    <row r="1959" spans="1:5" x14ac:dyDescent="0.5">
      <c r="A1959" s="7">
        <v>7416220</v>
      </c>
      <c r="B1959" s="8" t="s">
        <v>1383</v>
      </c>
      <c r="C1959" s="8">
        <v>481</v>
      </c>
      <c r="D1959" s="8" t="s">
        <v>1384</v>
      </c>
      <c r="E1959" s="9">
        <v>7616220</v>
      </c>
    </row>
    <row r="1960" spans="1:5" x14ac:dyDescent="0.5">
      <c r="A1960" s="7">
        <v>7416240</v>
      </c>
      <c r="B1960" s="8" t="s">
        <v>1410</v>
      </c>
      <c r="C1960" s="8">
        <v>482</v>
      </c>
      <c r="D1960" s="8" t="s">
        <v>1411</v>
      </c>
      <c r="E1960" s="9">
        <v>6916240</v>
      </c>
    </row>
    <row r="1961" spans="1:5" x14ac:dyDescent="0.5">
      <c r="A1961" s="7">
        <v>7416280</v>
      </c>
      <c r="B1961" s="8" t="s">
        <v>1412</v>
      </c>
      <c r="C1961" s="8">
        <v>483</v>
      </c>
      <c r="D1961" s="8" t="s">
        <v>1413</v>
      </c>
      <c r="E1961" s="9">
        <v>6916280</v>
      </c>
    </row>
    <row r="1962" spans="1:5" x14ac:dyDescent="0.5">
      <c r="A1962" s="7">
        <v>7416290</v>
      </c>
      <c r="B1962" s="8" t="s">
        <v>1414</v>
      </c>
      <c r="C1962" s="8">
        <v>484</v>
      </c>
      <c r="D1962" s="8" t="s">
        <v>1415</v>
      </c>
      <c r="E1962" s="9">
        <v>7616290</v>
      </c>
    </row>
    <row r="1963" spans="1:5" x14ac:dyDescent="0.5">
      <c r="A1963" s="7">
        <v>7416300</v>
      </c>
      <c r="B1963" s="8" t="s">
        <v>1385</v>
      </c>
      <c r="C1963" s="8">
        <v>485</v>
      </c>
      <c r="D1963" s="8" t="s">
        <v>1386</v>
      </c>
      <c r="E1963" s="9">
        <v>6916300</v>
      </c>
    </row>
    <row r="1964" spans="1:5" x14ac:dyDescent="0.5">
      <c r="A1964" s="7">
        <v>7416310</v>
      </c>
      <c r="B1964" s="8" t="s">
        <v>1416</v>
      </c>
      <c r="C1964" s="8">
        <v>486</v>
      </c>
      <c r="D1964" s="8" t="s">
        <v>1417</v>
      </c>
      <c r="E1964" s="9">
        <v>6916310</v>
      </c>
    </row>
    <row r="1965" spans="1:5" x14ac:dyDescent="0.5">
      <c r="A1965" s="7">
        <v>7416320</v>
      </c>
      <c r="B1965" s="8" t="s">
        <v>1433</v>
      </c>
      <c r="C1965" s="8">
        <v>100</v>
      </c>
      <c r="D1965" s="8" t="s">
        <v>578</v>
      </c>
      <c r="E1965" s="8" t="s">
        <v>579</v>
      </c>
    </row>
    <row r="1966" spans="1:5" x14ac:dyDescent="0.5">
      <c r="A1966" s="7">
        <v>7416330</v>
      </c>
      <c r="B1966" s="8" t="s">
        <v>1418</v>
      </c>
      <c r="C1966" s="8">
        <v>487</v>
      </c>
      <c r="D1966" s="8" t="s">
        <v>1419</v>
      </c>
      <c r="E1966" s="9">
        <v>6916330</v>
      </c>
    </row>
    <row r="1967" spans="1:5" x14ac:dyDescent="0.5">
      <c r="A1967" s="7">
        <v>7416351</v>
      </c>
      <c r="B1967" s="8" t="s">
        <v>1420</v>
      </c>
      <c r="C1967" s="8">
        <v>488</v>
      </c>
      <c r="D1967" s="8" t="s">
        <v>1421</v>
      </c>
      <c r="E1967" s="9">
        <v>6916351</v>
      </c>
    </row>
    <row r="1968" spans="1:5" x14ac:dyDescent="0.5">
      <c r="A1968" s="7">
        <v>7416371</v>
      </c>
      <c r="B1968" s="8" t="s">
        <v>1422</v>
      </c>
      <c r="C1968" s="8">
        <v>489</v>
      </c>
      <c r="D1968" s="8" t="s">
        <v>1423</v>
      </c>
      <c r="E1968" s="9">
        <v>7616371</v>
      </c>
    </row>
    <row r="1969" spans="1:5" x14ac:dyDescent="0.5">
      <c r="A1969" s="7">
        <v>7416372</v>
      </c>
      <c r="B1969" s="8" t="s">
        <v>1424</v>
      </c>
      <c r="C1969" s="8">
        <v>490</v>
      </c>
      <c r="D1969" s="8" t="s">
        <v>1425</v>
      </c>
      <c r="E1969" s="9">
        <v>6916372</v>
      </c>
    </row>
    <row r="1970" spans="1:5" x14ac:dyDescent="0.5">
      <c r="A1970" s="7">
        <v>7416450</v>
      </c>
      <c r="B1970" s="8" t="s">
        <v>1459</v>
      </c>
      <c r="C1970" s="8">
        <v>497</v>
      </c>
      <c r="D1970" s="8" t="s">
        <v>1460</v>
      </c>
      <c r="E1970" s="9">
        <v>7516450</v>
      </c>
    </row>
    <row r="1971" spans="1:5" x14ac:dyDescent="0.5">
      <c r="A1971" s="7">
        <v>7416790</v>
      </c>
      <c r="B1971" s="8" t="s">
        <v>1463</v>
      </c>
      <c r="C1971" s="8">
        <v>521</v>
      </c>
      <c r="D1971" s="8" t="s">
        <v>1464</v>
      </c>
      <c r="E1971" s="9">
        <v>7616790</v>
      </c>
    </row>
    <row r="1972" spans="1:5" x14ac:dyDescent="0.5">
      <c r="A1972" s="7">
        <v>7516011</v>
      </c>
      <c r="B1972" s="8" t="s">
        <v>1365</v>
      </c>
      <c r="C1972" s="8">
        <v>457</v>
      </c>
      <c r="D1972" s="8" t="s">
        <v>1366</v>
      </c>
      <c r="E1972" s="8">
        <v>7616011</v>
      </c>
    </row>
    <row r="1973" spans="1:5" x14ac:dyDescent="0.5">
      <c r="A1973" s="7">
        <v>7516030</v>
      </c>
      <c r="B1973" s="8" t="s">
        <v>1367</v>
      </c>
      <c r="C1973" s="8">
        <v>459</v>
      </c>
      <c r="D1973" s="8" t="s">
        <v>1368</v>
      </c>
      <c r="E1973" s="8">
        <v>7616030</v>
      </c>
    </row>
    <row r="1974" spans="1:5" x14ac:dyDescent="0.5">
      <c r="A1974" s="7">
        <v>7516042</v>
      </c>
      <c r="B1974" s="8" t="s">
        <v>1443</v>
      </c>
      <c r="C1974" s="8">
        <v>461</v>
      </c>
      <c r="D1974" s="8" t="s">
        <v>1444</v>
      </c>
      <c r="E1974" s="9">
        <v>7616042</v>
      </c>
    </row>
    <row r="1975" spans="1:5" x14ac:dyDescent="0.5">
      <c r="A1975" s="7">
        <v>7516070</v>
      </c>
      <c r="B1975" s="8" t="s">
        <v>1373</v>
      </c>
      <c r="C1975" s="8">
        <v>465</v>
      </c>
      <c r="D1975" s="8" t="s">
        <v>1374</v>
      </c>
      <c r="E1975" s="9">
        <v>7616070</v>
      </c>
    </row>
    <row r="1976" spans="1:5" x14ac:dyDescent="0.5">
      <c r="A1976" s="7">
        <v>7516080</v>
      </c>
      <c r="B1976" s="8" t="s">
        <v>1428</v>
      </c>
      <c r="C1976" s="8">
        <v>466</v>
      </c>
      <c r="D1976" s="8" t="s">
        <v>1429</v>
      </c>
      <c r="E1976" s="9">
        <v>7616080</v>
      </c>
    </row>
    <row r="1977" spans="1:5" x14ac:dyDescent="0.5">
      <c r="A1977" s="7">
        <v>7516090</v>
      </c>
      <c r="B1977" s="8" t="s">
        <v>1430</v>
      </c>
      <c r="C1977" s="8">
        <v>467</v>
      </c>
      <c r="D1977" s="8" t="s">
        <v>1403</v>
      </c>
      <c r="E1977" s="9">
        <v>7516090</v>
      </c>
    </row>
    <row r="1978" spans="1:5" x14ac:dyDescent="0.5">
      <c r="A1978" s="7">
        <v>7516102</v>
      </c>
      <c r="B1978" s="8" t="s">
        <v>1445</v>
      </c>
      <c r="C1978" s="8">
        <v>469</v>
      </c>
      <c r="D1978" s="8" t="s">
        <v>1446</v>
      </c>
      <c r="E1978" s="9">
        <v>7716102</v>
      </c>
    </row>
    <row r="1979" spans="1:5" x14ac:dyDescent="0.5">
      <c r="A1979" s="7">
        <v>7516110</v>
      </c>
      <c r="B1979" s="8" t="s">
        <v>1406</v>
      </c>
      <c r="C1979" s="8">
        <v>470</v>
      </c>
      <c r="D1979" s="8" t="s">
        <v>1407</v>
      </c>
      <c r="E1979" s="9">
        <v>6916110</v>
      </c>
    </row>
    <row r="1980" spans="1:5" x14ac:dyDescent="0.5">
      <c r="A1980" s="7">
        <v>7516120</v>
      </c>
      <c r="B1980" s="8" t="s">
        <v>1408</v>
      </c>
      <c r="C1980" s="8">
        <v>471</v>
      </c>
      <c r="D1980" s="8" t="s">
        <v>1409</v>
      </c>
      <c r="E1980" s="9">
        <v>6916120</v>
      </c>
    </row>
    <row r="1981" spans="1:5" x14ac:dyDescent="0.5">
      <c r="A1981" s="7">
        <v>7516142</v>
      </c>
      <c r="B1981" s="8" t="s">
        <v>1447</v>
      </c>
      <c r="C1981" s="8">
        <v>474</v>
      </c>
      <c r="D1981" s="8" t="s">
        <v>1448</v>
      </c>
      <c r="E1981" s="9">
        <v>7516142</v>
      </c>
    </row>
    <row r="1982" spans="1:5" x14ac:dyDescent="0.5">
      <c r="A1982" s="7">
        <v>7516160</v>
      </c>
      <c r="B1982" s="8" t="s">
        <v>1431</v>
      </c>
      <c r="C1982" s="8">
        <v>476</v>
      </c>
      <c r="D1982" s="8" t="s">
        <v>1432</v>
      </c>
      <c r="E1982" s="9">
        <v>7216160</v>
      </c>
    </row>
    <row r="1983" spans="1:5" x14ac:dyDescent="0.5">
      <c r="A1983" s="7">
        <v>7516170</v>
      </c>
      <c r="B1983" s="8" t="s">
        <v>1379</v>
      </c>
      <c r="C1983" s="8">
        <v>477</v>
      </c>
      <c r="D1983" s="8" t="s">
        <v>1380</v>
      </c>
      <c r="E1983" s="9">
        <v>7616170</v>
      </c>
    </row>
    <row r="1984" spans="1:5" x14ac:dyDescent="0.5">
      <c r="A1984" s="7">
        <v>7516181</v>
      </c>
      <c r="B1984" s="8" t="s">
        <v>1449</v>
      </c>
      <c r="C1984" s="8">
        <v>478</v>
      </c>
      <c r="D1984" s="8" t="s">
        <v>1450</v>
      </c>
      <c r="E1984" s="9">
        <v>7616181</v>
      </c>
    </row>
    <row r="1985" spans="1:5" x14ac:dyDescent="0.5">
      <c r="A1985" s="7">
        <v>7516212</v>
      </c>
      <c r="B1985" s="8" t="s">
        <v>1451</v>
      </c>
      <c r="C1985" s="8">
        <v>480</v>
      </c>
      <c r="D1985" s="8" t="s">
        <v>1452</v>
      </c>
      <c r="E1985" s="9">
        <v>7616212</v>
      </c>
    </row>
    <row r="1986" spans="1:5" x14ac:dyDescent="0.5">
      <c r="A1986" s="7">
        <v>7516220</v>
      </c>
      <c r="B1986" s="8" t="s">
        <v>1383</v>
      </c>
      <c r="C1986" s="8">
        <v>481</v>
      </c>
      <c r="D1986" s="8" t="s">
        <v>1384</v>
      </c>
      <c r="E1986" s="9">
        <v>7616220</v>
      </c>
    </row>
    <row r="1987" spans="1:5" x14ac:dyDescent="0.5">
      <c r="A1987" s="7">
        <v>7516240</v>
      </c>
      <c r="B1987" s="8" t="s">
        <v>1410</v>
      </c>
      <c r="C1987" s="8">
        <v>482</v>
      </c>
      <c r="D1987" s="8" t="s">
        <v>1411</v>
      </c>
      <c r="E1987" s="9">
        <v>6916240</v>
      </c>
    </row>
    <row r="1988" spans="1:5" x14ac:dyDescent="0.5">
      <c r="A1988" s="7">
        <v>7516280</v>
      </c>
      <c r="B1988" s="8" t="s">
        <v>1412</v>
      </c>
      <c r="C1988" s="8">
        <v>483</v>
      </c>
      <c r="D1988" s="8" t="s">
        <v>1413</v>
      </c>
      <c r="E1988" s="9">
        <v>6916280</v>
      </c>
    </row>
    <row r="1989" spans="1:5" x14ac:dyDescent="0.5">
      <c r="A1989" s="7">
        <v>7516290</v>
      </c>
      <c r="B1989" s="8" t="s">
        <v>1414</v>
      </c>
      <c r="C1989" s="8">
        <v>484</v>
      </c>
      <c r="D1989" s="8" t="s">
        <v>1415</v>
      </c>
      <c r="E1989" s="9">
        <v>7616290</v>
      </c>
    </row>
    <row r="1990" spans="1:5" x14ac:dyDescent="0.5">
      <c r="A1990" s="7">
        <v>7516310</v>
      </c>
      <c r="B1990" s="8" t="s">
        <v>1416</v>
      </c>
      <c r="C1990" s="8">
        <v>486</v>
      </c>
      <c r="D1990" s="8" t="s">
        <v>1417</v>
      </c>
      <c r="E1990" s="9">
        <v>6916310</v>
      </c>
    </row>
    <row r="1991" spans="1:5" x14ac:dyDescent="0.5">
      <c r="A1991" s="7">
        <v>7516320</v>
      </c>
      <c r="B1991" s="8" t="s">
        <v>1433</v>
      </c>
      <c r="C1991" s="8">
        <v>100</v>
      </c>
      <c r="D1991" s="8" t="s">
        <v>578</v>
      </c>
      <c r="E1991" s="8" t="s">
        <v>579</v>
      </c>
    </row>
    <row r="1992" spans="1:5" x14ac:dyDescent="0.5">
      <c r="A1992" s="7">
        <v>7516351</v>
      </c>
      <c r="B1992" s="8" t="s">
        <v>1420</v>
      </c>
      <c r="C1992" s="8">
        <v>488</v>
      </c>
      <c r="D1992" s="8" t="s">
        <v>1421</v>
      </c>
      <c r="E1992" s="9">
        <v>6916351</v>
      </c>
    </row>
    <row r="1993" spans="1:5" x14ac:dyDescent="0.5">
      <c r="A1993" s="7">
        <v>7516371</v>
      </c>
      <c r="B1993" s="8" t="s">
        <v>1422</v>
      </c>
      <c r="C1993" s="8">
        <v>489</v>
      </c>
      <c r="D1993" s="8" t="s">
        <v>1423</v>
      </c>
      <c r="E1993" s="9">
        <v>7616371</v>
      </c>
    </row>
    <row r="1994" spans="1:5" x14ac:dyDescent="0.5">
      <c r="A1994" s="7">
        <v>7516372</v>
      </c>
      <c r="B1994" s="8" t="s">
        <v>1424</v>
      </c>
      <c r="C1994" s="8">
        <v>490</v>
      </c>
      <c r="D1994" s="8" t="s">
        <v>1425</v>
      </c>
      <c r="E1994" s="9">
        <v>6916372</v>
      </c>
    </row>
    <row r="1995" spans="1:5" x14ac:dyDescent="0.5">
      <c r="A1995" s="7">
        <v>7516430</v>
      </c>
      <c r="B1995" s="8" t="s">
        <v>1465</v>
      </c>
      <c r="C1995" s="8">
        <v>495</v>
      </c>
      <c r="D1995" s="8" t="s">
        <v>1456</v>
      </c>
      <c r="E1995" s="9">
        <v>7716430</v>
      </c>
    </row>
    <row r="1996" spans="1:5" x14ac:dyDescent="0.5">
      <c r="A1996" s="7">
        <v>7516450</v>
      </c>
      <c r="B1996" s="8" t="s">
        <v>1459</v>
      </c>
      <c r="C1996" s="8">
        <v>497</v>
      </c>
      <c r="D1996" s="8" t="s">
        <v>1460</v>
      </c>
      <c r="E1996" s="9">
        <v>7516450</v>
      </c>
    </row>
    <row r="1997" spans="1:5" x14ac:dyDescent="0.5">
      <c r="A1997" s="7">
        <v>7516460</v>
      </c>
      <c r="B1997" s="8" t="s">
        <v>1466</v>
      </c>
      <c r="C1997" s="8">
        <v>498</v>
      </c>
      <c r="D1997" s="8" t="s">
        <v>1467</v>
      </c>
      <c r="E1997" s="9">
        <v>7816460</v>
      </c>
    </row>
    <row r="1998" spans="1:5" x14ac:dyDescent="0.5">
      <c r="A1998" s="7">
        <v>7516481</v>
      </c>
      <c r="B1998" s="8" t="s">
        <v>1468</v>
      </c>
      <c r="C1998" s="8">
        <v>499</v>
      </c>
      <c r="D1998" s="8" t="s">
        <v>1462</v>
      </c>
      <c r="E1998" s="9">
        <v>7816481</v>
      </c>
    </row>
    <row r="1999" spans="1:5" x14ac:dyDescent="0.5">
      <c r="A1999" s="7">
        <v>7516590</v>
      </c>
      <c r="B1999" s="8" t="s">
        <v>1469</v>
      </c>
      <c r="C1999" s="8">
        <v>509</v>
      </c>
      <c r="D1999" s="8" t="s">
        <v>1470</v>
      </c>
      <c r="E1999" s="9">
        <v>7816590</v>
      </c>
    </row>
    <row r="2000" spans="1:5" x14ac:dyDescent="0.5">
      <c r="A2000" s="7">
        <v>7516600</v>
      </c>
      <c r="B2000" s="8" t="s">
        <v>1471</v>
      </c>
      <c r="C2000" s="8">
        <v>510</v>
      </c>
      <c r="D2000" s="8" t="s">
        <v>1472</v>
      </c>
      <c r="E2000" s="9">
        <v>7616600</v>
      </c>
    </row>
    <row r="2001" spans="1:5" x14ac:dyDescent="0.5">
      <c r="A2001" s="7">
        <v>7516680</v>
      </c>
      <c r="B2001" s="8" t="s">
        <v>1473</v>
      </c>
      <c r="C2001" s="8">
        <v>515</v>
      </c>
      <c r="D2001" s="8" t="s">
        <v>1474</v>
      </c>
      <c r="E2001" s="9">
        <v>7616680</v>
      </c>
    </row>
    <row r="2002" spans="1:5" x14ac:dyDescent="0.5">
      <c r="A2002" s="7">
        <v>7516730</v>
      </c>
      <c r="B2002" s="8" t="s">
        <v>1475</v>
      </c>
      <c r="C2002" s="8">
        <v>518</v>
      </c>
      <c r="D2002" s="8" t="s">
        <v>1476</v>
      </c>
      <c r="E2002" s="9">
        <v>7816730</v>
      </c>
    </row>
    <row r="2003" spans="1:5" x14ac:dyDescent="0.5">
      <c r="A2003" s="7">
        <v>7516760</v>
      </c>
      <c r="B2003" s="8" t="s">
        <v>1477</v>
      </c>
      <c r="C2003" s="8">
        <v>519</v>
      </c>
      <c r="D2003" s="8" t="s">
        <v>1478</v>
      </c>
      <c r="E2003" s="9">
        <v>7716760</v>
      </c>
    </row>
    <row r="2004" spans="1:5" x14ac:dyDescent="0.5">
      <c r="A2004" s="7">
        <v>7516780</v>
      </c>
      <c r="B2004" s="8" t="s">
        <v>1479</v>
      </c>
      <c r="C2004" s="8">
        <v>520</v>
      </c>
      <c r="D2004" s="8" t="s">
        <v>1480</v>
      </c>
      <c r="E2004" s="9">
        <v>7516780</v>
      </c>
    </row>
    <row r="2005" spans="1:5" x14ac:dyDescent="0.5">
      <c r="A2005" s="7">
        <v>7516790</v>
      </c>
      <c r="B2005" s="8" t="s">
        <v>1463</v>
      </c>
      <c r="C2005" s="8">
        <v>521</v>
      </c>
      <c r="D2005" s="8" t="s">
        <v>1464</v>
      </c>
      <c r="E2005" s="9">
        <v>7616790</v>
      </c>
    </row>
    <row r="2006" spans="1:5" x14ac:dyDescent="0.5">
      <c r="A2006" s="7">
        <v>7517340</v>
      </c>
      <c r="B2006" s="8" t="s">
        <v>1481</v>
      </c>
      <c r="C2006" s="8">
        <v>100</v>
      </c>
      <c r="D2006" s="8" t="s">
        <v>578</v>
      </c>
      <c r="E2006" s="8" t="s">
        <v>579</v>
      </c>
    </row>
    <row r="2007" spans="1:5" x14ac:dyDescent="0.5">
      <c r="A2007" s="7">
        <v>7616011</v>
      </c>
      <c r="B2007" s="8" t="s">
        <v>1365</v>
      </c>
      <c r="C2007" s="8">
        <v>457</v>
      </c>
      <c r="D2007" s="8" t="s">
        <v>1366</v>
      </c>
      <c r="E2007" s="8">
        <v>7616011</v>
      </c>
    </row>
    <row r="2008" spans="1:5" x14ac:dyDescent="0.5">
      <c r="A2008" s="7">
        <v>7616012</v>
      </c>
      <c r="B2008" s="8" t="s">
        <v>1441</v>
      </c>
      <c r="C2008" s="8">
        <v>458</v>
      </c>
      <c r="D2008" s="8" t="s">
        <v>1442</v>
      </c>
      <c r="E2008" s="8">
        <v>7616012</v>
      </c>
    </row>
    <row r="2009" spans="1:5" x14ac:dyDescent="0.5">
      <c r="A2009" s="7">
        <v>7616030</v>
      </c>
      <c r="B2009" s="8" t="s">
        <v>1367</v>
      </c>
      <c r="C2009" s="8">
        <v>459</v>
      </c>
      <c r="D2009" s="8" t="s">
        <v>1368</v>
      </c>
      <c r="E2009" s="8">
        <v>7616030</v>
      </c>
    </row>
    <row r="2010" spans="1:5" x14ac:dyDescent="0.5">
      <c r="A2010" s="7">
        <v>7616041</v>
      </c>
      <c r="B2010" s="8" t="s">
        <v>1369</v>
      </c>
      <c r="C2010" s="8">
        <v>460</v>
      </c>
      <c r="D2010" s="8" t="s">
        <v>1370</v>
      </c>
      <c r="E2010" s="8">
        <v>7616041</v>
      </c>
    </row>
    <row r="2011" spans="1:5" x14ac:dyDescent="0.5">
      <c r="A2011" s="7">
        <v>7616042</v>
      </c>
      <c r="B2011" s="8" t="s">
        <v>1443</v>
      </c>
      <c r="C2011" s="8">
        <v>461</v>
      </c>
      <c r="D2011" s="8" t="s">
        <v>1444</v>
      </c>
      <c r="E2011" s="9">
        <v>7616042</v>
      </c>
    </row>
    <row r="2012" spans="1:5" x14ac:dyDescent="0.5">
      <c r="A2012" s="7">
        <v>7616050</v>
      </c>
      <c r="B2012" s="8" t="s">
        <v>1371</v>
      </c>
      <c r="C2012" s="8">
        <v>462</v>
      </c>
      <c r="D2012" s="8" t="s">
        <v>1372</v>
      </c>
      <c r="E2012" s="9">
        <v>7616050</v>
      </c>
    </row>
    <row r="2013" spans="1:5" x14ac:dyDescent="0.5">
      <c r="A2013" s="7">
        <v>7616070</v>
      </c>
      <c r="B2013" s="8" t="s">
        <v>1373</v>
      </c>
      <c r="C2013" s="8">
        <v>465</v>
      </c>
      <c r="D2013" s="8" t="s">
        <v>1374</v>
      </c>
      <c r="E2013" s="9">
        <v>7616070</v>
      </c>
    </row>
    <row r="2014" spans="1:5" x14ac:dyDescent="0.5">
      <c r="A2014" s="7">
        <v>7616080</v>
      </c>
      <c r="B2014" s="8" t="s">
        <v>1428</v>
      </c>
      <c r="C2014" s="8">
        <v>466</v>
      </c>
      <c r="D2014" s="8" t="s">
        <v>1429</v>
      </c>
      <c r="E2014" s="9">
        <v>7616080</v>
      </c>
    </row>
    <row r="2015" spans="1:5" x14ac:dyDescent="0.5">
      <c r="A2015" s="7">
        <v>7616101</v>
      </c>
      <c r="B2015" s="8" t="s">
        <v>1404</v>
      </c>
      <c r="C2015" s="8">
        <v>468</v>
      </c>
      <c r="D2015" s="8" t="s">
        <v>1405</v>
      </c>
      <c r="E2015" s="9">
        <v>7616101</v>
      </c>
    </row>
    <row r="2016" spans="1:5" x14ac:dyDescent="0.5">
      <c r="A2016" s="7">
        <v>7616150</v>
      </c>
      <c r="B2016" s="8" t="s">
        <v>1377</v>
      </c>
      <c r="C2016" s="8">
        <v>475</v>
      </c>
      <c r="D2016" s="8" t="s">
        <v>1378</v>
      </c>
      <c r="E2016" s="9">
        <v>7616150</v>
      </c>
    </row>
    <row r="2017" spans="1:5" x14ac:dyDescent="0.5">
      <c r="A2017" s="7">
        <v>7616170</v>
      </c>
      <c r="B2017" s="8" t="s">
        <v>1379</v>
      </c>
      <c r="C2017" s="8">
        <v>477</v>
      </c>
      <c r="D2017" s="8" t="s">
        <v>1380</v>
      </c>
      <c r="E2017" s="9">
        <v>7616170</v>
      </c>
    </row>
    <row r="2018" spans="1:5" x14ac:dyDescent="0.5">
      <c r="A2018" s="7">
        <v>7616181</v>
      </c>
      <c r="B2018" s="8" t="s">
        <v>1449</v>
      </c>
      <c r="C2018" s="8">
        <v>478</v>
      </c>
      <c r="D2018" s="8" t="s">
        <v>1450</v>
      </c>
      <c r="E2018" s="9">
        <v>7616181</v>
      </c>
    </row>
    <row r="2019" spans="1:5" x14ac:dyDescent="0.5">
      <c r="A2019" s="7">
        <v>7616211</v>
      </c>
      <c r="B2019" s="8" t="s">
        <v>1482</v>
      </c>
      <c r="C2019" s="8">
        <v>479</v>
      </c>
      <c r="D2019" s="8" t="s">
        <v>1382</v>
      </c>
      <c r="E2019" s="9">
        <v>7616211</v>
      </c>
    </row>
    <row r="2020" spans="1:5" x14ac:dyDescent="0.5">
      <c r="A2020" s="7">
        <v>7616212</v>
      </c>
      <c r="B2020" s="8" t="s">
        <v>1483</v>
      </c>
      <c r="C2020" s="8">
        <v>480</v>
      </c>
      <c r="D2020" s="8" t="s">
        <v>1452</v>
      </c>
      <c r="E2020" s="9">
        <v>7616212</v>
      </c>
    </row>
    <row r="2021" spans="1:5" x14ac:dyDescent="0.5">
      <c r="A2021" s="7">
        <v>7616220</v>
      </c>
      <c r="B2021" s="8" t="s">
        <v>1383</v>
      </c>
      <c r="C2021" s="8">
        <v>481</v>
      </c>
      <c r="D2021" s="8" t="s">
        <v>1384</v>
      </c>
      <c r="E2021" s="9">
        <v>7616220</v>
      </c>
    </row>
    <row r="2022" spans="1:5" x14ac:dyDescent="0.5">
      <c r="A2022" s="7">
        <v>7616290</v>
      </c>
      <c r="B2022" s="8" t="s">
        <v>1414</v>
      </c>
      <c r="C2022" s="8">
        <v>484</v>
      </c>
      <c r="D2022" s="8" t="s">
        <v>1415</v>
      </c>
      <c r="E2022" s="9">
        <v>7616290</v>
      </c>
    </row>
    <row r="2023" spans="1:5" x14ac:dyDescent="0.5">
      <c r="A2023" s="7">
        <v>7616371</v>
      </c>
      <c r="B2023" s="8" t="s">
        <v>1422</v>
      </c>
      <c r="C2023" s="8">
        <v>489</v>
      </c>
      <c r="D2023" s="8" t="s">
        <v>1423</v>
      </c>
      <c r="E2023" s="9">
        <v>7616371</v>
      </c>
    </row>
    <row r="2024" spans="1:5" x14ac:dyDescent="0.5">
      <c r="A2024" s="7">
        <v>7616380</v>
      </c>
      <c r="B2024" s="8" t="s">
        <v>1316</v>
      </c>
      <c r="C2024" s="8">
        <v>491</v>
      </c>
      <c r="D2024" s="8" t="s">
        <v>1317</v>
      </c>
      <c r="E2024" s="8">
        <v>7616380</v>
      </c>
    </row>
    <row r="2025" spans="1:5" x14ac:dyDescent="0.5">
      <c r="A2025" s="7">
        <v>7616390</v>
      </c>
      <c r="B2025" s="8" t="s">
        <v>1318</v>
      </c>
      <c r="C2025" s="8">
        <v>492</v>
      </c>
      <c r="D2025" s="8" t="s">
        <v>1319</v>
      </c>
      <c r="E2025" s="9">
        <v>7616390</v>
      </c>
    </row>
    <row r="2026" spans="1:5" x14ac:dyDescent="0.5">
      <c r="A2026" s="7">
        <v>7616400</v>
      </c>
      <c r="B2026" s="8" t="s">
        <v>1484</v>
      </c>
      <c r="C2026" s="8">
        <v>493</v>
      </c>
      <c r="D2026" s="8" t="s">
        <v>1485</v>
      </c>
      <c r="E2026" s="9">
        <v>7616400</v>
      </c>
    </row>
    <row r="2027" spans="1:5" x14ac:dyDescent="0.5">
      <c r="A2027" s="7">
        <v>7616420</v>
      </c>
      <c r="B2027" s="8" t="s">
        <v>1453</v>
      </c>
      <c r="C2027" s="8">
        <v>494</v>
      </c>
      <c r="D2027" s="8" t="s">
        <v>1454</v>
      </c>
      <c r="E2027" s="9">
        <v>7616420</v>
      </c>
    </row>
    <row r="2028" spans="1:5" x14ac:dyDescent="0.5">
      <c r="A2028" s="7">
        <v>7616440</v>
      </c>
      <c r="B2028" s="8" t="s">
        <v>1457</v>
      </c>
      <c r="C2028" s="8">
        <v>496</v>
      </c>
      <c r="D2028" s="8" t="s">
        <v>1458</v>
      </c>
      <c r="E2028" s="9">
        <v>7616440</v>
      </c>
    </row>
    <row r="2029" spans="1:5" x14ac:dyDescent="0.5">
      <c r="A2029" s="7">
        <v>7616510</v>
      </c>
      <c r="B2029" s="8" t="s">
        <v>1437</v>
      </c>
      <c r="C2029" s="8">
        <v>502</v>
      </c>
      <c r="D2029" s="8" t="s">
        <v>1438</v>
      </c>
      <c r="E2029" s="9">
        <v>7616510</v>
      </c>
    </row>
    <row r="2030" spans="1:5" x14ac:dyDescent="0.5">
      <c r="A2030" s="7">
        <v>7616540</v>
      </c>
      <c r="B2030" s="8" t="s">
        <v>1486</v>
      </c>
      <c r="C2030" s="8">
        <v>505</v>
      </c>
      <c r="D2030" s="8" t="s">
        <v>1487</v>
      </c>
      <c r="E2030" s="9">
        <v>7616540</v>
      </c>
    </row>
    <row r="2031" spans="1:5" x14ac:dyDescent="0.5">
      <c r="A2031" s="7">
        <v>7616600</v>
      </c>
      <c r="B2031" s="8" t="s">
        <v>1488</v>
      </c>
      <c r="C2031" s="8">
        <v>510</v>
      </c>
      <c r="D2031" s="8" t="s">
        <v>1472</v>
      </c>
      <c r="E2031" s="9">
        <v>7616600</v>
      </c>
    </row>
    <row r="2032" spans="1:5" x14ac:dyDescent="0.5">
      <c r="A2032" s="7">
        <v>7616630</v>
      </c>
      <c r="B2032" s="8" t="s">
        <v>1489</v>
      </c>
      <c r="C2032" s="8">
        <v>513</v>
      </c>
      <c r="D2032" s="8" t="s">
        <v>1490</v>
      </c>
      <c r="E2032" s="9">
        <v>7616630</v>
      </c>
    </row>
    <row r="2033" spans="1:5" x14ac:dyDescent="0.5">
      <c r="A2033" s="7">
        <v>7616680</v>
      </c>
      <c r="B2033" s="8" t="s">
        <v>1473</v>
      </c>
      <c r="C2033" s="8">
        <v>515</v>
      </c>
      <c r="D2033" s="8" t="s">
        <v>1474</v>
      </c>
      <c r="E2033" s="9">
        <v>7616680</v>
      </c>
    </row>
    <row r="2034" spans="1:5" x14ac:dyDescent="0.5">
      <c r="A2034" s="7">
        <v>7616700</v>
      </c>
      <c r="B2034" s="8" t="s">
        <v>1491</v>
      </c>
      <c r="C2034" s="8">
        <v>516</v>
      </c>
      <c r="D2034" s="8" t="s">
        <v>1492</v>
      </c>
      <c r="E2034" s="9">
        <v>7616700</v>
      </c>
    </row>
    <row r="2035" spans="1:5" x14ac:dyDescent="0.5">
      <c r="A2035" s="7">
        <v>7616710</v>
      </c>
      <c r="B2035" s="8" t="s">
        <v>1493</v>
      </c>
      <c r="C2035" s="8">
        <v>517</v>
      </c>
      <c r="D2035" s="8" t="s">
        <v>1494</v>
      </c>
      <c r="E2035" s="9">
        <v>7616710</v>
      </c>
    </row>
    <row r="2036" spans="1:5" x14ac:dyDescent="0.5">
      <c r="A2036" s="7">
        <v>7616790</v>
      </c>
      <c r="B2036" s="8" t="s">
        <v>1463</v>
      </c>
      <c r="C2036" s="8">
        <v>521</v>
      </c>
      <c r="D2036" s="8" t="s">
        <v>1464</v>
      </c>
      <c r="E2036" s="9">
        <v>7616790</v>
      </c>
    </row>
    <row r="2037" spans="1:5" x14ac:dyDescent="0.5">
      <c r="A2037" s="7">
        <v>7616821</v>
      </c>
      <c r="B2037" s="8" t="s">
        <v>1320</v>
      </c>
      <c r="C2037" s="8">
        <v>524</v>
      </c>
      <c r="D2037" s="8" t="s">
        <v>1321</v>
      </c>
      <c r="E2037" s="8">
        <v>7616821</v>
      </c>
    </row>
    <row r="2038" spans="1:5" x14ac:dyDescent="0.5">
      <c r="A2038" s="7">
        <v>7616830</v>
      </c>
      <c r="B2038" s="8" t="s">
        <v>1322</v>
      </c>
      <c r="C2038" s="8">
        <v>526</v>
      </c>
      <c r="D2038" s="8" t="s">
        <v>1323</v>
      </c>
      <c r="E2038" s="8">
        <v>7616830</v>
      </c>
    </row>
    <row r="2039" spans="1:5" x14ac:dyDescent="0.5">
      <c r="A2039" s="7">
        <v>7616850</v>
      </c>
      <c r="B2039" s="8" t="s">
        <v>1326</v>
      </c>
      <c r="C2039" s="8">
        <v>528</v>
      </c>
      <c r="D2039" s="8" t="s">
        <v>1327</v>
      </c>
      <c r="E2039" s="8">
        <v>7616850</v>
      </c>
    </row>
    <row r="2040" spans="1:5" x14ac:dyDescent="0.5">
      <c r="A2040" s="7">
        <v>7616870</v>
      </c>
      <c r="B2040" s="8" t="s">
        <v>1330</v>
      </c>
      <c r="C2040" s="8">
        <v>530</v>
      </c>
      <c r="D2040" s="8" t="s">
        <v>1331</v>
      </c>
      <c r="E2040" s="8">
        <v>7616870</v>
      </c>
    </row>
    <row r="2041" spans="1:5" x14ac:dyDescent="0.5">
      <c r="A2041" s="7">
        <v>7616901</v>
      </c>
      <c r="B2041" s="8" t="s">
        <v>1390</v>
      </c>
      <c r="C2041" s="8">
        <v>533</v>
      </c>
      <c r="D2041" s="8" t="s">
        <v>1391</v>
      </c>
      <c r="E2041" s="8">
        <v>7616901</v>
      </c>
    </row>
    <row r="2042" spans="1:5" x14ac:dyDescent="0.5">
      <c r="A2042" s="7">
        <v>7616942</v>
      </c>
      <c r="B2042" s="8" t="s">
        <v>1337</v>
      </c>
      <c r="C2042" s="8">
        <v>536</v>
      </c>
      <c r="D2042" s="8" t="s">
        <v>1338</v>
      </c>
      <c r="E2042" s="9">
        <v>7616942</v>
      </c>
    </row>
    <row r="2043" spans="1:5" x14ac:dyDescent="0.5">
      <c r="A2043" s="7">
        <v>7616980</v>
      </c>
      <c r="B2043" s="8" t="s">
        <v>1341</v>
      </c>
      <c r="C2043" s="8">
        <v>538</v>
      </c>
      <c r="D2043" s="8" t="s">
        <v>1342</v>
      </c>
      <c r="E2043" s="9">
        <v>7616980</v>
      </c>
    </row>
    <row r="2044" spans="1:5" x14ac:dyDescent="0.5">
      <c r="A2044" s="7">
        <v>7616990</v>
      </c>
      <c r="B2044" s="8" t="s">
        <v>1343</v>
      </c>
      <c r="C2044" s="8">
        <v>539</v>
      </c>
      <c r="D2044" s="8" t="s">
        <v>1344</v>
      </c>
      <c r="E2044" s="8">
        <v>7616990</v>
      </c>
    </row>
    <row r="2045" spans="1:5" x14ac:dyDescent="0.5">
      <c r="A2045" s="7">
        <v>7617010</v>
      </c>
      <c r="B2045" s="8" t="s">
        <v>1345</v>
      </c>
      <c r="C2045" s="8">
        <v>540</v>
      </c>
      <c r="D2045" s="8" t="s">
        <v>1346</v>
      </c>
      <c r="E2045" s="8">
        <v>7617010</v>
      </c>
    </row>
    <row r="2046" spans="1:5" x14ac:dyDescent="0.5">
      <c r="A2046" s="7">
        <v>7617020</v>
      </c>
      <c r="B2046" s="8" t="s">
        <v>1347</v>
      </c>
      <c r="C2046" s="8">
        <v>541</v>
      </c>
      <c r="D2046" s="8" t="s">
        <v>1348</v>
      </c>
      <c r="E2046" s="9">
        <v>7617020</v>
      </c>
    </row>
    <row r="2047" spans="1:5" x14ac:dyDescent="0.5">
      <c r="A2047" s="7">
        <v>7617050</v>
      </c>
      <c r="B2047" s="8" t="s">
        <v>1351</v>
      </c>
      <c r="C2047" s="8">
        <v>544</v>
      </c>
      <c r="D2047" s="8" t="s">
        <v>1352</v>
      </c>
      <c r="E2047" s="8">
        <v>7617050</v>
      </c>
    </row>
    <row r="2048" spans="1:5" x14ac:dyDescent="0.5">
      <c r="A2048" s="7">
        <v>7617090</v>
      </c>
      <c r="B2048" s="8" t="s">
        <v>1357</v>
      </c>
      <c r="C2048" s="8">
        <v>547</v>
      </c>
      <c r="D2048" s="8" t="s">
        <v>1358</v>
      </c>
      <c r="E2048" s="8">
        <v>7617090</v>
      </c>
    </row>
    <row r="2049" spans="1:5" x14ac:dyDescent="0.5">
      <c r="A2049" s="7">
        <v>7617110</v>
      </c>
      <c r="B2049" s="8" t="s">
        <v>1359</v>
      </c>
      <c r="C2049" s="8">
        <v>548</v>
      </c>
      <c r="D2049" s="8" t="s">
        <v>1360</v>
      </c>
      <c r="E2049" s="8">
        <v>7617110</v>
      </c>
    </row>
    <row r="2050" spans="1:5" x14ac:dyDescent="0.5">
      <c r="A2050" s="7">
        <v>7617120</v>
      </c>
      <c r="B2050" s="8" t="s">
        <v>1361</v>
      </c>
      <c r="C2050" s="8">
        <v>549</v>
      </c>
      <c r="D2050" s="8" t="s">
        <v>1362</v>
      </c>
      <c r="E2050" s="8">
        <v>7617120</v>
      </c>
    </row>
    <row r="2051" spans="1:5" x14ac:dyDescent="0.5">
      <c r="A2051" s="7">
        <v>7617150</v>
      </c>
      <c r="B2051" s="8" t="s">
        <v>1363</v>
      </c>
      <c r="C2051" s="8">
        <v>552</v>
      </c>
      <c r="D2051" s="8" t="s">
        <v>1364</v>
      </c>
      <c r="E2051" s="8">
        <v>7617150</v>
      </c>
    </row>
    <row r="2052" spans="1:5" x14ac:dyDescent="0.5">
      <c r="A2052" s="7">
        <v>7617160</v>
      </c>
      <c r="B2052" s="8" t="s">
        <v>1495</v>
      </c>
      <c r="C2052" s="8">
        <v>553</v>
      </c>
      <c r="D2052" s="8" t="s">
        <v>1496</v>
      </c>
      <c r="E2052" s="9">
        <v>7617160</v>
      </c>
    </row>
    <row r="2053" spans="1:5" x14ac:dyDescent="0.5">
      <c r="A2053" s="7">
        <v>7617180</v>
      </c>
      <c r="B2053" s="8" t="s">
        <v>1497</v>
      </c>
      <c r="C2053" s="8">
        <v>554</v>
      </c>
      <c r="D2053" s="8" t="s">
        <v>1498</v>
      </c>
      <c r="E2053" s="9">
        <v>7617180</v>
      </c>
    </row>
    <row r="2054" spans="1:5" x14ac:dyDescent="0.5">
      <c r="A2054" s="7">
        <v>7617190</v>
      </c>
      <c r="B2054" s="8" t="s">
        <v>1499</v>
      </c>
      <c r="C2054" s="8">
        <v>555</v>
      </c>
      <c r="D2054" s="8" t="s">
        <v>1500</v>
      </c>
      <c r="E2054" s="9">
        <v>7617190</v>
      </c>
    </row>
    <row r="2055" spans="1:5" x14ac:dyDescent="0.5">
      <c r="A2055" s="7">
        <v>7617200</v>
      </c>
      <c r="B2055" s="8" t="s">
        <v>1501</v>
      </c>
      <c r="C2055" s="8">
        <v>556</v>
      </c>
      <c r="D2055" s="8" t="s">
        <v>1502</v>
      </c>
      <c r="E2055" s="9">
        <v>7617200</v>
      </c>
    </row>
    <row r="2056" spans="1:5" x14ac:dyDescent="0.5">
      <c r="A2056" s="7">
        <v>7617220</v>
      </c>
      <c r="B2056" s="8" t="s">
        <v>1503</v>
      </c>
      <c r="C2056" s="8">
        <v>557</v>
      </c>
      <c r="D2056" s="8" t="s">
        <v>1504</v>
      </c>
      <c r="E2056" s="9">
        <v>7617220</v>
      </c>
    </row>
    <row r="2057" spans="1:5" x14ac:dyDescent="0.5">
      <c r="A2057" s="7">
        <v>7617230</v>
      </c>
      <c r="B2057" s="8" t="s">
        <v>1505</v>
      </c>
      <c r="C2057" s="8">
        <v>558</v>
      </c>
      <c r="D2057" s="8" t="s">
        <v>1506</v>
      </c>
      <c r="E2057" s="10">
        <v>7617230</v>
      </c>
    </row>
    <row r="2058" spans="1:5" x14ac:dyDescent="0.5">
      <c r="A2058" s="7">
        <v>7617250</v>
      </c>
      <c r="B2058" s="8" t="s">
        <v>1507</v>
      </c>
      <c r="C2058" s="8">
        <v>559</v>
      </c>
      <c r="D2058" s="8" t="s">
        <v>1508</v>
      </c>
      <c r="E2058" s="9">
        <v>7617250</v>
      </c>
    </row>
    <row r="2059" spans="1:5" x14ac:dyDescent="0.5">
      <c r="A2059" s="7">
        <v>7617260</v>
      </c>
      <c r="B2059" s="8" t="s">
        <v>1509</v>
      </c>
      <c r="C2059" s="8">
        <v>560</v>
      </c>
      <c r="D2059" s="8" t="s">
        <v>1510</v>
      </c>
      <c r="E2059" s="9">
        <v>7617260</v>
      </c>
    </row>
    <row r="2060" spans="1:5" x14ac:dyDescent="0.5">
      <c r="A2060" s="7">
        <v>7617270</v>
      </c>
      <c r="B2060" s="8" t="s">
        <v>1511</v>
      </c>
      <c r="C2060" s="8">
        <v>561</v>
      </c>
      <c r="D2060" s="8" t="s">
        <v>1512</v>
      </c>
      <c r="E2060" s="9">
        <v>7617270</v>
      </c>
    </row>
    <row r="2061" spans="1:5" x14ac:dyDescent="0.5">
      <c r="A2061" s="7">
        <v>7617280</v>
      </c>
      <c r="B2061" s="8" t="s">
        <v>1513</v>
      </c>
      <c r="C2061" s="8">
        <v>562</v>
      </c>
      <c r="D2061" s="8" t="s">
        <v>1514</v>
      </c>
      <c r="E2061" s="9">
        <v>7617280</v>
      </c>
    </row>
    <row r="2062" spans="1:5" x14ac:dyDescent="0.5">
      <c r="A2062" s="7">
        <v>7617290</v>
      </c>
      <c r="B2062" s="8" t="s">
        <v>1515</v>
      </c>
      <c r="C2062" s="8">
        <v>563</v>
      </c>
      <c r="D2062" s="8" t="s">
        <v>1516</v>
      </c>
      <c r="E2062" s="9">
        <v>7617290</v>
      </c>
    </row>
    <row r="2063" spans="1:5" x14ac:dyDescent="0.5">
      <c r="A2063" s="7">
        <v>7617300</v>
      </c>
      <c r="B2063" s="8" t="s">
        <v>1517</v>
      </c>
      <c r="C2063" s="8">
        <v>564</v>
      </c>
      <c r="D2063" s="8" t="s">
        <v>1518</v>
      </c>
      <c r="E2063" s="10">
        <v>7617300</v>
      </c>
    </row>
    <row r="2064" spans="1:5" x14ac:dyDescent="0.5">
      <c r="A2064" s="7">
        <v>7617310</v>
      </c>
      <c r="B2064" s="8" t="s">
        <v>1519</v>
      </c>
      <c r="C2064" s="8">
        <v>565</v>
      </c>
      <c r="D2064" s="8" t="s">
        <v>1520</v>
      </c>
      <c r="E2064" s="9">
        <v>7617310</v>
      </c>
    </row>
    <row r="2065" spans="1:5" x14ac:dyDescent="0.5">
      <c r="A2065" s="7">
        <v>7617320</v>
      </c>
      <c r="B2065" s="8" t="s">
        <v>1440</v>
      </c>
      <c r="C2065" s="8">
        <v>100</v>
      </c>
      <c r="D2065" s="8" t="s">
        <v>578</v>
      </c>
      <c r="E2065" s="8" t="s">
        <v>579</v>
      </c>
    </row>
    <row r="2066" spans="1:5" x14ac:dyDescent="0.5">
      <c r="A2066" s="7">
        <v>7716012</v>
      </c>
      <c r="B2066" s="8" t="s">
        <v>1441</v>
      </c>
      <c r="C2066" s="8">
        <v>458</v>
      </c>
      <c r="D2066" s="8" t="s">
        <v>1442</v>
      </c>
      <c r="E2066" s="8">
        <v>7616012</v>
      </c>
    </row>
    <row r="2067" spans="1:5" x14ac:dyDescent="0.5">
      <c r="A2067" s="7">
        <v>7716030</v>
      </c>
      <c r="B2067" s="8" t="s">
        <v>1367</v>
      </c>
      <c r="C2067" s="8">
        <v>459</v>
      </c>
      <c r="D2067" s="8" t="s">
        <v>1368</v>
      </c>
      <c r="E2067" s="8">
        <v>7616030</v>
      </c>
    </row>
    <row r="2068" spans="1:5" x14ac:dyDescent="0.5">
      <c r="A2068" s="7">
        <v>7716042</v>
      </c>
      <c r="B2068" s="8" t="s">
        <v>1443</v>
      </c>
      <c r="C2068" s="8">
        <v>461</v>
      </c>
      <c r="D2068" s="8" t="s">
        <v>1444</v>
      </c>
      <c r="E2068" s="9">
        <v>7616042</v>
      </c>
    </row>
    <row r="2069" spans="1:5" x14ac:dyDescent="0.5">
      <c r="A2069" s="7">
        <v>7716070</v>
      </c>
      <c r="B2069" s="8" t="s">
        <v>1373</v>
      </c>
      <c r="C2069" s="8">
        <v>465</v>
      </c>
      <c r="D2069" s="8" t="s">
        <v>1374</v>
      </c>
      <c r="E2069" s="9">
        <v>7616070</v>
      </c>
    </row>
    <row r="2070" spans="1:5" x14ac:dyDescent="0.5">
      <c r="A2070" s="7">
        <v>7716102</v>
      </c>
      <c r="B2070" s="8" t="s">
        <v>1445</v>
      </c>
      <c r="C2070" s="8">
        <v>469</v>
      </c>
      <c r="D2070" s="8" t="s">
        <v>1446</v>
      </c>
      <c r="E2070" s="9">
        <v>7716102</v>
      </c>
    </row>
    <row r="2071" spans="1:5" x14ac:dyDescent="0.5">
      <c r="A2071" s="7">
        <v>7716430</v>
      </c>
      <c r="B2071" s="8" t="s">
        <v>1521</v>
      </c>
      <c r="C2071" s="8">
        <v>495</v>
      </c>
      <c r="D2071" s="8" t="s">
        <v>1456</v>
      </c>
      <c r="E2071" s="9">
        <v>7716430</v>
      </c>
    </row>
    <row r="2072" spans="1:5" x14ac:dyDescent="0.5">
      <c r="A2072" s="7">
        <v>7716440</v>
      </c>
      <c r="B2072" s="8" t="s">
        <v>1457</v>
      </c>
      <c r="C2072" s="8">
        <v>496</v>
      </c>
      <c r="D2072" s="8" t="s">
        <v>1458</v>
      </c>
      <c r="E2072" s="9">
        <v>7616440</v>
      </c>
    </row>
    <row r="2073" spans="1:5" x14ac:dyDescent="0.5">
      <c r="A2073" s="7">
        <v>7716460</v>
      </c>
      <c r="B2073" s="8" t="s">
        <v>1466</v>
      </c>
      <c r="C2073" s="8">
        <v>498</v>
      </c>
      <c r="D2073" s="8" t="s">
        <v>1467</v>
      </c>
      <c r="E2073" s="9">
        <v>7816460</v>
      </c>
    </row>
    <row r="2074" spans="1:5" x14ac:dyDescent="0.5">
      <c r="A2074" s="7">
        <v>7716481</v>
      </c>
      <c r="B2074" s="8" t="s">
        <v>1468</v>
      </c>
      <c r="C2074" s="8">
        <v>499</v>
      </c>
      <c r="D2074" s="8" t="s">
        <v>1462</v>
      </c>
      <c r="E2074" s="9">
        <v>7816481</v>
      </c>
    </row>
    <row r="2075" spans="1:5" x14ac:dyDescent="0.5">
      <c r="A2075" s="7">
        <v>7716500</v>
      </c>
      <c r="B2075" s="8" t="s">
        <v>1522</v>
      </c>
      <c r="C2075" s="8">
        <v>501</v>
      </c>
      <c r="D2075" s="8" t="s">
        <v>1523</v>
      </c>
      <c r="E2075" s="9">
        <v>7816500</v>
      </c>
    </row>
    <row r="2076" spans="1:5" x14ac:dyDescent="0.5">
      <c r="A2076" s="7">
        <v>7716520</v>
      </c>
      <c r="B2076" s="8" t="s">
        <v>1524</v>
      </c>
      <c r="C2076" s="8">
        <v>503</v>
      </c>
      <c r="D2076" s="8" t="s">
        <v>1525</v>
      </c>
      <c r="E2076" s="9">
        <v>7816520</v>
      </c>
    </row>
    <row r="2077" spans="1:5" x14ac:dyDescent="0.5">
      <c r="A2077" s="7">
        <v>7716530</v>
      </c>
      <c r="B2077" s="8" t="s">
        <v>1526</v>
      </c>
      <c r="C2077" s="8">
        <v>504</v>
      </c>
      <c r="D2077" s="8" t="s">
        <v>1527</v>
      </c>
      <c r="E2077" s="9">
        <v>7816530</v>
      </c>
    </row>
    <row r="2078" spans="1:5" x14ac:dyDescent="0.5">
      <c r="A2078" s="7">
        <v>7716540</v>
      </c>
      <c r="B2078" s="8" t="s">
        <v>1486</v>
      </c>
      <c r="C2078" s="8">
        <v>505</v>
      </c>
      <c r="D2078" s="8" t="s">
        <v>1487</v>
      </c>
      <c r="E2078" s="9">
        <v>7616540</v>
      </c>
    </row>
    <row r="2079" spans="1:5" x14ac:dyDescent="0.5">
      <c r="A2079" s="7">
        <v>7716550</v>
      </c>
      <c r="B2079" s="8" t="s">
        <v>1528</v>
      </c>
      <c r="C2079" s="8">
        <v>506</v>
      </c>
      <c r="D2079" s="8" t="s">
        <v>589</v>
      </c>
      <c r="E2079" s="9">
        <v>7816550</v>
      </c>
    </row>
    <row r="2080" spans="1:5" x14ac:dyDescent="0.5">
      <c r="A2080" s="7">
        <v>7716560</v>
      </c>
      <c r="B2080" s="8" t="s">
        <v>1529</v>
      </c>
      <c r="C2080" s="8">
        <v>507</v>
      </c>
      <c r="D2080" s="8" t="s">
        <v>1530</v>
      </c>
      <c r="E2080" s="9">
        <v>7716560</v>
      </c>
    </row>
    <row r="2081" spans="1:5" x14ac:dyDescent="0.5">
      <c r="A2081" s="7">
        <v>7716590</v>
      </c>
      <c r="B2081" s="8" t="s">
        <v>1469</v>
      </c>
      <c r="C2081" s="8">
        <v>509</v>
      </c>
      <c r="D2081" s="8" t="s">
        <v>1470</v>
      </c>
      <c r="E2081" s="9">
        <v>7816590</v>
      </c>
    </row>
    <row r="2082" spans="1:5" x14ac:dyDescent="0.5">
      <c r="A2082" s="7">
        <v>7716600</v>
      </c>
      <c r="B2082" s="8" t="s">
        <v>1488</v>
      </c>
      <c r="C2082" s="8">
        <v>510</v>
      </c>
      <c r="D2082" s="8" t="s">
        <v>1472</v>
      </c>
      <c r="E2082" s="9">
        <v>7616600</v>
      </c>
    </row>
    <row r="2083" spans="1:5" x14ac:dyDescent="0.5">
      <c r="A2083" s="7">
        <v>7716610</v>
      </c>
      <c r="B2083" s="8" t="s">
        <v>1531</v>
      </c>
      <c r="C2083" s="8">
        <v>511</v>
      </c>
      <c r="D2083" s="8" t="s">
        <v>1532</v>
      </c>
      <c r="E2083" s="9">
        <v>7816610</v>
      </c>
    </row>
    <row r="2084" spans="1:5" x14ac:dyDescent="0.5">
      <c r="A2084" s="7">
        <v>7716620</v>
      </c>
      <c r="B2084" s="8" t="s">
        <v>1533</v>
      </c>
      <c r="C2084" s="8">
        <v>512</v>
      </c>
      <c r="D2084" s="8" t="s">
        <v>1534</v>
      </c>
      <c r="E2084" s="9">
        <v>7816620</v>
      </c>
    </row>
    <row r="2085" spans="1:5" x14ac:dyDescent="0.5">
      <c r="A2085" s="7">
        <v>7716630</v>
      </c>
      <c r="B2085" s="8" t="s">
        <v>1489</v>
      </c>
      <c r="C2085" s="8">
        <v>513</v>
      </c>
      <c r="D2085" s="8" t="s">
        <v>1490</v>
      </c>
      <c r="E2085" s="9">
        <v>7616630</v>
      </c>
    </row>
    <row r="2086" spans="1:5" x14ac:dyDescent="0.5">
      <c r="A2086" s="7">
        <v>7716650</v>
      </c>
      <c r="B2086" s="8" t="s">
        <v>1535</v>
      </c>
      <c r="C2086" s="8">
        <v>514</v>
      </c>
      <c r="D2086" s="8" t="s">
        <v>1536</v>
      </c>
      <c r="E2086" s="9">
        <v>7816650</v>
      </c>
    </row>
    <row r="2087" spans="1:5" x14ac:dyDescent="0.5">
      <c r="A2087" s="7">
        <v>7716680</v>
      </c>
      <c r="B2087" s="8" t="s">
        <v>1473</v>
      </c>
      <c r="C2087" s="8">
        <v>515</v>
      </c>
      <c r="D2087" s="8" t="s">
        <v>1474</v>
      </c>
      <c r="E2087" s="9">
        <v>7616680</v>
      </c>
    </row>
    <row r="2088" spans="1:5" x14ac:dyDescent="0.5">
      <c r="A2088" s="7">
        <v>7716730</v>
      </c>
      <c r="B2088" s="8" t="s">
        <v>1475</v>
      </c>
      <c r="C2088" s="8">
        <v>518</v>
      </c>
      <c r="D2088" s="8" t="s">
        <v>1476</v>
      </c>
      <c r="E2088" s="9">
        <v>7816730</v>
      </c>
    </row>
    <row r="2089" spans="1:5" x14ac:dyDescent="0.5">
      <c r="A2089" s="7">
        <v>7716760</v>
      </c>
      <c r="B2089" s="8" t="s">
        <v>1477</v>
      </c>
      <c r="C2089" s="8">
        <v>519</v>
      </c>
      <c r="D2089" s="8" t="s">
        <v>1478</v>
      </c>
      <c r="E2089" s="9">
        <v>7716760</v>
      </c>
    </row>
    <row r="2090" spans="1:5" x14ac:dyDescent="0.5">
      <c r="A2090" s="7">
        <v>7716790</v>
      </c>
      <c r="B2090" s="8" t="s">
        <v>1463</v>
      </c>
      <c r="C2090" s="8">
        <v>521</v>
      </c>
      <c r="D2090" s="8" t="s">
        <v>1464</v>
      </c>
      <c r="E2090" s="9">
        <v>7616790</v>
      </c>
    </row>
    <row r="2091" spans="1:5" x14ac:dyDescent="0.5">
      <c r="A2091" s="7">
        <v>7716800</v>
      </c>
      <c r="B2091" s="8" t="s">
        <v>1537</v>
      </c>
      <c r="C2091" s="8">
        <v>522</v>
      </c>
      <c r="D2091" s="8" t="s">
        <v>619</v>
      </c>
      <c r="E2091" s="9">
        <v>7816800</v>
      </c>
    </row>
    <row r="2092" spans="1:5" x14ac:dyDescent="0.5">
      <c r="A2092" s="7">
        <v>7716810</v>
      </c>
      <c r="B2092" s="8" t="s">
        <v>1538</v>
      </c>
      <c r="C2092" s="8">
        <v>523</v>
      </c>
      <c r="D2092" s="8" t="s">
        <v>1539</v>
      </c>
      <c r="E2092" s="9">
        <v>7816810</v>
      </c>
    </row>
    <row r="2093" spans="1:5" x14ac:dyDescent="0.5">
      <c r="A2093" s="7">
        <v>7816430</v>
      </c>
      <c r="B2093" s="8" t="s">
        <v>1465</v>
      </c>
      <c r="C2093" s="8">
        <v>495</v>
      </c>
      <c r="D2093" s="8" t="s">
        <v>1456</v>
      </c>
      <c r="E2093" s="9">
        <v>7716430</v>
      </c>
    </row>
    <row r="2094" spans="1:5" x14ac:dyDescent="0.5">
      <c r="A2094" s="7">
        <v>7816440</v>
      </c>
      <c r="B2094" s="8" t="s">
        <v>1457</v>
      </c>
      <c r="C2094" s="8">
        <v>496</v>
      </c>
      <c r="D2094" s="8" t="s">
        <v>1458</v>
      </c>
      <c r="E2094" s="9">
        <v>7616440</v>
      </c>
    </row>
    <row r="2095" spans="1:5" x14ac:dyDescent="0.5">
      <c r="A2095" s="7">
        <v>7816460</v>
      </c>
      <c r="B2095" s="8" t="s">
        <v>1466</v>
      </c>
      <c r="C2095" s="8">
        <v>498</v>
      </c>
      <c r="D2095" s="8" t="s">
        <v>1467</v>
      </c>
      <c r="E2095" s="9">
        <v>7816460</v>
      </c>
    </row>
    <row r="2096" spans="1:5" x14ac:dyDescent="0.5">
      <c r="A2096" s="7">
        <v>7816481</v>
      </c>
      <c r="B2096" s="8" t="s">
        <v>1468</v>
      </c>
      <c r="C2096" s="8">
        <v>499</v>
      </c>
      <c r="D2096" s="8" t="s">
        <v>1462</v>
      </c>
      <c r="E2096" s="9">
        <v>7816481</v>
      </c>
    </row>
    <row r="2097" spans="1:5" x14ac:dyDescent="0.5">
      <c r="A2097" s="7">
        <v>7816482</v>
      </c>
      <c r="B2097" s="8" t="s">
        <v>1540</v>
      </c>
      <c r="C2097" s="8">
        <v>500</v>
      </c>
      <c r="D2097" s="8" t="s">
        <v>1541</v>
      </c>
      <c r="E2097" s="9">
        <v>7816482</v>
      </c>
    </row>
    <row r="2098" spans="1:5" x14ac:dyDescent="0.5">
      <c r="A2098" s="7">
        <v>7816500</v>
      </c>
      <c r="B2098" s="8" t="s">
        <v>1522</v>
      </c>
      <c r="C2098" s="8">
        <v>501</v>
      </c>
      <c r="D2098" s="8" t="s">
        <v>1523</v>
      </c>
      <c r="E2098" s="9">
        <v>7816500</v>
      </c>
    </row>
    <row r="2099" spans="1:5" x14ac:dyDescent="0.5">
      <c r="A2099" s="7">
        <v>7816520</v>
      </c>
      <c r="B2099" s="8" t="s">
        <v>1524</v>
      </c>
      <c r="C2099" s="8">
        <v>503</v>
      </c>
      <c r="D2099" s="8" t="s">
        <v>1525</v>
      </c>
      <c r="E2099" s="9">
        <v>7816520</v>
      </c>
    </row>
    <row r="2100" spans="1:5" x14ac:dyDescent="0.5">
      <c r="A2100" s="7">
        <v>7816530</v>
      </c>
      <c r="B2100" s="8" t="s">
        <v>1526</v>
      </c>
      <c r="C2100" s="8">
        <v>504</v>
      </c>
      <c r="D2100" s="8" t="s">
        <v>1527</v>
      </c>
      <c r="E2100" s="9">
        <v>7816530</v>
      </c>
    </row>
    <row r="2101" spans="1:5" x14ac:dyDescent="0.5">
      <c r="A2101" s="7">
        <v>7816540</v>
      </c>
      <c r="B2101" s="8" t="s">
        <v>1486</v>
      </c>
      <c r="C2101" s="8">
        <v>505</v>
      </c>
      <c r="D2101" s="8" t="s">
        <v>1487</v>
      </c>
      <c r="E2101" s="9">
        <v>7616540</v>
      </c>
    </row>
    <row r="2102" spans="1:5" x14ac:dyDescent="0.5">
      <c r="A2102" s="7">
        <v>7816550</v>
      </c>
      <c r="B2102" s="8" t="s">
        <v>1528</v>
      </c>
      <c r="C2102" s="8">
        <v>506</v>
      </c>
      <c r="D2102" s="8" t="s">
        <v>589</v>
      </c>
      <c r="E2102" s="9">
        <v>7816550</v>
      </c>
    </row>
    <row r="2103" spans="1:5" x14ac:dyDescent="0.5">
      <c r="A2103" s="7">
        <v>7816570</v>
      </c>
      <c r="B2103" s="8" t="s">
        <v>1542</v>
      </c>
      <c r="C2103" s="8">
        <v>508</v>
      </c>
      <c r="D2103" s="8" t="s">
        <v>1543</v>
      </c>
      <c r="E2103" s="9">
        <v>7816570</v>
      </c>
    </row>
    <row r="2104" spans="1:5" x14ac:dyDescent="0.5">
      <c r="A2104" s="7">
        <v>7816590</v>
      </c>
      <c r="B2104" s="8" t="s">
        <v>1469</v>
      </c>
      <c r="C2104" s="8">
        <v>509</v>
      </c>
      <c r="D2104" s="8" t="s">
        <v>1470</v>
      </c>
      <c r="E2104" s="9">
        <v>7816590</v>
      </c>
    </row>
    <row r="2105" spans="1:5" x14ac:dyDescent="0.5">
      <c r="A2105" s="7">
        <v>7816600</v>
      </c>
      <c r="B2105" s="8" t="s">
        <v>1488</v>
      </c>
      <c r="C2105" s="8">
        <v>510</v>
      </c>
      <c r="D2105" s="8" t="s">
        <v>1472</v>
      </c>
      <c r="E2105" s="9">
        <v>7616600</v>
      </c>
    </row>
    <row r="2106" spans="1:5" x14ac:dyDescent="0.5">
      <c r="A2106" s="7">
        <v>7816610</v>
      </c>
      <c r="B2106" s="8" t="s">
        <v>1531</v>
      </c>
      <c r="C2106" s="8">
        <v>511</v>
      </c>
      <c r="D2106" s="8" t="s">
        <v>1532</v>
      </c>
      <c r="E2106" s="9">
        <v>7816610</v>
      </c>
    </row>
    <row r="2107" spans="1:5" x14ac:dyDescent="0.5">
      <c r="A2107" s="7">
        <v>7816620</v>
      </c>
      <c r="B2107" s="8" t="s">
        <v>1533</v>
      </c>
      <c r="C2107" s="8">
        <v>512</v>
      </c>
      <c r="D2107" s="8" t="s">
        <v>1534</v>
      </c>
      <c r="E2107" s="9">
        <v>7816620</v>
      </c>
    </row>
    <row r="2108" spans="1:5" x14ac:dyDescent="0.5">
      <c r="A2108" s="7">
        <v>7816630</v>
      </c>
      <c r="B2108" s="8" t="s">
        <v>1489</v>
      </c>
      <c r="C2108" s="8">
        <v>513</v>
      </c>
      <c r="D2108" s="8" t="s">
        <v>1490</v>
      </c>
      <c r="E2108" s="9">
        <v>7616630</v>
      </c>
    </row>
    <row r="2109" spans="1:5" x14ac:dyDescent="0.5">
      <c r="A2109" s="7">
        <v>7816650</v>
      </c>
      <c r="B2109" s="8" t="s">
        <v>1535</v>
      </c>
      <c r="C2109" s="8">
        <v>514</v>
      </c>
      <c r="D2109" s="8" t="s">
        <v>1536</v>
      </c>
      <c r="E2109" s="9">
        <v>7816650</v>
      </c>
    </row>
    <row r="2110" spans="1:5" x14ac:dyDescent="0.5">
      <c r="A2110" s="7">
        <v>7816680</v>
      </c>
      <c r="B2110" s="8" t="s">
        <v>1473</v>
      </c>
      <c r="C2110" s="8">
        <v>515</v>
      </c>
      <c r="D2110" s="8" t="s">
        <v>1474</v>
      </c>
      <c r="E2110" s="9">
        <v>7616680</v>
      </c>
    </row>
    <row r="2111" spans="1:5" x14ac:dyDescent="0.5">
      <c r="A2111" s="7">
        <v>7816730</v>
      </c>
      <c r="B2111" s="8" t="s">
        <v>1475</v>
      </c>
      <c r="C2111" s="8">
        <v>518</v>
      </c>
      <c r="D2111" s="8" t="s">
        <v>1476</v>
      </c>
      <c r="E2111" s="9">
        <v>7816730</v>
      </c>
    </row>
    <row r="2112" spans="1:5" x14ac:dyDescent="0.5">
      <c r="A2112" s="7">
        <v>7816800</v>
      </c>
      <c r="B2112" s="8" t="s">
        <v>1537</v>
      </c>
      <c r="C2112" s="8">
        <v>522</v>
      </c>
      <c r="D2112" s="8" t="s">
        <v>619</v>
      </c>
      <c r="E2112" s="9">
        <v>7816800</v>
      </c>
    </row>
    <row r="2113" spans="1:5" x14ac:dyDescent="0.5">
      <c r="A2113" s="7">
        <v>7816810</v>
      </c>
      <c r="B2113" s="8" t="s">
        <v>1538</v>
      </c>
      <c r="C2113" s="8">
        <v>523</v>
      </c>
      <c r="D2113" s="8" t="s">
        <v>1539</v>
      </c>
      <c r="E2113" s="9">
        <v>7816810</v>
      </c>
    </row>
    <row r="2114" spans="1:5" x14ac:dyDescent="0.5">
      <c r="A2114" s="7">
        <v>9813230</v>
      </c>
      <c r="B2114" s="8" t="s">
        <v>971</v>
      </c>
      <c r="C2114" s="8">
        <v>295</v>
      </c>
      <c r="D2114" s="8" t="s">
        <v>972</v>
      </c>
      <c r="E2114" s="8">
        <v>3713230</v>
      </c>
    </row>
    <row r="2115" spans="1:5" x14ac:dyDescent="0.5">
      <c r="A2115" s="7">
        <v>9813390</v>
      </c>
      <c r="B2115" s="8" t="s">
        <v>1018</v>
      </c>
      <c r="C2115" s="8">
        <v>307</v>
      </c>
      <c r="D2115" s="8" t="s">
        <v>1019</v>
      </c>
      <c r="E2115" s="8">
        <v>3613390</v>
      </c>
    </row>
    <row r="2116" spans="1:5" x14ac:dyDescent="0.5">
      <c r="A2116" s="7">
        <v>9813480</v>
      </c>
      <c r="B2116" s="8" t="s">
        <v>1043</v>
      </c>
      <c r="C2116" s="8">
        <v>316</v>
      </c>
      <c r="D2116" s="8" t="s">
        <v>1044</v>
      </c>
      <c r="E2116" s="8">
        <v>3713480</v>
      </c>
    </row>
    <row r="2117" spans="1:5" x14ac:dyDescent="0.5">
      <c r="A2117" s="7">
        <v>9813710</v>
      </c>
      <c r="B2117" s="8" t="s">
        <v>979</v>
      </c>
      <c r="C2117" s="8">
        <v>339</v>
      </c>
      <c r="D2117" s="8" t="s">
        <v>980</v>
      </c>
      <c r="E2117" s="8">
        <v>3713710</v>
      </c>
    </row>
    <row r="2118" spans="1:5" x14ac:dyDescent="0.5">
      <c r="A2118" s="7">
        <v>9813840</v>
      </c>
      <c r="B2118" s="8" t="s">
        <v>1544</v>
      </c>
      <c r="C2118" s="8">
        <v>348</v>
      </c>
      <c r="D2118" s="8" t="s">
        <v>1231</v>
      </c>
      <c r="E2118" s="8">
        <v>5513800</v>
      </c>
    </row>
    <row r="2119" spans="1:5" x14ac:dyDescent="0.5">
      <c r="A2119" s="7">
        <v>9814340</v>
      </c>
      <c r="B2119" s="8" t="s">
        <v>1020</v>
      </c>
      <c r="C2119" s="8">
        <v>386</v>
      </c>
      <c r="D2119" s="8" t="s">
        <v>1021</v>
      </c>
      <c r="E2119" s="8">
        <v>3614340</v>
      </c>
    </row>
    <row r="2120" spans="1:5" x14ac:dyDescent="0.5">
      <c r="A2120" s="7">
        <v>9814510</v>
      </c>
      <c r="B2120" s="8" t="s">
        <v>1051</v>
      </c>
      <c r="C2120" s="8">
        <v>397</v>
      </c>
      <c r="D2120" s="8" t="s">
        <v>1052</v>
      </c>
      <c r="E2120" s="8">
        <v>5514500</v>
      </c>
    </row>
    <row r="2121" spans="1:5" x14ac:dyDescent="0.5">
      <c r="A2121" s="7">
        <v>9814580</v>
      </c>
      <c r="B2121" s="8" t="s">
        <v>1053</v>
      </c>
      <c r="C2121" s="8">
        <v>402</v>
      </c>
      <c r="D2121" s="8" t="s">
        <v>1054</v>
      </c>
      <c r="E2121" s="8">
        <v>3714580</v>
      </c>
    </row>
    <row r="2122" spans="1:5" x14ac:dyDescent="0.5">
      <c r="A2122" s="7">
        <v>9814730</v>
      </c>
      <c r="B2122" s="8" t="s">
        <v>991</v>
      </c>
      <c r="C2122" s="8">
        <v>418</v>
      </c>
      <c r="D2122" s="8" t="s">
        <v>1135</v>
      </c>
      <c r="E2122" s="8">
        <v>4514730</v>
      </c>
    </row>
    <row r="2123" spans="1:5" x14ac:dyDescent="0.5">
      <c r="A2123" s="7">
        <v>9814740</v>
      </c>
      <c r="B2123" s="8" t="s">
        <v>993</v>
      </c>
      <c r="C2123" s="8">
        <v>420</v>
      </c>
      <c r="D2123" s="8" t="s">
        <v>994</v>
      </c>
      <c r="E2123" s="8">
        <v>4414740</v>
      </c>
    </row>
    <row r="2124" spans="1:5" x14ac:dyDescent="0.5">
      <c r="A2124" s="7">
        <v>9814800</v>
      </c>
      <c r="B2124" s="8" t="s">
        <v>1037</v>
      </c>
      <c r="C2124" s="8">
        <v>427</v>
      </c>
      <c r="D2124" s="8" t="s">
        <v>1038</v>
      </c>
      <c r="E2124" s="8">
        <v>5514800</v>
      </c>
    </row>
    <row r="2125" spans="1:5" x14ac:dyDescent="0.5">
      <c r="A2125" s="7">
        <v>9814900</v>
      </c>
      <c r="B2125" s="8" t="s">
        <v>1041</v>
      </c>
      <c r="C2125" s="8">
        <v>435</v>
      </c>
      <c r="D2125" s="8" t="s">
        <v>1042</v>
      </c>
      <c r="E2125" s="8">
        <v>5814900</v>
      </c>
    </row>
    <row r="2126" spans="1:5" x14ac:dyDescent="0.5">
      <c r="A2126" s="7">
        <v>9814980</v>
      </c>
      <c r="B2126" s="8" t="s">
        <v>1300</v>
      </c>
      <c r="C2126" s="8">
        <v>100</v>
      </c>
      <c r="D2126" s="8" t="s">
        <v>578</v>
      </c>
      <c r="E2126" s="8" t="s">
        <v>579</v>
      </c>
    </row>
    <row r="2127" spans="1:5" x14ac:dyDescent="0.5">
      <c r="A2127" s="7">
        <v>9913280</v>
      </c>
      <c r="B2127" s="8" t="s">
        <v>1143</v>
      </c>
      <c r="C2127" s="8">
        <v>301</v>
      </c>
      <c r="D2127" s="8" t="s">
        <v>1144</v>
      </c>
      <c r="E2127" s="8">
        <v>4613300</v>
      </c>
    </row>
    <row r="2128" spans="1:5" x14ac:dyDescent="0.5">
      <c r="A2128" s="7">
        <v>9913290</v>
      </c>
      <c r="B2128" s="8" t="s">
        <v>1129</v>
      </c>
      <c r="C2128" s="8">
        <v>300</v>
      </c>
      <c r="D2128" s="8" t="s">
        <v>1130</v>
      </c>
      <c r="E2128" s="8">
        <v>4513290</v>
      </c>
    </row>
    <row r="2129" spans="1:5" x14ac:dyDescent="0.5">
      <c r="A2129" s="7">
        <v>9913300</v>
      </c>
      <c r="B2129" s="8" t="s">
        <v>1145</v>
      </c>
      <c r="C2129" s="8">
        <v>301</v>
      </c>
      <c r="D2129" s="8" t="s">
        <v>1144</v>
      </c>
      <c r="E2129" s="8">
        <v>4613300</v>
      </c>
    </row>
    <row r="2130" spans="1:5" x14ac:dyDescent="0.5">
      <c r="A2130" s="7">
        <v>9913490</v>
      </c>
      <c r="B2130" s="8" t="s">
        <v>1146</v>
      </c>
      <c r="C2130" s="8">
        <v>315</v>
      </c>
      <c r="D2130" s="8" t="s">
        <v>1147</v>
      </c>
      <c r="E2130" s="8">
        <v>5513470</v>
      </c>
    </row>
    <row r="2131" spans="1:5" x14ac:dyDescent="0.5">
      <c r="A2131" s="7">
        <v>9913560</v>
      </c>
      <c r="B2131" s="8" t="s">
        <v>1228</v>
      </c>
      <c r="C2131" s="8">
        <v>322</v>
      </c>
      <c r="D2131" s="8" t="s">
        <v>1229</v>
      </c>
      <c r="E2131" s="8">
        <v>5513560</v>
      </c>
    </row>
    <row r="2132" spans="1:5" x14ac:dyDescent="0.5">
      <c r="A2132" s="7">
        <v>9913570</v>
      </c>
      <c r="B2132" s="8" t="s">
        <v>1150</v>
      </c>
      <c r="C2132" s="8">
        <v>323</v>
      </c>
      <c r="D2132" s="8" t="s">
        <v>1142</v>
      </c>
      <c r="E2132" s="8">
        <v>5513570</v>
      </c>
    </row>
    <row r="2133" spans="1:5" x14ac:dyDescent="0.5">
      <c r="A2133" s="7">
        <v>9913720</v>
      </c>
      <c r="B2133" s="8" t="s">
        <v>1153</v>
      </c>
      <c r="C2133" s="8">
        <v>340</v>
      </c>
      <c r="D2133" s="8" t="s">
        <v>1154</v>
      </c>
      <c r="E2133" s="8">
        <v>4613720</v>
      </c>
    </row>
    <row r="2134" spans="1:5" x14ac:dyDescent="0.5">
      <c r="A2134" s="7">
        <v>9913800</v>
      </c>
      <c r="B2134" s="8" t="s">
        <v>1230</v>
      </c>
      <c r="C2134" s="8">
        <v>348</v>
      </c>
      <c r="D2134" s="8" t="s">
        <v>1231</v>
      </c>
      <c r="E2134" s="8">
        <v>5513800</v>
      </c>
    </row>
    <row r="2135" spans="1:5" x14ac:dyDescent="0.5">
      <c r="A2135" s="7">
        <v>9914350</v>
      </c>
      <c r="B2135" s="8" t="s">
        <v>1545</v>
      </c>
      <c r="C2135" s="8">
        <v>387</v>
      </c>
      <c r="D2135" s="8" t="s">
        <v>1546</v>
      </c>
      <c r="E2135" s="8">
        <v>5514350</v>
      </c>
    </row>
    <row r="2136" spans="1:5" x14ac:dyDescent="0.5">
      <c r="A2136" s="7">
        <v>9914540</v>
      </c>
      <c r="B2136" s="8" t="s">
        <v>1238</v>
      </c>
      <c r="C2136" s="8">
        <v>397</v>
      </c>
      <c r="D2136" s="8" t="s">
        <v>1052</v>
      </c>
      <c r="E2136" s="8">
        <v>5514500</v>
      </c>
    </row>
    <row r="2137" spans="1:5" x14ac:dyDescent="0.5">
      <c r="A2137" s="7">
        <v>9914550</v>
      </c>
      <c r="B2137" s="8" t="s">
        <v>1157</v>
      </c>
      <c r="C2137" s="8">
        <v>399</v>
      </c>
      <c r="D2137" s="8" t="s">
        <v>1158</v>
      </c>
      <c r="E2137" s="8">
        <v>4614550</v>
      </c>
    </row>
    <row r="2138" spans="1:5" x14ac:dyDescent="0.5">
      <c r="A2138" s="7">
        <v>9914600</v>
      </c>
      <c r="B2138" s="8" t="s">
        <v>1239</v>
      </c>
      <c r="C2138" s="8">
        <v>403</v>
      </c>
      <c r="D2138" s="8" t="s">
        <v>1240</v>
      </c>
      <c r="E2138" s="8">
        <v>5614600</v>
      </c>
    </row>
    <row r="2139" spans="1:5" x14ac:dyDescent="0.5">
      <c r="A2139" s="7">
        <v>9914610</v>
      </c>
      <c r="B2139" s="8" t="s">
        <v>1159</v>
      </c>
      <c r="C2139" s="8">
        <v>404</v>
      </c>
      <c r="D2139" s="8" t="s">
        <v>1160</v>
      </c>
      <c r="E2139" s="8">
        <v>5514610</v>
      </c>
    </row>
    <row r="2140" spans="1:5" x14ac:dyDescent="0.5">
      <c r="A2140" s="7">
        <v>9914680</v>
      </c>
      <c r="B2140" s="8" t="s">
        <v>1161</v>
      </c>
      <c r="C2140" s="8">
        <v>408</v>
      </c>
      <c r="D2140" s="8" t="s">
        <v>1162</v>
      </c>
      <c r="E2140" s="8">
        <v>5814680</v>
      </c>
    </row>
    <row r="2141" spans="1:5" x14ac:dyDescent="0.5">
      <c r="A2141" s="7">
        <v>9914730</v>
      </c>
      <c r="B2141" s="8" t="s">
        <v>991</v>
      </c>
      <c r="C2141" s="8">
        <v>418</v>
      </c>
      <c r="D2141" s="8" t="s">
        <v>1135</v>
      </c>
      <c r="E2141" s="8">
        <v>4514730</v>
      </c>
    </row>
    <row r="2142" spans="1:5" x14ac:dyDescent="0.5">
      <c r="A2142" s="7">
        <v>9914740</v>
      </c>
      <c r="B2142" s="8" t="s">
        <v>993</v>
      </c>
      <c r="C2142" s="8">
        <v>421</v>
      </c>
      <c r="D2142" s="8" t="s">
        <v>1163</v>
      </c>
      <c r="E2142" s="8">
        <v>4614740</v>
      </c>
    </row>
    <row r="2143" spans="1:5" x14ac:dyDescent="0.5">
      <c r="A2143" s="7">
        <v>9914800</v>
      </c>
      <c r="B2143" s="8" t="s">
        <v>1037</v>
      </c>
      <c r="C2143" s="8">
        <v>427</v>
      </c>
      <c r="D2143" s="8" t="s">
        <v>1038</v>
      </c>
      <c r="E2143" s="8">
        <v>5514800</v>
      </c>
    </row>
    <row r="2144" spans="1:5" x14ac:dyDescent="0.5">
      <c r="A2144" s="7">
        <v>9914850</v>
      </c>
      <c r="B2144" s="8" t="s">
        <v>1241</v>
      </c>
      <c r="C2144" s="8">
        <v>432</v>
      </c>
      <c r="D2144" s="8" t="s">
        <v>1242</v>
      </c>
      <c r="E2144" s="8">
        <v>5514850</v>
      </c>
    </row>
    <row r="2145" spans="1:5" x14ac:dyDescent="0.5">
      <c r="A2145" s="7">
        <v>9914890</v>
      </c>
      <c r="B2145" s="8" t="s">
        <v>1243</v>
      </c>
      <c r="C2145" s="8">
        <v>434</v>
      </c>
      <c r="D2145" s="8" t="s">
        <v>1244</v>
      </c>
      <c r="E2145" s="8">
        <v>5514890</v>
      </c>
    </row>
    <row r="2146" spans="1:5" x14ac:dyDescent="0.5">
      <c r="A2146" s="7">
        <v>9914900</v>
      </c>
      <c r="B2146" s="8" t="s">
        <v>1041</v>
      </c>
      <c r="C2146" s="8">
        <v>435</v>
      </c>
      <c r="D2146" s="8" t="s">
        <v>1042</v>
      </c>
      <c r="E2146" s="8">
        <v>5814900</v>
      </c>
    </row>
    <row r="2147" spans="1:5" x14ac:dyDescent="0.5">
      <c r="A2147" s="7">
        <v>9914980</v>
      </c>
      <c r="B2147" s="8" t="s">
        <v>1300</v>
      </c>
      <c r="C2147" s="8">
        <v>100</v>
      </c>
      <c r="D2147" s="8" t="s">
        <v>578</v>
      </c>
      <c r="E2147" s="8" t="s">
        <v>579</v>
      </c>
    </row>
    <row r="2148" spans="1:5" x14ac:dyDescent="0.5">
      <c r="A2148" s="7" t="s">
        <v>1547</v>
      </c>
      <c r="B2148" s="8" t="s">
        <v>1548</v>
      </c>
      <c r="C2148" s="8" t="s">
        <v>1547</v>
      </c>
      <c r="D2148" s="8" t="s">
        <v>1548</v>
      </c>
      <c r="E2148" s="8" t="s">
        <v>1549</v>
      </c>
    </row>
    <row r="2149" spans="1:5" x14ac:dyDescent="0.5">
      <c r="A2149" s="7" t="s">
        <v>1547</v>
      </c>
      <c r="B2149" s="8" t="s">
        <v>1550</v>
      </c>
      <c r="C2149" s="8" t="s">
        <v>1547</v>
      </c>
      <c r="D2149" s="8" t="s">
        <v>1550</v>
      </c>
      <c r="E2149" s="8" t="s">
        <v>1549</v>
      </c>
    </row>
    <row r="2150" spans="1:5" x14ac:dyDescent="0.5">
      <c r="A2150" s="7" t="s">
        <v>1547</v>
      </c>
      <c r="B2150" s="8" t="s">
        <v>1551</v>
      </c>
      <c r="C2150" s="8" t="s">
        <v>1547</v>
      </c>
      <c r="D2150" s="8" t="s">
        <v>1551</v>
      </c>
      <c r="E2150" s="8" t="s">
        <v>1549</v>
      </c>
    </row>
    <row r="2151" spans="1:5" x14ac:dyDescent="0.5">
      <c r="A2151" s="7" t="s">
        <v>1547</v>
      </c>
      <c r="B2151" s="8" t="s">
        <v>1552</v>
      </c>
      <c r="C2151" s="8" t="s">
        <v>1547</v>
      </c>
      <c r="D2151" s="8" t="s">
        <v>1552</v>
      </c>
      <c r="E2151" s="8" t="s">
        <v>1549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A58CD-A157-421B-87B5-91592C836C66}">
  <dimension ref="A1:I247"/>
  <sheetViews>
    <sheetView topLeftCell="A105" workbookViewId="0">
      <selection activeCell="A127" sqref="A127"/>
    </sheetView>
  </sheetViews>
  <sheetFormatPr defaultRowHeight="14.35" x14ac:dyDescent="0.5"/>
  <cols>
    <col min="1" max="1" width="35" bestFit="1" customWidth="1"/>
    <col min="3" max="3" width="30.29296875" bestFit="1" customWidth="1"/>
    <col min="7" max="7" width="11.41015625" bestFit="1" customWidth="1"/>
  </cols>
  <sheetData>
    <row r="1" spans="1:7" ht="71.7" x14ac:dyDescent="0.5">
      <c r="A1" s="50" t="s">
        <v>291</v>
      </c>
      <c r="B1" s="39" t="s">
        <v>292</v>
      </c>
      <c r="C1" s="39" t="s">
        <v>293</v>
      </c>
      <c r="D1" s="48" t="s">
        <v>294</v>
      </c>
      <c r="E1" s="39" t="s">
        <v>295</v>
      </c>
      <c r="F1" s="39" t="s">
        <v>296</v>
      </c>
      <c r="G1" t="s">
        <v>297</v>
      </c>
    </row>
    <row r="2" spans="1:7" x14ac:dyDescent="0.5">
      <c r="A2" s="44" t="s">
        <v>23</v>
      </c>
      <c r="B2" s="20" t="str">
        <f t="shared" ref="B2:B35" si="0">LEFT(A2,4)</f>
        <v>LIDE</v>
      </c>
      <c r="C2" s="20" t="s">
        <v>10</v>
      </c>
      <c r="D2" s="46" t="s">
        <v>1553</v>
      </c>
      <c r="E2" s="20"/>
      <c r="F2">
        <v>2</v>
      </c>
      <c r="G2" t="s">
        <v>314</v>
      </c>
    </row>
    <row r="3" spans="1:7" x14ac:dyDescent="0.5">
      <c r="A3" s="44" t="s">
        <v>36</v>
      </c>
      <c r="B3" s="20" t="str">
        <f t="shared" si="0"/>
        <v>LIDE</v>
      </c>
      <c r="C3" s="20" t="s">
        <v>25</v>
      </c>
      <c r="D3" s="46" t="s">
        <v>1553</v>
      </c>
      <c r="E3" s="20"/>
      <c r="F3">
        <v>5</v>
      </c>
      <c r="G3" t="s">
        <v>314</v>
      </c>
    </row>
    <row r="4" spans="1:7" x14ac:dyDescent="0.5">
      <c r="A4" s="44" t="s">
        <v>144</v>
      </c>
      <c r="B4" s="20" t="str">
        <f t="shared" si="0"/>
        <v>ABCO</v>
      </c>
      <c r="C4" s="20" t="s">
        <v>106</v>
      </c>
      <c r="D4" s="46">
        <v>561</v>
      </c>
      <c r="E4" s="20" t="s">
        <v>302</v>
      </c>
      <c r="G4" t="s">
        <v>1554</v>
      </c>
    </row>
    <row r="5" spans="1:7" x14ac:dyDescent="0.5">
      <c r="A5" s="44" t="s">
        <v>282</v>
      </c>
      <c r="B5" s="20" t="str">
        <f t="shared" si="0"/>
        <v>ABAM</v>
      </c>
      <c r="C5" s="20" t="s">
        <v>280</v>
      </c>
      <c r="D5" s="46">
        <v>755</v>
      </c>
      <c r="E5" s="38" t="s">
        <v>180</v>
      </c>
      <c r="G5" t="s">
        <v>1555</v>
      </c>
    </row>
    <row r="6" spans="1:7" x14ac:dyDescent="0.5">
      <c r="A6" s="44" t="s">
        <v>283</v>
      </c>
      <c r="B6" s="20" t="str">
        <f t="shared" si="0"/>
        <v>ABAM</v>
      </c>
      <c r="C6" s="20" t="s">
        <v>280</v>
      </c>
      <c r="D6" s="46">
        <v>755</v>
      </c>
      <c r="E6" s="38" t="s">
        <v>180</v>
      </c>
      <c r="G6" t="s">
        <v>1555</v>
      </c>
    </row>
    <row r="7" spans="1:7" x14ac:dyDescent="0.5">
      <c r="A7" s="44" t="s">
        <v>284</v>
      </c>
      <c r="B7" s="20" t="str">
        <f t="shared" si="0"/>
        <v>ABAM</v>
      </c>
      <c r="C7" s="20" t="s">
        <v>280</v>
      </c>
      <c r="D7" s="46">
        <v>755</v>
      </c>
      <c r="E7" s="38" t="s">
        <v>180</v>
      </c>
      <c r="G7" t="s">
        <v>1555</v>
      </c>
    </row>
    <row r="8" spans="1:7" x14ac:dyDescent="0.5">
      <c r="A8" s="44" t="s">
        <v>285</v>
      </c>
      <c r="B8" s="20" t="str">
        <f t="shared" si="0"/>
        <v>ABAM</v>
      </c>
      <c r="C8" s="20" t="s">
        <v>280</v>
      </c>
      <c r="D8" s="46">
        <v>755</v>
      </c>
      <c r="E8" s="38" t="s">
        <v>180</v>
      </c>
      <c r="G8" t="s">
        <v>1555</v>
      </c>
    </row>
    <row r="9" spans="1:7" x14ac:dyDescent="0.5">
      <c r="A9" s="44" t="s">
        <v>1556</v>
      </c>
      <c r="B9" s="20" t="str">
        <f t="shared" si="0"/>
        <v>ABAM</v>
      </c>
      <c r="C9" s="20" t="s">
        <v>280</v>
      </c>
      <c r="D9" s="46">
        <v>755</v>
      </c>
      <c r="E9" s="38" t="s">
        <v>180</v>
      </c>
      <c r="G9" t="s">
        <v>1555</v>
      </c>
    </row>
    <row r="10" spans="1:7" x14ac:dyDescent="0.5">
      <c r="A10" s="44" t="s">
        <v>155</v>
      </c>
      <c r="B10" s="20" t="str">
        <f t="shared" si="0"/>
        <v>ABGR</v>
      </c>
      <c r="C10" s="20" t="s">
        <v>129</v>
      </c>
      <c r="D10" s="46">
        <v>750</v>
      </c>
      <c r="E10" s="38" t="s">
        <v>180</v>
      </c>
      <c r="G10" t="s">
        <v>1555</v>
      </c>
    </row>
    <row r="11" spans="1:7" x14ac:dyDescent="0.5">
      <c r="A11" s="44" t="s">
        <v>156</v>
      </c>
      <c r="B11" s="20" t="str">
        <f t="shared" si="0"/>
        <v>ABGR</v>
      </c>
      <c r="C11" s="20" t="s">
        <v>129</v>
      </c>
      <c r="D11" s="46">
        <v>750</v>
      </c>
      <c r="E11" s="38" t="s">
        <v>180</v>
      </c>
      <c r="G11" t="s">
        <v>1555</v>
      </c>
    </row>
    <row r="12" spans="1:7" x14ac:dyDescent="0.5">
      <c r="A12" s="44" t="s">
        <v>157</v>
      </c>
      <c r="B12" s="20" t="str">
        <f t="shared" si="0"/>
        <v>ABGR</v>
      </c>
      <c r="C12" s="20" t="s">
        <v>129</v>
      </c>
      <c r="D12" s="46">
        <v>750</v>
      </c>
      <c r="E12" s="38" t="s">
        <v>180</v>
      </c>
      <c r="G12" t="s">
        <v>1555</v>
      </c>
    </row>
    <row r="13" spans="1:7" x14ac:dyDescent="0.5">
      <c r="A13" s="44" t="s">
        <v>158</v>
      </c>
      <c r="B13" s="20" t="str">
        <f t="shared" si="0"/>
        <v>ABGR</v>
      </c>
      <c r="C13" s="20" t="s">
        <v>117</v>
      </c>
      <c r="D13" s="46">
        <v>750</v>
      </c>
      <c r="E13" s="38" t="s">
        <v>180</v>
      </c>
      <c r="G13" t="s">
        <v>1555</v>
      </c>
    </row>
    <row r="14" spans="1:7" x14ac:dyDescent="0.5">
      <c r="A14" s="44" t="s">
        <v>159</v>
      </c>
      <c r="B14" s="20" t="str">
        <f t="shared" si="0"/>
        <v>ABGR</v>
      </c>
      <c r="C14" s="20" t="s">
        <v>117</v>
      </c>
      <c r="D14" s="46">
        <v>750</v>
      </c>
      <c r="E14" s="38" t="s">
        <v>180</v>
      </c>
      <c r="G14" t="s">
        <v>1555</v>
      </c>
    </row>
    <row r="15" spans="1:7" x14ac:dyDescent="0.5">
      <c r="A15" s="44" t="s">
        <v>160</v>
      </c>
      <c r="B15" s="20" t="str">
        <f t="shared" si="0"/>
        <v>ABGR</v>
      </c>
      <c r="C15" s="20" t="s">
        <v>129</v>
      </c>
      <c r="D15" s="46">
        <v>750</v>
      </c>
      <c r="E15" s="38" t="s">
        <v>180</v>
      </c>
      <c r="G15" t="s">
        <v>1555</v>
      </c>
    </row>
    <row r="16" spans="1:7" x14ac:dyDescent="0.5">
      <c r="A16" s="44" t="s">
        <v>161</v>
      </c>
      <c r="B16" s="20" t="str">
        <f t="shared" si="0"/>
        <v>ABGR</v>
      </c>
      <c r="C16" s="20" t="s">
        <v>129</v>
      </c>
      <c r="D16" s="46">
        <v>750</v>
      </c>
      <c r="E16" s="38" t="s">
        <v>180</v>
      </c>
      <c r="G16" t="s">
        <v>1555</v>
      </c>
    </row>
    <row r="17" spans="1:7" x14ac:dyDescent="0.5">
      <c r="A17" s="44" t="s">
        <v>162</v>
      </c>
      <c r="B17" s="20" t="str">
        <f t="shared" si="0"/>
        <v>ABGR</v>
      </c>
      <c r="C17" s="20" t="s">
        <v>129</v>
      </c>
      <c r="D17" s="46">
        <v>750</v>
      </c>
      <c r="E17" s="38" t="s">
        <v>180</v>
      </c>
      <c r="G17" t="s">
        <v>1555</v>
      </c>
    </row>
    <row r="18" spans="1:7" x14ac:dyDescent="0.5">
      <c r="A18" s="44" t="s">
        <v>164</v>
      </c>
      <c r="B18" s="20" t="str">
        <f t="shared" si="0"/>
        <v>ABGR</v>
      </c>
      <c r="C18" s="20" t="s">
        <v>129</v>
      </c>
      <c r="D18" s="46">
        <v>750</v>
      </c>
      <c r="E18" s="38" t="s">
        <v>180</v>
      </c>
      <c r="G18" t="s">
        <v>1555</v>
      </c>
    </row>
    <row r="19" spans="1:7" x14ac:dyDescent="0.5">
      <c r="A19" s="44" t="s">
        <v>165</v>
      </c>
      <c r="B19" s="20" t="str">
        <f t="shared" si="0"/>
        <v>ABGR</v>
      </c>
      <c r="C19" s="20" t="s">
        <v>117</v>
      </c>
      <c r="D19" s="46">
        <v>750</v>
      </c>
      <c r="E19" s="38" t="s">
        <v>180</v>
      </c>
      <c r="G19" t="s">
        <v>1555</v>
      </c>
    </row>
    <row r="20" spans="1:7" x14ac:dyDescent="0.5">
      <c r="A20" s="44" t="s">
        <v>166</v>
      </c>
      <c r="B20" s="20" t="str">
        <f t="shared" si="0"/>
        <v>ABGR</v>
      </c>
      <c r="C20" s="20" t="s">
        <v>117</v>
      </c>
      <c r="D20" s="46">
        <v>750</v>
      </c>
      <c r="E20" s="38" t="s">
        <v>180</v>
      </c>
      <c r="G20" t="s">
        <v>1555</v>
      </c>
    </row>
    <row r="21" spans="1:7" x14ac:dyDescent="0.5">
      <c r="A21" s="52" t="s">
        <v>241</v>
      </c>
      <c r="B21" s="20" t="str">
        <f t="shared" si="0"/>
        <v>TSME</v>
      </c>
      <c r="C21" s="40" t="s">
        <v>200</v>
      </c>
      <c r="D21" s="47">
        <v>755</v>
      </c>
      <c r="E21" s="41" t="s">
        <v>180</v>
      </c>
      <c r="F21" s="42"/>
      <c r="G21" s="42" t="s">
        <v>1555</v>
      </c>
    </row>
    <row r="22" spans="1:7" x14ac:dyDescent="0.5">
      <c r="A22" s="52" t="s">
        <v>244</v>
      </c>
      <c r="B22" s="20" t="str">
        <f t="shared" si="0"/>
        <v>TSME</v>
      </c>
      <c r="C22" s="40" t="s">
        <v>200</v>
      </c>
      <c r="D22" s="47">
        <v>755</v>
      </c>
      <c r="E22" s="41" t="s">
        <v>180</v>
      </c>
      <c r="F22" s="42"/>
      <c r="G22" s="42" t="s">
        <v>1555</v>
      </c>
    </row>
    <row r="23" spans="1:7" x14ac:dyDescent="0.5">
      <c r="A23" s="52" t="s">
        <v>245</v>
      </c>
      <c r="B23" s="20" t="str">
        <f t="shared" si="0"/>
        <v>TSME</v>
      </c>
      <c r="C23" s="40" t="s">
        <v>200</v>
      </c>
      <c r="D23" s="47">
        <v>755</v>
      </c>
      <c r="E23" s="41" t="s">
        <v>180</v>
      </c>
      <c r="F23" s="42"/>
      <c r="G23" s="42" t="s">
        <v>1555</v>
      </c>
    </row>
    <row r="24" spans="1:7" x14ac:dyDescent="0.5">
      <c r="A24" s="52" t="s">
        <v>246</v>
      </c>
      <c r="B24" s="20" t="str">
        <f t="shared" si="0"/>
        <v>TSME</v>
      </c>
      <c r="C24" s="40" t="s">
        <v>200</v>
      </c>
      <c r="D24" s="47">
        <v>755</v>
      </c>
      <c r="E24" s="41" t="s">
        <v>180</v>
      </c>
      <c r="F24" s="42"/>
      <c r="G24" s="42" t="s">
        <v>1555</v>
      </c>
    </row>
    <row r="25" spans="1:7" x14ac:dyDescent="0.5">
      <c r="A25" s="52" t="s">
        <v>248</v>
      </c>
      <c r="B25" s="20" t="str">
        <f t="shared" si="0"/>
        <v>TSME</v>
      </c>
      <c r="C25" s="40" t="s">
        <v>200</v>
      </c>
      <c r="D25" s="47">
        <v>755</v>
      </c>
      <c r="E25" s="41" t="s">
        <v>180</v>
      </c>
      <c r="F25" s="42"/>
      <c r="G25" s="42" t="s">
        <v>1555</v>
      </c>
    </row>
    <row r="26" spans="1:7" x14ac:dyDescent="0.5">
      <c r="A26" s="52" t="s">
        <v>249</v>
      </c>
      <c r="B26" s="20" t="str">
        <f t="shared" si="0"/>
        <v>TSME</v>
      </c>
      <c r="C26" s="40" t="s">
        <v>200</v>
      </c>
      <c r="D26" s="47">
        <v>755</v>
      </c>
      <c r="E26" s="41" t="s">
        <v>180</v>
      </c>
      <c r="F26" s="42"/>
      <c r="G26" s="42" t="s">
        <v>1555</v>
      </c>
    </row>
    <row r="27" spans="1:7" x14ac:dyDescent="0.5">
      <c r="A27" s="52" t="s">
        <v>251</v>
      </c>
      <c r="B27" s="20" t="str">
        <f t="shared" si="0"/>
        <v>TSME</v>
      </c>
      <c r="C27" s="40" t="s">
        <v>200</v>
      </c>
      <c r="D27" s="47">
        <v>755</v>
      </c>
      <c r="E27" s="41" t="s">
        <v>180</v>
      </c>
      <c r="F27" s="42"/>
      <c r="G27" s="42" t="s">
        <v>1555</v>
      </c>
    </row>
    <row r="28" spans="1:7" x14ac:dyDescent="0.5">
      <c r="A28" s="44" t="s">
        <v>253</v>
      </c>
      <c r="B28" s="20" t="str">
        <f t="shared" si="0"/>
        <v>TSME</v>
      </c>
      <c r="C28" s="20" t="s">
        <v>200</v>
      </c>
      <c r="D28" s="46">
        <v>755</v>
      </c>
      <c r="E28" s="38" t="s">
        <v>180</v>
      </c>
      <c r="G28" t="s">
        <v>1555</v>
      </c>
    </row>
    <row r="29" spans="1:7" x14ac:dyDescent="0.5">
      <c r="A29" s="52" t="s">
        <v>254</v>
      </c>
      <c r="B29" s="20" t="str">
        <f t="shared" si="0"/>
        <v>TSME</v>
      </c>
      <c r="C29" s="40" t="s">
        <v>200</v>
      </c>
      <c r="D29" s="47">
        <v>755</v>
      </c>
      <c r="E29" s="41" t="s">
        <v>180</v>
      </c>
      <c r="F29" s="42"/>
      <c r="G29" s="42" t="s">
        <v>1555</v>
      </c>
    </row>
    <row r="30" spans="1:7" x14ac:dyDescent="0.5">
      <c r="A30" s="52" t="s">
        <v>255</v>
      </c>
      <c r="B30" s="20" t="str">
        <f t="shared" si="0"/>
        <v>TSME</v>
      </c>
      <c r="C30" s="40" t="s">
        <v>200</v>
      </c>
      <c r="D30" s="47">
        <v>755</v>
      </c>
      <c r="E30" s="41" t="s">
        <v>180</v>
      </c>
      <c r="F30" s="42"/>
      <c r="G30" s="42" t="s">
        <v>1555</v>
      </c>
    </row>
    <row r="31" spans="1:7" x14ac:dyDescent="0.5">
      <c r="A31" s="52" t="s">
        <v>257</v>
      </c>
      <c r="B31" s="20" t="str">
        <f t="shared" si="0"/>
        <v>TSME</v>
      </c>
      <c r="C31" s="40" t="s">
        <v>200</v>
      </c>
      <c r="D31" s="47">
        <v>755</v>
      </c>
      <c r="E31" s="41" t="s">
        <v>180</v>
      </c>
      <c r="F31" s="42"/>
      <c r="G31" s="42" t="s">
        <v>1555</v>
      </c>
    </row>
    <row r="32" spans="1:7" x14ac:dyDescent="0.5">
      <c r="A32" s="52" t="s">
        <v>258</v>
      </c>
      <c r="B32" s="20" t="str">
        <f t="shared" si="0"/>
        <v>TSME</v>
      </c>
      <c r="C32" s="40" t="s">
        <v>200</v>
      </c>
      <c r="D32" s="47">
        <v>755</v>
      </c>
      <c r="E32" s="41" t="s">
        <v>180</v>
      </c>
      <c r="F32" s="42"/>
      <c r="G32" s="42" t="s">
        <v>1555</v>
      </c>
    </row>
    <row r="33" spans="1:7" x14ac:dyDescent="0.5">
      <c r="A33" s="44" t="s">
        <v>273</v>
      </c>
      <c r="B33" s="20" t="str">
        <f t="shared" si="0"/>
        <v>PICO</v>
      </c>
      <c r="C33" s="20" t="s">
        <v>271</v>
      </c>
      <c r="D33" s="46">
        <v>400</v>
      </c>
      <c r="E33" s="20" t="s">
        <v>322</v>
      </c>
      <c r="G33" t="s">
        <v>1555</v>
      </c>
    </row>
    <row r="34" spans="1:7" x14ac:dyDescent="0.5">
      <c r="A34" s="44" t="s">
        <v>275</v>
      </c>
      <c r="B34" s="20" t="str">
        <f t="shared" si="0"/>
        <v>PICO</v>
      </c>
      <c r="C34" s="20" t="s">
        <v>271</v>
      </c>
      <c r="D34" s="46">
        <v>400</v>
      </c>
      <c r="E34" s="20" t="s">
        <v>322</v>
      </c>
      <c r="G34" t="s">
        <v>1555</v>
      </c>
    </row>
    <row r="35" spans="1:7" x14ac:dyDescent="0.5">
      <c r="A35" s="44" t="s">
        <v>277</v>
      </c>
      <c r="B35" s="20" t="str">
        <f t="shared" si="0"/>
        <v>PICO</v>
      </c>
      <c r="C35" s="20" t="s">
        <v>271</v>
      </c>
      <c r="D35" s="46">
        <v>400</v>
      </c>
      <c r="E35" s="20" t="s">
        <v>322</v>
      </c>
      <c r="G35" t="s">
        <v>1555</v>
      </c>
    </row>
    <row r="36" spans="1:7" x14ac:dyDescent="0.5">
      <c r="A36" s="44" t="s">
        <v>1557</v>
      </c>
      <c r="B36" s="20" t="str">
        <f>LEFT(A36,5)</f>
        <v>PIMO3</v>
      </c>
      <c r="C36" s="20"/>
      <c r="D36" s="46">
        <v>460</v>
      </c>
      <c r="E36" s="20" t="s">
        <v>310</v>
      </c>
      <c r="G36" t="s">
        <v>1555</v>
      </c>
    </row>
    <row r="37" spans="1:7" x14ac:dyDescent="0.5">
      <c r="A37" s="44" t="s">
        <v>167</v>
      </c>
      <c r="B37" s="20" t="str">
        <f>LEFT(A37,5)</f>
        <v>PIMO3</v>
      </c>
      <c r="C37" s="20" t="s">
        <v>31</v>
      </c>
      <c r="D37" s="46">
        <v>460</v>
      </c>
      <c r="E37" s="20" t="s">
        <v>310</v>
      </c>
      <c r="G37" t="s">
        <v>1555</v>
      </c>
    </row>
    <row r="38" spans="1:7" x14ac:dyDescent="0.5">
      <c r="A38" s="44" t="s">
        <v>263</v>
      </c>
      <c r="B38" s="20" t="str">
        <f t="shared" ref="B38:B69" si="1">LEFT(A38,4)</f>
        <v>PIPO</v>
      </c>
      <c r="C38" s="20" t="s">
        <v>148</v>
      </c>
      <c r="D38" s="46">
        <v>499</v>
      </c>
      <c r="E38" s="20" t="s">
        <v>305</v>
      </c>
      <c r="G38" t="s">
        <v>1555</v>
      </c>
    </row>
    <row r="39" spans="1:7" x14ac:dyDescent="0.5">
      <c r="A39" s="44" t="s">
        <v>265</v>
      </c>
      <c r="B39" s="20" t="str">
        <f t="shared" si="1"/>
        <v>PIPO</v>
      </c>
      <c r="C39" s="20" t="s">
        <v>148</v>
      </c>
      <c r="D39" s="46">
        <v>499</v>
      </c>
      <c r="E39" s="20" t="s">
        <v>305</v>
      </c>
      <c r="G39" t="s">
        <v>1555</v>
      </c>
    </row>
    <row r="40" spans="1:7" x14ac:dyDescent="0.5">
      <c r="A40" s="44" t="s">
        <v>266</v>
      </c>
      <c r="B40" s="20" t="str">
        <f t="shared" si="1"/>
        <v>PIPO</v>
      </c>
      <c r="C40" s="20" t="s">
        <v>148</v>
      </c>
      <c r="D40" s="46">
        <v>499</v>
      </c>
      <c r="E40" s="20" t="s">
        <v>305</v>
      </c>
      <c r="G40" t="s">
        <v>1555</v>
      </c>
    </row>
    <row r="41" spans="1:7" x14ac:dyDescent="0.5">
      <c r="A41" s="44" t="s">
        <v>267</v>
      </c>
      <c r="B41" s="20" t="str">
        <f t="shared" si="1"/>
        <v>PIPO</v>
      </c>
      <c r="C41" s="20" t="s">
        <v>148</v>
      </c>
      <c r="D41" s="46">
        <v>499</v>
      </c>
      <c r="E41" s="20" t="s">
        <v>305</v>
      </c>
      <c r="G41" t="s">
        <v>1555</v>
      </c>
    </row>
    <row r="42" spans="1:7" x14ac:dyDescent="0.5">
      <c r="A42" s="44" t="s">
        <v>90</v>
      </c>
      <c r="B42" s="20" t="str">
        <f t="shared" si="1"/>
        <v>PSME</v>
      </c>
      <c r="C42" s="20" t="s">
        <v>73</v>
      </c>
      <c r="D42" s="46">
        <v>499</v>
      </c>
      <c r="E42" s="20" t="s">
        <v>305</v>
      </c>
      <c r="G42" t="s">
        <v>1555</v>
      </c>
    </row>
    <row r="43" spans="1:7" x14ac:dyDescent="0.5">
      <c r="A43" s="44" t="s">
        <v>168</v>
      </c>
      <c r="B43" s="20" t="str">
        <f t="shared" si="1"/>
        <v>PSME</v>
      </c>
      <c r="C43" s="20" t="s">
        <v>73</v>
      </c>
      <c r="D43" s="46">
        <v>499</v>
      </c>
      <c r="E43" s="20" t="s">
        <v>305</v>
      </c>
      <c r="G43" t="s">
        <v>1555</v>
      </c>
    </row>
    <row r="44" spans="1:7" x14ac:dyDescent="0.5">
      <c r="A44" s="44" t="s">
        <v>96</v>
      </c>
      <c r="B44" s="20" t="str">
        <f t="shared" si="1"/>
        <v>PSME</v>
      </c>
      <c r="C44" s="20" t="s">
        <v>86</v>
      </c>
      <c r="D44" s="46">
        <v>499</v>
      </c>
      <c r="E44" s="20" t="s">
        <v>305</v>
      </c>
      <c r="G44" t="s">
        <v>1555</v>
      </c>
    </row>
    <row r="45" spans="1:7" x14ac:dyDescent="0.5">
      <c r="A45" s="44" t="s">
        <v>98</v>
      </c>
      <c r="B45" s="20" t="str">
        <f t="shared" si="1"/>
        <v>PSME</v>
      </c>
      <c r="C45" s="20" t="s">
        <v>86</v>
      </c>
      <c r="D45" s="46">
        <v>499</v>
      </c>
      <c r="E45" s="20" t="s">
        <v>305</v>
      </c>
      <c r="G45" t="s">
        <v>1555</v>
      </c>
    </row>
    <row r="46" spans="1:7" x14ac:dyDescent="0.5">
      <c r="A46" s="44" t="s">
        <v>171</v>
      </c>
      <c r="B46" s="20" t="str">
        <f t="shared" si="1"/>
        <v>PSME</v>
      </c>
      <c r="C46" s="20" t="s">
        <v>73</v>
      </c>
      <c r="D46" s="46">
        <v>499</v>
      </c>
      <c r="E46" s="20" t="s">
        <v>305</v>
      </c>
      <c r="G46" t="s">
        <v>1555</v>
      </c>
    </row>
    <row r="47" spans="1:7" x14ac:dyDescent="0.5">
      <c r="A47" s="44" t="s">
        <v>101</v>
      </c>
      <c r="B47" s="20" t="str">
        <f t="shared" si="1"/>
        <v>PSME</v>
      </c>
      <c r="C47" s="20" t="s">
        <v>86</v>
      </c>
      <c r="D47" s="46">
        <v>499</v>
      </c>
      <c r="E47" s="20" t="s">
        <v>305</v>
      </c>
      <c r="G47" t="s">
        <v>1555</v>
      </c>
    </row>
    <row r="48" spans="1:7" x14ac:dyDescent="0.5">
      <c r="A48" s="44" t="s">
        <v>173</v>
      </c>
      <c r="B48" s="20" t="str">
        <f t="shared" si="1"/>
        <v>PSME</v>
      </c>
      <c r="C48" s="20" t="s">
        <v>73</v>
      </c>
      <c r="D48" s="46">
        <v>499</v>
      </c>
      <c r="E48" s="20" t="s">
        <v>305</v>
      </c>
      <c r="G48" t="s">
        <v>1555</v>
      </c>
    </row>
    <row r="49" spans="1:7" x14ac:dyDescent="0.5">
      <c r="A49" s="44" t="s">
        <v>103</v>
      </c>
      <c r="B49" s="20" t="str">
        <f t="shared" si="1"/>
        <v>PSME</v>
      </c>
      <c r="C49" s="20" t="s">
        <v>86</v>
      </c>
      <c r="D49" s="46">
        <v>499</v>
      </c>
      <c r="E49" s="20" t="s">
        <v>305</v>
      </c>
      <c r="G49" t="s">
        <v>1555</v>
      </c>
    </row>
    <row r="50" spans="1:7" x14ac:dyDescent="0.5">
      <c r="A50" s="44" t="s">
        <v>174</v>
      </c>
      <c r="B50" s="20" t="str">
        <f t="shared" si="1"/>
        <v>PSME</v>
      </c>
      <c r="C50" s="20" t="s">
        <v>73</v>
      </c>
      <c r="D50" s="46">
        <v>499</v>
      </c>
      <c r="E50" s="20" t="s">
        <v>305</v>
      </c>
      <c r="G50" t="s">
        <v>1555</v>
      </c>
    </row>
    <row r="51" spans="1:7" x14ac:dyDescent="0.5">
      <c r="A51" s="44" t="s">
        <v>290</v>
      </c>
      <c r="B51" s="20" t="str">
        <f t="shared" si="1"/>
        <v>PSME</v>
      </c>
      <c r="C51" s="20" t="s">
        <v>154</v>
      </c>
      <c r="D51" s="46">
        <v>499</v>
      </c>
      <c r="E51" s="20" t="s">
        <v>305</v>
      </c>
      <c r="G51" t="s">
        <v>1555</v>
      </c>
    </row>
    <row r="52" spans="1:7" x14ac:dyDescent="0.5">
      <c r="A52" s="44" t="s">
        <v>72</v>
      </c>
      <c r="B52" s="20" t="str">
        <f t="shared" si="1"/>
        <v>TSHE</v>
      </c>
      <c r="C52" s="20" t="s">
        <v>73</v>
      </c>
      <c r="D52" s="46">
        <v>499</v>
      </c>
      <c r="E52" s="20" t="s">
        <v>305</v>
      </c>
      <c r="G52" t="s">
        <v>1555</v>
      </c>
    </row>
    <row r="53" spans="1:7" x14ac:dyDescent="0.5">
      <c r="A53" s="44" t="s">
        <v>149</v>
      </c>
      <c r="B53" s="20" t="str">
        <f t="shared" si="1"/>
        <v>ABCO</v>
      </c>
      <c r="C53" s="20" t="s">
        <v>106</v>
      </c>
      <c r="D53" s="46">
        <v>530</v>
      </c>
      <c r="E53" s="20" t="s">
        <v>298</v>
      </c>
      <c r="G53" t="s">
        <v>1555</v>
      </c>
    </row>
    <row r="54" spans="1:7" x14ac:dyDescent="0.5">
      <c r="A54" s="44" t="s">
        <v>150</v>
      </c>
      <c r="B54" s="20" t="str">
        <f t="shared" si="1"/>
        <v>ABCO</v>
      </c>
      <c r="C54" s="20" t="s">
        <v>106</v>
      </c>
      <c r="D54" s="46">
        <v>530</v>
      </c>
      <c r="E54" s="20" t="s">
        <v>298</v>
      </c>
      <c r="G54" t="s">
        <v>1555</v>
      </c>
    </row>
    <row r="55" spans="1:7" x14ac:dyDescent="0.5">
      <c r="A55" s="44" t="s">
        <v>152</v>
      </c>
      <c r="B55" s="20" t="str">
        <f t="shared" si="1"/>
        <v>ABCO</v>
      </c>
      <c r="C55" s="20" t="s">
        <v>106</v>
      </c>
      <c r="D55" s="46">
        <v>530</v>
      </c>
      <c r="E55" s="20" t="s">
        <v>298</v>
      </c>
      <c r="G55" t="s">
        <v>1555</v>
      </c>
    </row>
    <row r="56" spans="1:7" x14ac:dyDescent="0.5">
      <c r="A56" s="44" t="s">
        <v>163</v>
      </c>
      <c r="B56" s="20" t="str">
        <f t="shared" si="1"/>
        <v>ABGR</v>
      </c>
      <c r="C56" s="20" t="s">
        <v>106</v>
      </c>
      <c r="D56" s="46">
        <v>530</v>
      </c>
      <c r="E56" s="20" t="s">
        <v>298</v>
      </c>
      <c r="G56" t="s">
        <v>1555</v>
      </c>
    </row>
    <row r="57" spans="1:7" x14ac:dyDescent="0.5">
      <c r="A57" s="44" t="s">
        <v>208</v>
      </c>
      <c r="B57" s="20" t="str">
        <f t="shared" si="1"/>
        <v>TSHE</v>
      </c>
      <c r="C57" s="20" t="s">
        <v>204</v>
      </c>
      <c r="D57" s="46">
        <v>600</v>
      </c>
      <c r="E57" s="20" t="s">
        <v>298</v>
      </c>
      <c r="G57" t="s">
        <v>1555</v>
      </c>
    </row>
    <row r="58" spans="1:7" x14ac:dyDescent="0.5">
      <c r="A58" s="44" t="s">
        <v>211</v>
      </c>
      <c r="B58" s="20" t="str">
        <f t="shared" si="1"/>
        <v>TSHE</v>
      </c>
      <c r="C58" s="20" t="s">
        <v>204</v>
      </c>
      <c r="D58" s="46">
        <v>600</v>
      </c>
      <c r="E58" s="20" t="s">
        <v>298</v>
      </c>
      <c r="G58" t="s">
        <v>1555</v>
      </c>
    </row>
    <row r="59" spans="1:7" x14ac:dyDescent="0.5">
      <c r="A59" s="44" t="s">
        <v>212</v>
      </c>
      <c r="B59" s="20" t="str">
        <f t="shared" si="1"/>
        <v>TSHE</v>
      </c>
      <c r="C59" s="20" t="s">
        <v>204</v>
      </c>
      <c r="D59" s="46">
        <v>600</v>
      </c>
      <c r="E59" s="20" t="s">
        <v>298</v>
      </c>
      <c r="G59" t="s">
        <v>1555</v>
      </c>
    </row>
    <row r="60" spans="1:7" x14ac:dyDescent="0.5">
      <c r="A60" s="44" t="s">
        <v>213</v>
      </c>
      <c r="B60" s="20" t="str">
        <f t="shared" si="1"/>
        <v>TSHE</v>
      </c>
      <c r="C60" s="20" t="s">
        <v>204</v>
      </c>
      <c r="D60" s="46">
        <v>600</v>
      </c>
      <c r="E60" s="20" t="s">
        <v>298</v>
      </c>
      <c r="G60" t="s">
        <v>1555</v>
      </c>
    </row>
    <row r="61" spans="1:7" x14ac:dyDescent="0.5">
      <c r="A61" s="44" t="s">
        <v>214</v>
      </c>
      <c r="B61" s="20" t="str">
        <f t="shared" si="1"/>
        <v>TSHE</v>
      </c>
      <c r="C61" s="20" t="s">
        <v>204</v>
      </c>
      <c r="D61" s="46">
        <v>600</v>
      </c>
      <c r="E61" s="20" t="s">
        <v>298</v>
      </c>
      <c r="G61" t="s">
        <v>1555</v>
      </c>
    </row>
    <row r="62" spans="1:7" x14ac:dyDescent="0.5">
      <c r="A62" s="44" t="s">
        <v>217</v>
      </c>
      <c r="B62" s="20" t="str">
        <f t="shared" si="1"/>
        <v>TSHE</v>
      </c>
      <c r="C62" s="20" t="s">
        <v>204</v>
      </c>
      <c r="D62" s="46">
        <v>600</v>
      </c>
      <c r="E62" s="20" t="s">
        <v>298</v>
      </c>
      <c r="G62" t="s">
        <v>1555</v>
      </c>
    </row>
    <row r="63" spans="1:7" x14ac:dyDescent="0.5">
      <c r="A63" s="44" t="s">
        <v>218</v>
      </c>
      <c r="B63" s="20" t="str">
        <f t="shared" si="1"/>
        <v>TSHE</v>
      </c>
      <c r="C63" s="20" t="s">
        <v>204</v>
      </c>
      <c r="D63" s="46">
        <v>600</v>
      </c>
      <c r="E63" s="20" t="s">
        <v>298</v>
      </c>
      <c r="G63" t="s">
        <v>1555</v>
      </c>
    </row>
    <row r="64" spans="1:7" x14ac:dyDescent="0.5">
      <c r="A64" s="44" t="s">
        <v>219</v>
      </c>
      <c r="B64" s="20" t="str">
        <f t="shared" si="1"/>
        <v>TSHE</v>
      </c>
      <c r="C64" s="20" t="s">
        <v>204</v>
      </c>
      <c r="D64" s="46">
        <v>600</v>
      </c>
      <c r="E64" s="20" t="s">
        <v>298</v>
      </c>
      <c r="G64" t="s">
        <v>1555</v>
      </c>
    </row>
    <row r="65" spans="1:7" x14ac:dyDescent="0.5">
      <c r="A65" s="44" t="s">
        <v>220</v>
      </c>
      <c r="B65" s="20" t="str">
        <f t="shared" si="1"/>
        <v>TSHE</v>
      </c>
      <c r="C65" s="20" t="s">
        <v>204</v>
      </c>
      <c r="D65" s="46">
        <v>600</v>
      </c>
      <c r="E65" s="20" t="s">
        <v>298</v>
      </c>
      <c r="G65" t="s">
        <v>1555</v>
      </c>
    </row>
    <row r="66" spans="1:7" x14ac:dyDescent="0.5">
      <c r="A66" s="44" t="s">
        <v>55</v>
      </c>
      <c r="B66" s="20" t="str">
        <f t="shared" si="1"/>
        <v>TSHE</v>
      </c>
      <c r="C66" s="20" t="s">
        <v>41</v>
      </c>
      <c r="D66" s="46">
        <v>600</v>
      </c>
      <c r="E66" s="20" t="s">
        <v>298</v>
      </c>
      <c r="G66" t="s">
        <v>1555</v>
      </c>
    </row>
    <row r="67" spans="1:7" x14ac:dyDescent="0.5">
      <c r="A67" s="44" t="s">
        <v>56</v>
      </c>
      <c r="B67" s="20" t="str">
        <f t="shared" si="1"/>
        <v>TSHE</v>
      </c>
      <c r="C67" s="20" t="s">
        <v>41</v>
      </c>
      <c r="D67" s="46">
        <v>600</v>
      </c>
      <c r="E67" s="20" t="s">
        <v>298</v>
      </c>
      <c r="G67" t="s">
        <v>1555</v>
      </c>
    </row>
    <row r="68" spans="1:7" x14ac:dyDescent="0.5">
      <c r="A68" s="44" t="s">
        <v>223</v>
      </c>
      <c r="B68" s="20" t="str">
        <f t="shared" si="1"/>
        <v>TSHE</v>
      </c>
      <c r="C68" s="20" t="s">
        <v>204</v>
      </c>
      <c r="D68" s="46">
        <v>600</v>
      </c>
      <c r="E68" s="20" t="s">
        <v>298</v>
      </c>
      <c r="G68" t="s">
        <v>1555</v>
      </c>
    </row>
    <row r="69" spans="1:7" x14ac:dyDescent="0.5">
      <c r="A69" s="44" t="s">
        <v>224</v>
      </c>
      <c r="B69" s="20" t="str">
        <f t="shared" si="1"/>
        <v>TSHE</v>
      </c>
      <c r="C69" s="20" t="s">
        <v>204</v>
      </c>
      <c r="D69" s="46">
        <v>600</v>
      </c>
      <c r="E69" s="20" t="s">
        <v>298</v>
      </c>
      <c r="G69" t="s">
        <v>1555</v>
      </c>
    </row>
    <row r="70" spans="1:7" x14ac:dyDescent="0.5">
      <c r="A70" s="44" t="s">
        <v>225</v>
      </c>
      <c r="B70" s="20" t="str">
        <f t="shared" ref="B70:B101" si="2">LEFT(A70,4)</f>
        <v>TSHE</v>
      </c>
      <c r="C70" s="20" t="s">
        <v>204</v>
      </c>
      <c r="D70" s="46">
        <v>600</v>
      </c>
      <c r="E70" s="20" t="s">
        <v>298</v>
      </c>
      <c r="G70" t="s">
        <v>1555</v>
      </c>
    </row>
    <row r="71" spans="1:7" x14ac:dyDescent="0.5">
      <c r="A71" s="44" t="s">
        <v>57</v>
      </c>
      <c r="B71" s="20" t="str">
        <f t="shared" si="2"/>
        <v>TSHE</v>
      </c>
      <c r="C71" s="20" t="s">
        <v>41</v>
      </c>
      <c r="D71" s="46">
        <v>600</v>
      </c>
      <c r="E71" s="20" t="s">
        <v>298</v>
      </c>
      <c r="G71" t="s">
        <v>1555</v>
      </c>
    </row>
    <row r="72" spans="1:7" x14ac:dyDescent="0.5">
      <c r="A72" s="44" t="s">
        <v>58</v>
      </c>
      <c r="B72" s="20" t="str">
        <f t="shared" si="2"/>
        <v>TSHE</v>
      </c>
      <c r="C72" s="20" t="s">
        <v>41</v>
      </c>
      <c r="D72" s="46">
        <v>600</v>
      </c>
      <c r="E72" s="20" t="s">
        <v>298</v>
      </c>
      <c r="G72" t="s">
        <v>1555</v>
      </c>
    </row>
    <row r="73" spans="1:7" x14ac:dyDescent="0.5">
      <c r="A73" s="44" t="s">
        <v>59</v>
      </c>
      <c r="B73" s="20" t="str">
        <f t="shared" si="2"/>
        <v>TSHE</v>
      </c>
      <c r="C73" s="20" t="s">
        <v>41</v>
      </c>
      <c r="D73" s="46">
        <v>600</v>
      </c>
      <c r="E73" s="20" t="s">
        <v>298</v>
      </c>
      <c r="G73" t="s">
        <v>1555</v>
      </c>
    </row>
    <row r="74" spans="1:7" x14ac:dyDescent="0.5">
      <c r="A74" s="44" t="s">
        <v>60</v>
      </c>
      <c r="B74" s="20" t="str">
        <f t="shared" si="2"/>
        <v>TSHE</v>
      </c>
      <c r="C74" s="20" t="s">
        <v>41</v>
      </c>
      <c r="D74" s="46">
        <v>600</v>
      </c>
      <c r="E74" s="20" t="s">
        <v>298</v>
      </c>
      <c r="G74" t="s">
        <v>1555</v>
      </c>
    </row>
    <row r="75" spans="1:7" x14ac:dyDescent="0.5">
      <c r="A75" s="44" t="s">
        <v>61</v>
      </c>
      <c r="B75" s="20" t="str">
        <f t="shared" si="2"/>
        <v>TSHE</v>
      </c>
      <c r="C75" s="20" t="s">
        <v>41</v>
      </c>
      <c r="D75" s="46">
        <v>600</v>
      </c>
      <c r="E75" s="20" t="s">
        <v>298</v>
      </c>
      <c r="G75" t="s">
        <v>1555</v>
      </c>
    </row>
    <row r="76" spans="1:7" x14ac:dyDescent="0.5">
      <c r="A76" s="44" t="s">
        <v>63</v>
      </c>
      <c r="B76" s="20" t="str">
        <f t="shared" si="2"/>
        <v>TSHE</v>
      </c>
      <c r="C76" s="20" t="s">
        <v>41</v>
      </c>
      <c r="D76" s="46">
        <v>600</v>
      </c>
      <c r="E76" s="20" t="s">
        <v>298</v>
      </c>
      <c r="G76" t="s">
        <v>1555</v>
      </c>
    </row>
    <row r="77" spans="1:7" x14ac:dyDescent="0.5">
      <c r="A77" s="44" t="s">
        <v>226</v>
      </c>
      <c r="B77" s="20" t="str">
        <f t="shared" si="2"/>
        <v>TSHE</v>
      </c>
      <c r="C77" s="20" t="s">
        <v>204</v>
      </c>
      <c r="D77" s="46">
        <v>600</v>
      </c>
      <c r="E77" s="20" t="s">
        <v>298</v>
      </c>
      <c r="G77" t="s">
        <v>1555</v>
      </c>
    </row>
    <row r="78" spans="1:7" x14ac:dyDescent="0.5">
      <c r="A78" s="44" t="s">
        <v>64</v>
      </c>
      <c r="B78" s="20" t="str">
        <f t="shared" si="2"/>
        <v>TSHE</v>
      </c>
      <c r="C78" s="20" t="s">
        <v>41</v>
      </c>
      <c r="D78" s="46">
        <v>600</v>
      </c>
      <c r="E78" s="20" t="s">
        <v>298</v>
      </c>
      <c r="G78" t="s">
        <v>1555</v>
      </c>
    </row>
    <row r="79" spans="1:7" x14ac:dyDescent="0.5">
      <c r="A79" s="44" t="s">
        <v>65</v>
      </c>
      <c r="B79" s="20" t="str">
        <f t="shared" si="2"/>
        <v>TSHE</v>
      </c>
      <c r="C79" s="20" t="s">
        <v>41</v>
      </c>
      <c r="D79" s="46">
        <v>600</v>
      </c>
      <c r="E79" s="20" t="s">
        <v>298</v>
      </c>
      <c r="G79" t="s">
        <v>1555</v>
      </c>
    </row>
    <row r="80" spans="1:7" x14ac:dyDescent="0.5">
      <c r="A80" s="44" t="s">
        <v>228</v>
      </c>
      <c r="B80" s="20" t="str">
        <f t="shared" si="2"/>
        <v>TSHE</v>
      </c>
      <c r="C80" s="20" t="s">
        <v>204</v>
      </c>
      <c r="D80" s="46">
        <v>600</v>
      </c>
      <c r="E80" s="20" t="s">
        <v>298</v>
      </c>
      <c r="G80" t="s">
        <v>1555</v>
      </c>
    </row>
    <row r="81" spans="1:7" x14ac:dyDescent="0.5">
      <c r="A81" s="44" t="s">
        <v>230</v>
      </c>
      <c r="B81" s="20" t="str">
        <f t="shared" si="2"/>
        <v>TSHE</v>
      </c>
      <c r="C81" s="20" t="s">
        <v>204</v>
      </c>
      <c r="D81" s="46">
        <v>600</v>
      </c>
      <c r="E81" s="20" t="s">
        <v>298</v>
      </c>
      <c r="G81" t="s">
        <v>1555</v>
      </c>
    </row>
    <row r="82" spans="1:7" x14ac:dyDescent="0.5">
      <c r="A82" s="44" t="s">
        <v>231</v>
      </c>
      <c r="B82" s="20" t="str">
        <f t="shared" si="2"/>
        <v>TSHE</v>
      </c>
      <c r="C82" s="20" t="s">
        <v>204</v>
      </c>
      <c r="D82" s="46">
        <v>600</v>
      </c>
      <c r="E82" s="20" t="s">
        <v>298</v>
      </c>
      <c r="G82" t="s">
        <v>1555</v>
      </c>
    </row>
    <row r="83" spans="1:7" x14ac:dyDescent="0.5">
      <c r="A83" s="44" t="s">
        <v>232</v>
      </c>
      <c r="B83" s="20" t="str">
        <f t="shared" si="2"/>
        <v>TSHE</v>
      </c>
      <c r="C83" s="20" t="s">
        <v>204</v>
      </c>
      <c r="D83" s="46">
        <v>600</v>
      </c>
      <c r="E83" s="20" t="s">
        <v>298</v>
      </c>
      <c r="G83" t="s">
        <v>1555</v>
      </c>
    </row>
    <row r="84" spans="1:7" x14ac:dyDescent="0.5">
      <c r="A84" s="44" t="s">
        <v>233</v>
      </c>
      <c r="B84" s="20" t="str">
        <f t="shared" si="2"/>
        <v>TSHE</v>
      </c>
      <c r="C84" s="20" t="s">
        <v>204</v>
      </c>
      <c r="D84" s="46">
        <v>600</v>
      </c>
      <c r="E84" s="20" t="s">
        <v>298</v>
      </c>
      <c r="G84" t="s">
        <v>1555</v>
      </c>
    </row>
    <row r="85" spans="1:7" x14ac:dyDescent="0.5">
      <c r="A85" s="44" t="s">
        <v>67</v>
      </c>
      <c r="B85" s="20" t="str">
        <f t="shared" si="2"/>
        <v>TSHE</v>
      </c>
      <c r="C85" s="20" t="s">
        <v>41</v>
      </c>
      <c r="D85" s="46">
        <v>600</v>
      </c>
      <c r="E85" s="20" t="s">
        <v>298</v>
      </c>
      <c r="G85" t="s">
        <v>1555</v>
      </c>
    </row>
    <row r="86" spans="1:7" x14ac:dyDescent="0.5">
      <c r="A86" s="44" t="s">
        <v>68</v>
      </c>
      <c r="B86" s="20" t="str">
        <f t="shared" si="2"/>
        <v>TSHE</v>
      </c>
      <c r="C86" s="20" t="s">
        <v>41</v>
      </c>
      <c r="D86" s="46">
        <v>600</v>
      </c>
      <c r="E86" s="20" t="s">
        <v>298</v>
      </c>
      <c r="G86" t="s">
        <v>1555</v>
      </c>
    </row>
    <row r="87" spans="1:7" x14ac:dyDescent="0.5">
      <c r="A87" s="44" t="s">
        <v>69</v>
      </c>
      <c r="B87" s="20" t="str">
        <f t="shared" si="2"/>
        <v>TSHE</v>
      </c>
      <c r="C87" s="20" t="s">
        <v>41</v>
      </c>
      <c r="D87" s="46">
        <v>600</v>
      </c>
      <c r="E87" s="20" t="s">
        <v>298</v>
      </c>
      <c r="G87" t="s">
        <v>1555</v>
      </c>
    </row>
    <row r="88" spans="1:7" x14ac:dyDescent="0.5">
      <c r="A88" s="44" t="s">
        <v>70</v>
      </c>
      <c r="B88" s="20" t="str">
        <f t="shared" si="2"/>
        <v>TSHE</v>
      </c>
      <c r="C88" s="20" t="s">
        <v>41</v>
      </c>
      <c r="D88" s="46">
        <v>600</v>
      </c>
      <c r="E88" s="20" t="s">
        <v>298</v>
      </c>
      <c r="G88" t="s">
        <v>1555</v>
      </c>
    </row>
    <row r="89" spans="1:7" x14ac:dyDescent="0.5">
      <c r="A89" s="44" t="s">
        <v>236</v>
      </c>
      <c r="B89" s="20" t="str">
        <f t="shared" si="2"/>
        <v>TSHE</v>
      </c>
      <c r="C89" s="20" t="s">
        <v>204</v>
      </c>
      <c r="D89" s="46">
        <v>600</v>
      </c>
      <c r="E89" s="20" t="s">
        <v>298</v>
      </c>
      <c r="G89" t="s">
        <v>1555</v>
      </c>
    </row>
    <row r="90" spans="1:7" x14ac:dyDescent="0.5">
      <c r="A90" s="44" t="s">
        <v>74</v>
      </c>
      <c r="B90" s="20" t="str">
        <f t="shared" si="2"/>
        <v>TSHE</v>
      </c>
      <c r="C90" s="20" t="s">
        <v>25</v>
      </c>
      <c r="D90" s="46">
        <v>600</v>
      </c>
      <c r="E90" s="20" t="s">
        <v>298</v>
      </c>
      <c r="G90" t="s">
        <v>1555</v>
      </c>
    </row>
    <row r="91" spans="1:7" x14ac:dyDescent="0.5">
      <c r="A91" s="44" t="s">
        <v>38</v>
      </c>
      <c r="B91" s="20" t="str">
        <f t="shared" si="2"/>
        <v>TSHE</v>
      </c>
      <c r="C91" s="20" t="s">
        <v>25</v>
      </c>
      <c r="D91" s="46">
        <v>600</v>
      </c>
      <c r="E91" s="20" t="s">
        <v>298</v>
      </c>
      <c r="G91" t="s">
        <v>1555</v>
      </c>
    </row>
    <row r="92" spans="1:7" x14ac:dyDescent="0.5">
      <c r="A92" s="44" t="s">
        <v>39</v>
      </c>
      <c r="B92" s="20" t="str">
        <f t="shared" si="2"/>
        <v>TSHE</v>
      </c>
      <c r="C92" s="20" t="s">
        <v>25</v>
      </c>
      <c r="D92" s="46">
        <v>600</v>
      </c>
      <c r="E92" s="20" t="s">
        <v>298</v>
      </c>
      <c r="G92" t="s">
        <v>1555</v>
      </c>
    </row>
    <row r="93" spans="1:7" x14ac:dyDescent="0.5">
      <c r="A93" s="44" t="s">
        <v>116</v>
      </c>
      <c r="B93" s="20" t="str">
        <f t="shared" si="2"/>
        <v>ABCO</v>
      </c>
      <c r="C93" s="20" t="s">
        <v>117</v>
      </c>
      <c r="D93" s="46">
        <v>750</v>
      </c>
      <c r="E93" s="38"/>
      <c r="G93" t="s">
        <v>1555</v>
      </c>
    </row>
    <row r="94" spans="1:7" x14ac:dyDescent="0.5">
      <c r="A94" s="44" t="s">
        <v>125</v>
      </c>
      <c r="B94" s="20" t="str">
        <f t="shared" si="2"/>
        <v>ABCO</v>
      </c>
      <c r="C94" s="20" t="s">
        <v>106</v>
      </c>
      <c r="D94" s="46">
        <v>530</v>
      </c>
      <c r="E94" s="20"/>
      <c r="G94" t="s">
        <v>1555</v>
      </c>
    </row>
    <row r="95" spans="1:7" x14ac:dyDescent="0.5">
      <c r="A95" s="44" t="s">
        <v>126</v>
      </c>
      <c r="B95" s="20" t="str">
        <f t="shared" si="2"/>
        <v>ABCO</v>
      </c>
      <c r="C95" s="20" t="s">
        <v>106</v>
      </c>
      <c r="D95" s="46">
        <v>530</v>
      </c>
      <c r="E95" s="20"/>
      <c r="G95" t="s">
        <v>1555</v>
      </c>
    </row>
    <row r="96" spans="1:7" x14ac:dyDescent="0.5">
      <c r="A96" s="44" t="s">
        <v>127</v>
      </c>
      <c r="B96" s="20" t="str">
        <f t="shared" si="2"/>
        <v>ABCO</v>
      </c>
      <c r="C96" s="20" t="s">
        <v>117</v>
      </c>
      <c r="D96" s="46">
        <v>750</v>
      </c>
      <c r="E96" s="38"/>
      <c r="G96" t="s">
        <v>1555</v>
      </c>
    </row>
    <row r="97" spans="1:7" x14ac:dyDescent="0.5">
      <c r="A97" s="44" t="s">
        <v>135</v>
      </c>
      <c r="B97" s="20" t="str">
        <f t="shared" si="2"/>
        <v>ABCO</v>
      </c>
      <c r="C97" s="20" t="s">
        <v>117</v>
      </c>
      <c r="D97" s="46">
        <v>750</v>
      </c>
      <c r="E97" s="38"/>
      <c r="G97" t="s">
        <v>1555</v>
      </c>
    </row>
    <row r="98" spans="1:7" x14ac:dyDescent="0.5">
      <c r="A98" s="44" t="s">
        <v>136</v>
      </c>
      <c r="B98" s="20" t="str">
        <f t="shared" si="2"/>
        <v>ABCO</v>
      </c>
      <c r="C98" s="20" t="s">
        <v>117</v>
      </c>
      <c r="D98" s="46">
        <v>750</v>
      </c>
      <c r="E98" s="38"/>
      <c r="G98" t="s">
        <v>1555</v>
      </c>
    </row>
    <row r="99" spans="1:7" x14ac:dyDescent="0.5">
      <c r="A99" s="44" t="s">
        <v>137</v>
      </c>
      <c r="B99" s="20" t="str">
        <f t="shared" si="2"/>
        <v>ABCO</v>
      </c>
      <c r="C99" s="20" t="s">
        <v>117</v>
      </c>
      <c r="D99" s="46">
        <v>750</v>
      </c>
      <c r="E99" s="38"/>
      <c r="G99" t="s">
        <v>1555</v>
      </c>
    </row>
    <row r="100" spans="1:7" x14ac:dyDescent="0.5">
      <c r="A100" s="44" t="s">
        <v>141</v>
      </c>
      <c r="B100" s="20" t="str">
        <f t="shared" si="2"/>
        <v>ABCO</v>
      </c>
      <c r="C100" s="20" t="s">
        <v>106</v>
      </c>
      <c r="D100" s="46">
        <v>530</v>
      </c>
      <c r="E100" s="20"/>
      <c r="G100" t="s">
        <v>1555</v>
      </c>
    </row>
    <row r="101" spans="1:7" x14ac:dyDescent="0.5">
      <c r="A101" s="44" t="s">
        <v>142</v>
      </c>
      <c r="B101" s="20" t="str">
        <f t="shared" si="2"/>
        <v>ABCO</v>
      </c>
      <c r="C101" s="20" t="s">
        <v>117</v>
      </c>
      <c r="D101" s="46">
        <v>750</v>
      </c>
      <c r="E101" s="38"/>
      <c r="G101" t="s">
        <v>1555</v>
      </c>
    </row>
    <row r="102" spans="1:7" x14ac:dyDescent="0.5">
      <c r="A102" s="44" t="s">
        <v>147</v>
      </c>
      <c r="B102" s="20" t="str">
        <f t="shared" ref="B102" si="3">LEFT(A102,4)</f>
        <v>ABCO</v>
      </c>
      <c r="C102" s="20" t="s">
        <v>148</v>
      </c>
      <c r="D102" s="46">
        <v>499</v>
      </c>
      <c r="E102" s="20"/>
      <c r="G102" t="s">
        <v>1555</v>
      </c>
    </row>
    <row r="103" spans="1:7" x14ac:dyDescent="0.5">
      <c r="A103" s="52" t="s">
        <v>180</v>
      </c>
      <c r="B103" s="20" t="str">
        <f t="shared" ref="B103:B113" si="4">LEFT(A103,5)</f>
        <v>ABMAS</v>
      </c>
      <c r="C103" s="40" t="s">
        <v>181</v>
      </c>
      <c r="D103" s="47">
        <v>755</v>
      </c>
      <c r="E103" s="41"/>
      <c r="F103" s="42"/>
      <c r="G103" t="s">
        <v>1555</v>
      </c>
    </row>
    <row r="104" spans="1:7" x14ac:dyDescent="0.5">
      <c r="A104" s="52" t="s">
        <v>183</v>
      </c>
      <c r="B104" s="20" t="str">
        <f t="shared" si="4"/>
        <v>ABMAS</v>
      </c>
      <c r="C104" s="40" t="s">
        <v>181</v>
      </c>
      <c r="D104" s="47">
        <v>755</v>
      </c>
      <c r="E104" s="41"/>
      <c r="F104" s="42"/>
      <c r="G104" t="s">
        <v>1555</v>
      </c>
    </row>
    <row r="105" spans="1:7" x14ac:dyDescent="0.5">
      <c r="A105" s="52" t="s">
        <v>184</v>
      </c>
      <c r="B105" s="20" t="str">
        <f t="shared" si="4"/>
        <v>ABMAS</v>
      </c>
      <c r="C105" s="40" t="s">
        <v>181</v>
      </c>
      <c r="D105" s="47">
        <v>755</v>
      </c>
      <c r="E105" s="41"/>
      <c r="F105" s="42"/>
      <c r="G105" t="s">
        <v>1555</v>
      </c>
    </row>
    <row r="106" spans="1:7" x14ac:dyDescent="0.5">
      <c r="A106" s="52" t="s">
        <v>185</v>
      </c>
      <c r="B106" s="20" t="str">
        <f t="shared" si="4"/>
        <v>ABMAS</v>
      </c>
      <c r="C106" s="40" t="s">
        <v>181</v>
      </c>
      <c r="D106" s="47">
        <v>755</v>
      </c>
      <c r="E106" s="41"/>
      <c r="F106" s="42"/>
      <c r="G106" t="s">
        <v>1555</v>
      </c>
    </row>
    <row r="107" spans="1:7" x14ac:dyDescent="0.5">
      <c r="A107" s="52" t="s">
        <v>186</v>
      </c>
      <c r="B107" s="20" t="str">
        <f t="shared" si="4"/>
        <v>ABMAS</v>
      </c>
      <c r="C107" s="40" t="s">
        <v>181</v>
      </c>
      <c r="D107" s="47">
        <v>755</v>
      </c>
      <c r="E107" s="41"/>
      <c r="F107" s="42"/>
      <c r="G107" t="s">
        <v>1555</v>
      </c>
    </row>
    <row r="108" spans="1:7" x14ac:dyDescent="0.5">
      <c r="A108" s="52" t="s">
        <v>187</v>
      </c>
      <c r="B108" s="20" t="str">
        <f t="shared" si="4"/>
        <v>ABMAS</v>
      </c>
      <c r="C108" s="40" t="s">
        <v>181</v>
      </c>
      <c r="D108" s="47">
        <v>755</v>
      </c>
      <c r="E108" s="41"/>
      <c r="F108" s="42"/>
      <c r="G108" t="s">
        <v>1555</v>
      </c>
    </row>
    <row r="109" spans="1:7" x14ac:dyDescent="0.5">
      <c r="A109" s="52" t="s">
        <v>188</v>
      </c>
      <c r="B109" s="20" t="str">
        <f t="shared" si="4"/>
        <v>ABMAS</v>
      </c>
      <c r="C109" s="40" t="s">
        <v>181</v>
      </c>
      <c r="D109" s="47">
        <v>755</v>
      </c>
      <c r="E109" s="41"/>
      <c r="F109" s="42"/>
      <c r="G109" t="s">
        <v>1555</v>
      </c>
    </row>
    <row r="110" spans="1:7" x14ac:dyDescent="0.5">
      <c r="A110" s="44" t="s">
        <v>1558</v>
      </c>
      <c r="B110" s="20" t="str">
        <f t="shared" si="4"/>
        <v>ABMAS</v>
      </c>
      <c r="C110" s="20" t="s">
        <v>373</v>
      </c>
      <c r="D110" s="46" t="s">
        <v>1553</v>
      </c>
      <c r="E110" s="20"/>
      <c r="G110" t="s">
        <v>1555</v>
      </c>
    </row>
    <row r="111" spans="1:7" x14ac:dyDescent="0.5">
      <c r="A111" s="44" t="s">
        <v>192</v>
      </c>
      <c r="B111" s="20" t="str">
        <f t="shared" si="4"/>
        <v>ABMAS</v>
      </c>
      <c r="C111" s="20" t="s">
        <v>117</v>
      </c>
      <c r="D111" s="46">
        <v>750</v>
      </c>
      <c r="E111" s="38"/>
      <c r="G111" t="s">
        <v>1555</v>
      </c>
    </row>
    <row r="112" spans="1:7" x14ac:dyDescent="0.5">
      <c r="A112" s="44" t="s">
        <v>198</v>
      </c>
      <c r="B112" s="20" t="str">
        <f t="shared" si="4"/>
        <v>ABMAS</v>
      </c>
      <c r="C112" s="20" t="s">
        <v>181</v>
      </c>
      <c r="D112" s="46">
        <v>755</v>
      </c>
      <c r="E112" s="38"/>
      <c r="G112" t="s">
        <v>1555</v>
      </c>
    </row>
    <row r="113" spans="1:9" x14ac:dyDescent="0.5">
      <c r="A113" s="44" t="s">
        <v>201</v>
      </c>
      <c r="B113" s="20" t="str">
        <f t="shared" si="4"/>
        <v>ABMAS</v>
      </c>
      <c r="C113" s="20" t="s">
        <v>181</v>
      </c>
      <c r="D113" s="46">
        <v>755</v>
      </c>
      <c r="E113" s="38"/>
      <c r="G113" t="s">
        <v>1555</v>
      </c>
    </row>
    <row r="114" spans="1:9" x14ac:dyDescent="0.5">
      <c r="A114" s="44" t="s">
        <v>47</v>
      </c>
      <c r="B114" s="20" t="str">
        <f t="shared" ref="B114:B126" si="5">LEFT(A114,4)</f>
        <v>CHLA</v>
      </c>
      <c r="C114" s="20" t="s">
        <v>25</v>
      </c>
      <c r="D114" s="46" t="s">
        <v>1553</v>
      </c>
      <c r="E114" s="20"/>
      <c r="G114" t="s">
        <v>1555</v>
      </c>
    </row>
    <row r="115" spans="1:9" x14ac:dyDescent="0.5">
      <c r="A115" s="44" t="s">
        <v>48</v>
      </c>
      <c r="B115" s="20" t="str">
        <f t="shared" si="5"/>
        <v>CHLA</v>
      </c>
      <c r="C115" s="20" t="s">
        <v>25</v>
      </c>
      <c r="D115" s="46" t="s">
        <v>1553</v>
      </c>
      <c r="E115" s="20"/>
      <c r="G115" t="s">
        <v>1555</v>
      </c>
    </row>
    <row r="116" spans="1:9" x14ac:dyDescent="0.5">
      <c r="A116" s="44" t="s">
        <v>52</v>
      </c>
      <c r="B116" s="20" t="str">
        <f t="shared" si="5"/>
        <v>CHLA</v>
      </c>
      <c r="C116" s="20" t="s">
        <v>31</v>
      </c>
      <c r="D116" s="46" t="s">
        <v>1553</v>
      </c>
      <c r="E116" s="20"/>
      <c r="G116" t="s">
        <v>1555</v>
      </c>
    </row>
    <row r="117" spans="1:9" x14ac:dyDescent="0.5">
      <c r="A117" s="44" t="s">
        <v>12</v>
      </c>
      <c r="B117" s="20" t="str">
        <f t="shared" si="5"/>
        <v>LIDE</v>
      </c>
      <c r="C117" s="20" t="s">
        <v>10</v>
      </c>
      <c r="D117" s="46" t="s">
        <v>1553</v>
      </c>
      <c r="E117" s="20"/>
      <c r="G117" t="s">
        <v>1555</v>
      </c>
    </row>
    <row r="118" spans="1:9" x14ac:dyDescent="0.5">
      <c r="A118" s="44" t="s">
        <v>13</v>
      </c>
      <c r="B118" s="20" t="str">
        <f t="shared" si="5"/>
        <v>LIDE</v>
      </c>
      <c r="C118" s="20" t="s">
        <v>10</v>
      </c>
      <c r="D118" s="46" t="s">
        <v>1553</v>
      </c>
      <c r="E118" s="20"/>
      <c r="G118" t="s">
        <v>1555</v>
      </c>
    </row>
    <row r="119" spans="1:9" x14ac:dyDescent="0.5">
      <c r="A119" s="44" t="s">
        <v>14</v>
      </c>
      <c r="B119" s="20" t="str">
        <f t="shared" si="5"/>
        <v>LIDE</v>
      </c>
      <c r="C119" s="20" t="s">
        <v>10</v>
      </c>
      <c r="D119" s="46" t="s">
        <v>1553</v>
      </c>
      <c r="E119" s="20"/>
      <c r="G119" t="s">
        <v>1555</v>
      </c>
    </row>
    <row r="120" spans="1:9" x14ac:dyDescent="0.5">
      <c r="A120" s="44" t="s">
        <v>28</v>
      </c>
      <c r="B120" s="20" t="str">
        <f t="shared" si="5"/>
        <v>LIDE</v>
      </c>
      <c r="C120" s="20" t="s">
        <v>25</v>
      </c>
      <c r="D120" s="46" t="s">
        <v>1553</v>
      </c>
      <c r="E120" s="20"/>
      <c r="G120" t="s">
        <v>1555</v>
      </c>
    </row>
    <row r="121" spans="1:9" x14ac:dyDescent="0.5">
      <c r="A121" s="44" t="s">
        <v>29</v>
      </c>
      <c r="B121" s="20" t="str">
        <f t="shared" si="5"/>
        <v>LIDE</v>
      </c>
      <c r="C121" s="20" t="s">
        <v>25</v>
      </c>
      <c r="D121" s="46" t="s">
        <v>1553</v>
      </c>
      <c r="E121" s="20"/>
      <c r="G121" t="s">
        <v>1555</v>
      </c>
    </row>
    <row r="122" spans="1:9" x14ac:dyDescent="0.5">
      <c r="A122" s="44" t="s">
        <v>1559</v>
      </c>
      <c r="B122" s="20" t="str">
        <f t="shared" si="5"/>
        <v>MIXE</v>
      </c>
      <c r="C122" s="20"/>
      <c r="D122" s="46" t="s">
        <v>1553</v>
      </c>
      <c r="E122" s="20"/>
      <c r="G122" t="s">
        <v>1555</v>
      </c>
    </row>
    <row r="123" spans="1:9" x14ac:dyDescent="0.5">
      <c r="A123" s="44" t="s">
        <v>270</v>
      </c>
      <c r="B123" s="20" t="str">
        <f t="shared" si="5"/>
        <v>PICO</v>
      </c>
      <c r="C123" s="20" t="s">
        <v>271</v>
      </c>
      <c r="D123" s="46"/>
      <c r="E123" s="20"/>
      <c r="G123" t="s">
        <v>1555</v>
      </c>
    </row>
    <row r="124" spans="1:9" x14ac:dyDescent="0.5">
      <c r="A124" s="44" t="s">
        <v>206</v>
      </c>
      <c r="B124" s="20" t="str">
        <f t="shared" si="5"/>
        <v>TSHE</v>
      </c>
      <c r="C124" s="20" t="s">
        <v>41</v>
      </c>
      <c r="D124" s="46">
        <v>600</v>
      </c>
      <c r="E124" s="20"/>
      <c r="G124" t="s">
        <v>1555</v>
      </c>
    </row>
    <row r="125" spans="1:9" x14ac:dyDescent="0.5">
      <c r="A125" s="44" t="s">
        <v>207</v>
      </c>
      <c r="B125" s="20" t="str">
        <f t="shared" si="5"/>
        <v>TSHE</v>
      </c>
      <c r="C125" s="20" t="s">
        <v>204</v>
      </c>
      <c r="D125" s="46">
        <v>600</v>
      </c>
      <c r="E125" s="20"/>
      <c r="G125" t="s">
        <v>1555</v>
      </c>
    </row>
    <row r="126" spans="1:9" x14ac:dyDescent="0.5">
      <c r="A126" s="44" t="s">
        <v>222</v>
      </c>
      <c r="B126" s="20" t="str">
        <f t="shared" si="5"/>
        <v>TSHE</v>
      </c>
      <c r="C126" s="20" t="s">
        <v>154</v>
      </c>
      <c r="D126" s="46" t="s">
        <v>1553</v>
      </c>
      <c r="E126" s="20"/>
      <c r="G126" t="s">
        <v>1555</v>
      </c>
    </row>
    <row r="127" spans="1:9" s="42" customFormat="1" ht="71.7" x14ac:dyDescent="0.5">
      <c r="A127" s="44" t="s">
        <v>23</v>
      </c>
      <c r="B127" s="20" t="str">
        <f>LEFT(A127,4)</f>
        <v>LIDE</v>
      </c>
      <c r="C127" s="20" t="s">
        <v>10</v>
      </c>
      <c r="D127" s="46" t="s">
        <v>1553</v>
      </c>
      <c r="E127" s="20"/>
      <c r="F127">
        <v>2</v>
      </c>
      <c r="G127" s="39" t="s">
        <v>314</v>
      </c>
      <c r="H127"/>
      <c r="I127"/>
    </row>
    <row r="128" spans="1:9" x14ac:dyDescent="0.5">
      <c r="A128" s="44"/>
      <c r="B128" s="20"/>
      <c r="C128" s="20"/>
      <c r="D128" s="46"/>
      <c r="E128" s="20"/>
    </row>
    <row r="129" spans="1:5" x14ac:dyDescent="0.5">
      <c r="A129" s="44"/>
      <c r="B129" s="20"/>
      <c r="C129" s="20"/>
      <c r="D129" s="46"/>
      <c r="E129" s="38"/>
    </row>
    <row r="130" spans="1:5" x14ac:dyDescent="0.5">
      <c r="A130" s="44"/>
      <c r="B130" s="20"/>
      <c r="C130" s="20"/>
      <c r="D130" s="46"/>
      <c r="E130" s="38"/>
    </row>
    <row r="131" spans="1:5" x14ac:dyDescent="0.5">
      <c r="A131" s="44"/>
      <c r="B131" s="20"/>
      <c r="C131" s="20"/>
      <c r="D131" s="46"/>
      <c r="E131" s="38"/>
    </row>
    <row r="132" spans="1:5" x14ac:dyDescent="0.5">
      <c r="A132" s="44"/>
      <c r="B132" s="20"/>
      <c r="C132" s="20"/>
      <c r="D132" s="46"/>
      <c r="E132" s="38"/>
    </row>
    <row r="133" spans="1:5" x14ac:dyDescent="0.5">
      <c r="A133" s="44"/>
      <c r="B133" s="20"/>
      <c r="C133" s="20"/>
      <c r="D133" s="46"/>
      <c r="E133" s="38"/>
    </row>
    <row r="134" spans="1:5" x14ac:dyDescent="0.5">
      <c r="A134" s="44"/>
      <c r="B134" s="20"/>
      <c r="C134" s="20"/>
      <c r="D134" s="46"/>
      <c r="E134" s="38"/>
    </row>
    <row r="135" spans="1:5" x14ac:dyDescent="0.5">
      <c r="A135" s="44"/>
      <c r="B135" s="20"/>
      <c r="C135" s="20"/>
      <c r="D135" s="46"/>
      <c r="E135" s="20"/>
    </row>
    <row r="136" spans="1:5" x14ac:dyDescent="0.5">
      <c r="A136" s="44"/>
      <c r="B136" s="20"/>
      <c r="C136" s="20"/>
      <c r="D136" s="46"/>
      <c r="E136" s="38"/>
    </row>
    <row r="137" spans="1:5" x14ac:dyDescent="0.5">
      <c r="A137" s="44"/>
      <c r="B137" s="20"/>
      <c r="C137" s="20"/>
      <c r="D137" s="46"/>
      <c r="E137" s="20"/>
    </row>
    <row r="138" spans="1:5" x14ac:dyDescent="0.5">
      <c r="A138" s="44"/>
      <c r="B138" s="20"/>
      <c r="C138" s="20"/>
      <c r="D138" s="46"/>
      <c r="E138" s="38"/>
    </row>
    <row r="139" spans="1:5" x14ac:dyDescent="0.5">
      <c r="A139" s="44"/>
      <c r="B139" s="20"/>
      <c r="C139" s="20"/>
      <c r="D139" s="46"/>
      <c r="E139" s="38"/>
    </row>
    <row r="140" spans="1:5" x14ac:dyDescent="0.5">
      <c r="A140" s="44"/>
      <c r="B140" s="20"/>
      <c r="C140" s="20"/>
      <c r="D140" s="46"/>
      <c r="E140" s="38"/>
    </row>
    <row r="141" spans="1:5" x14ac:dyDescent="0.5">
      <c r="A141" s="44"/>
      <c r="B141" s="20"/>
      <c r="C141" s="20"/>
      <c r="D141" s="46"/>
      <c r="E141" s="38"/>
    </row>
    <row r="142" spans="1:5" x14ac:dyDescent="0.5">
      <c r="A142" s="44"/>
      <c r="B142" s="20"/>
      <c r="C142" s="20"/>
      <c r="D142" s="46"/>
      <c r="E142" s="38"/>
    </row>
    <row r="143" spans="1:5" x14ac:dyDescent="0.5">
      <c r="A143" s="44"/>
      <c r="B143" s="20"/>
      <c r="C143" s="20"/>
      <c r="D143" s="46"/>
      <c r="E143" s="38"/>
    </row>
    <row r="144" spans="1:5" x14ac:dyDescent="0.5">
      <c r="A144" s="44"/>
      <c r="B144" s="20"/>
      <c r="C144" s="20"/>
      <c r="D144" s="46"/>
      <c r="E144" s="38"/>
    </row>
    <row r="145" spans="1:7" x14ac:dyDescent="0.5">
      <c r="A145" s="44"/>
      <c r="B145" s="20"/>
      <c r="C145" s="20"/>
      <c r="D145" s="46"/>
      <c r="E145" s="38"/>
    </row>
    <row r="146" spans="1:7" x14ac:dyDescent="0.5">
      <c r="A146" s="44"/>
      <c r="B146" s="20"/>
      <c r="C146" s="20"/>
      <c r="D146" s="46"/>
      <c r="E146" s="38"/>
    </row>
    <row r="147" spans="1:7" s="43" customFormat="1" x14ac:dyDescent="0.5">
      <c r="A147" s="44"/>
      <c r="B147" s="20"/>
      <c r="C147" s="20"/>
      <c r="D147" s="46"/>
      <c r="E147" s="38"/>
      <c r="F147"/>
      <c r="G147"/>
    </row>
    <row r="148" spans="1:7" x14ac:dyDescent="0.5">
      <c r="A148" s="44"/>
      <c r="B148" s="20"/>
      <c r="C148" s="20"/>
      <c r="D148" s="46"/>
      <c r="E148" s="20"/>
    </row>
    <row r="149" spans="1:7" x14ac:dyDescent="0.5">
      <c r="A149" s="44"/>
      <c r="B149" s="20"/>
      <c r="C149" s="20"/>
      <c r="D149" s="46"/>
      <c r="E149" s="38"/>
    </row>
    <row r="150" spans="1:7" x14ac:dyDescent="0.5">
      <c r="A150" s="44"/>
      <c r="B150" s="20"/>
      <c r="C150" s="20"/>
      <c r="D150" s="46"/>
      <c r="E150" s="20"/>
    </row>
    <row r="151" spans="1:7" x14ac:dyDescent="0.5">
      <c r="A151" s="44"/>
      <c r="B151" s="20"/>
      <c r="C151" s="20"/>
      <c r="D151" s="46"/>
      <c r="E151" s="20"/>
    </row>
    <row r="152" spans="1:7" x14ac:dyDescent="0.5">
      <c r="A152" s="44"/>
      <c r="B152" s="20"/>
      <c r="C152" s="20"/>
      <c r="D152" s="46"/>
      <c r="E152" s="20"/>
    </row>
    <row r="153" spans="1:7" x14ac:dyDescent="0.5">
      <c r="A153" s="44"/>
      <c r="B153" s="20"/>
      <c r="C153" s="20"/>
      <c r="D153" s="46"/>
      <c r="E153" s="20"/>
    </row>
    <row r="154" spans="1:7" x14ac:dyDescent="0.5">
      <c r="A154" s="44"/>
      <c r="B154" s="20"/>
      <c r="C154" s="20"/>
      <c r="D154" s="46"/>
      <c r="E154" s="38"/>
    </row>
    <row r="155" spans="1:7" x14ac:dyDescent="0.5">
      <c r="A155" s="44"/>
      <c r="B155" s="20"/>
      <c r="C155" s="20"/>
      <c r="D155" s="46"/>
      <c r="E155" s="38"/>
    </row>
    <row r="156" spans="1:7" x14ac:dyDescent="0.5">
      <c r="A156" s="44"/>
      <c r="B156" s="20"/>
      <c r="C156" s="20"/>
      <c r="D156" s="46"/>
      <c r="E156" s="38"/>
    </row>
    <row r="157" spans="1:7" x14ac:dyDescent="0.5">
      <c r="A157" s="44"/>
      <c r="B157" s="20"/>
      <c r="C157" s="20"/>
      <c r="D157" s="46"/>
      <c r="E157" s="38"/>
    </row>
    <row r="158" spans="1:7" x14ac:dyDescent="0.5">
      <c r="A158" s="44"/>
      <c r="B158" s="20"/>
      <c r="C158" s="20"/>
      <c r="D158" s="46"/>
      <c r="E158" s="38"/>
    </row>
    <row r="159" spans="1:7" x14ac:dyDescent="0.5">
      <c r="A159" s="44"/>
      <c r="B159" s="20"/>
      <c r="C159" s="20"/>
      <c r="D159" s="46"/>
      <c r="E159" s="20"/>
    </row>
    <row r="160" spans="1:7" x14ac:dyDescent="0.5">
      <c r="A160" s="44"/>
      <c r="B160" s="20"/>
      <c r="C160" s="20"/>
      <c r="D160" s="46"/>
      <c r="E160" s="20"/>
    </row>
    <row r="161" spans="1:5" x14ac:dyDescent="0.5">
      <c r="A161" s="44"/>
      <c r="B161" s="20"/>
      <c r="C161" s="20"/>
      <c r="D161" s="46"/>
      <c r="E161" s="20"/>
    </row>
    <row r="162" spans="1:5" x14ac:dyDescent="0.5">
      <c r="A162" s="44"/>
      <c r="B162" s="20"/>
      <c r="C162" s="20"/>
      <c r="D162" s="46"/>
      <c r="E162" s="20"/>
    </row>
    <row r="163" spans="1:5" x14ac:dyDescent="0.5">
      <c r="A163" s="44"/>
      <c r="B163" s="20"/>
      <c r="C163" s="20"/>
      <c r="D163" s="46"/>
      <c r="E163" s="20"/>
    </row>
    <row r="164" spans="1:5" x14ac:dyDescent="0.5">
      <c r="A164" s="44"/>
      <c r="B164" s="20"/>
      <c r="C164" s="20"/>
      <c r="D164" s="46"/>
      <c r="E164" s="20"/>
    </row>
    <row r="165" spans="1:5" x14ac:dyDescent="0.5">
      <c r="A165" s="44"/>
      <c r="B165" s="20"/>
      <c r="C165" s="20"/>
      <c r="D165" s="46"/>
      <c r="E165" s="20"/>
    </row>
    <row r="166" spans="1:5" x14ac:dyDescent="0.5">
      <c r="A166" s="44"/>
      <c r="B166" s="20"/>
      <c r="C166" s="20"/>
      <c r="D166" s="46"/>
      <c r="E166" s="20"/>
    </row>
    <row r="167" spans="1:5" x14ac:dyDescent="0.5">
      <c r="A167" s="44"/>
      <c r="B167" s="20"/>
      <c r="C167" s="20"/>
      <c r="D167" s="46"/>
      <c r="E167" s="20"/>
    </row>
    <row r="168" spans="1:5" x14ac:dyDescent="0.5">
      <c r="A168" s="44"/>
      <c r="B168" s="20"/>
      <c r="C168" s="20"/>
      <c r="D168" s="46"/>
      <c r="E168" s="20"/>
    </row>
    <row r="169" spans="1:5" x14ac:dyDescent="0.5">
      <c r="A169" s="44"/>
      <c r="B169" s="20"/>
      <c r="C169" s="20"/>
      <c r="D169" s="46"/>
      <c r="E169" s="20"/>
    </row>
    <row r="170" spans="1:5" x14ac:dyDescent="0.5">
      <c r="A170" s="44"/>
      <c r="B170" s="20"/>
      <c r="C170" s="20"/>
      <c r="D170" s="46"/>
      <c r="E170" s="20"/>
    </row>
    <row r="171" spans="1:5" x14ac:dyDescent="0.5">
      <c r="A171" s="44"/>
      <c r="B171" s="20"/>
      <c r="C171" s="20"/>
      <c r="D171" s="46"/>
      <c r="E171" s="20"/>
    </row>
    <row r="172" spans="1:5" x14ac:dyDescent="0.5">
      <c r="A172" s="44"/>
      <c r="B172" s="20"/>
      <c r="C172" s="20"/>
      <c r="D172" s="46"/>
      <c r="E172" s="20"/>
    </row>
    <row r="173" spans="1:5" x14ac:dyDescent="0.5">
      <c r="A173" s="44"/>
      <c r="B173" s="20"/>
      <c r="C173" s="20"/>
      <c r="D173" s="46"/>
      <c r="E173" s="20"/>
    </row>
    <row r="174" spans="1:5" x14ac:dyDescent="0.5">
      <c r="A174" s="44"/>
      <c r="B174" s="20"/>
      <c r="C174" s="20"/>
      <c r="D174" s="46"/>
      <c r="E174" s="20"/>
    </row>
    <row r="175" spans="1:5" x14ac:dyDescent="0.5">
      <c r="A175" s="44"/>
      <c r="B175" s="20"/>
      <c r="C175" s="20"/>
      <c r="D175" s="46"/>
      <c r="E175" s="20"/>
    </row>
    <row r="176" spans="1:5" x14ac:dyDescent="0.5">
      <c r="A176" s="44"/>
      <c r="B176" s="20"/>
      <c r="C176" s="20"/>
      <c r="D176" s="46"/>
      <c r="E176" s="20"/>
    </row>
    <row r="177" spans="1:5" x14ac:dyDescent="0.5">
      <c r="A177" s="44"/>
      <c r="B177" s="20"/>
      <c r="C177" s="20"/>
      <c r="D177" s="46"/>
      <c r="E177" s="20"/>
    </row>
    <row r="178" spans="1:5" x14ac:dyDescent="0.5">
      <c r="A178" s="44"/>
      <c r="B178" s="20"/>
      <c r="C178" s="20"/>
      <c r="D178" s="46"/>
      <c r="E178" s="20"/>
    </row>
    <row r="179" spans="1:5" x14ac:dyDescent="0.5">
      <c r="A179" s="44"/>
      <c r="B179" s="20"/>
      <c r="C179" s="20"/>
      <c r="D179" s="46"/>
      <c r="E179" s="20"/>
    </row>
    <row r="180" spans="1:5" x14ac:dyDescent="0.5">
      <c r="A180" s="44"/>
      <c r="B180" s="20"/>
      <c r="C180" s="20"/>
      <c r="D180" s="46"/>
      <c r="E180" s="20"/>
    </row>
    <row r="181" spans="1:5" x14ac:dyDescent="0.5">
      <c r="A181" s="44"/>
      <c r="B181" s="20"/>
      <c r="C181" s="20"/>
      <c r="D181" s="46"/>
      <c r="E181" s="20"/>
    </row>
    <row r="182" spans="1:5" x14ac:dyDescent="0.5">
      <c r="A182" s="44"/>
      <c r="B182" s="20"/>
      <c r="C182" s="20"/>
      <c r="D182" s="46"/>
      <c r="E182" s="20"/>
    </row>
    <row r="183" spans="1:5" x14ac:dyDescent="0.5">
      <c r="A183" s="44"/>
      <c r="B183" s="20"/>
      <c r="C183" s="20"/>
      <c r="D183" s="46"/>
      <c r="E183" s="20"/>
    </row>
    <row r="184" spans="1:5" x14ac:dyDescent="0.5">
      <c r="A184" s="44"/>
      <c r="B184" s="20"/>
      <c r="C184" s="20"/>
      <c r="D184" s="46"/>
      <c r="E184" s="20"/>
    </row>
    <row r="185" spans="1:5" x14ac:dyDescent="0.5">
      <c r="A185" s="44"/>
      <c r="B185" s="20"/>
      <c r="C185" s="20"/>
      <c r="D185" s="46"/>
      <c r="E185" s="20"/>
    </row>
    <row r="186" spans="1:5" x14ac:dyDescent="0.5">
      <c r="A186" s="44"/>
      <c r="B186" s="20"/>
      <c r="C186" s="20"/>
      <c r="D186" s="46"/>
      <c r="E186" s="20"/>
    </row>
    <row r="187" spans="1:5" x14ac:dyDescent="0.5">
      <c r="A187" s="44"/>
      <c r="B187" s="20"/>
      <c r="C187" s="20"/>
      <c r="D187" s="46"/>
      <c r="E187" s="38"/>
    </row>
    <row r="188" spans="1:5" x14ac:dyDescent="0.5">
      <c r="A188" s="44"/>
      <c r="B188" s="20"/>
      <c r="C188" s="20"/>
      <c r="D188" s="46"/>
      <c r="E188" s="38"/>
    </row>
    <row r="189" spans="1:5" x14ac:dyDescent="0.5">
      <c r="A189" s="44"/>
      <c r="B189" s="20"/>
      <c r="C189" s="20"/>
      <c r="D189" s="46"/>
      <c r="E189" s="20"/>
    </row>
    <row r="190" spans="1:5" x14ac:dyDescent="0.5">
      <c r="A190" s="44"/>
      <c r="B190" s="20"/>
      <c r="C190" s="20"/>
      <c r="D190" s="46"/>
      <c r="E190" s="20"/>
    </row>
    <row r="191" spans="1:5" x14ac:dyDescent="0.5">
      <c r="A191" s="44"/>
      <c r="B191" s="20"/>
      <c r="C191" s="20"/>
      <c r="D191" s="46"/>
      <c r="E191" s="38"/>
    </row>
    <row r="192" spans="1:5" x14ac:dyDescent="0.5">
      <c r="A192" s="44"/>
      <c r="B192" s="20"/>
      <c r="C192" s="20"/>
      <c r="D192" s="46"/>
      <c r="E192" s="38"/>
    </row>
    <row r="193" spans="1:5" x14ac:dyDescent="0.5">
      <c r="A193" s="44"/>
      <c r="B193" s="20"/>
      <c r="C193" s="20"/>
      <c r="D193" s="46"/>
      <c r="E193" s="38"/>
    </row>
    <row r="194" spans="1:5" x14ac:dyDescent="0.5">
      <c r="A194" s="44"/>
      <c r="B194" s="20"/>
      <c r="C194" s="20"/>
      <c r="D194" s="46"/>
      <c r="E194" s="38"/>
    </row>
    <row r="195" spans="1:5" x14ac:dyDescent="0.5">
      <c r="A195" s="44"/>
      <c r="B195" s="20"/>
      <c r="C195" s="20"/>
      <c r="D195" s="46"/>
      <c r="E195" s="20"/>
    </row>
    <row r="196" spans="1:5" x14ac:dyDescent="0.5">
      <c r="A196" s="44"/>
      <c r="B196" s="20"/>
      <c r="C196" s="20"/>
      <c r="D196" s="46"/>
      <c r="E196" s="38"/>
    </row>
    <row r="197" spans="1:5" x14ac:dyDescent="0.5">
      <c r="A197" s="44"/>
      <c r="B197" s="20"/>
      <c r="C197" s="20"/>
      <c r="D197" s="46"/>
      <c r="E197" s="38"/>
    </row>
    <row r="198" spans="1:5" x14ac:dyDescent="0.5">
      <c r="A198" s="44"/>
      <c r="B198" s="20"/>
      <c r="C198" s="20"/>
      <c r="D198" s="46"/>
      <c r="E198" s="20"/>
    </row>
    <row r="199" spans="1:5" x14ac:dyDescent="0.5">
      <c r="A199" s="44"/>
      <c r="B199" s="20"/>
      <c r="C199" s="20"/>
      <c r="D199" s="46"/>
      <c r="E199" s="20"/>
    </row>
    <row r="200" spans="1:5" x14ac:dyDescent="0.5">
      <c r="A200" s="44"/>
      <c r="B200" s="20"/>
      <c r="C200" s="20"/>
      <c r="D200" s="46"/>
      <c r="E200" s="20"/>
    </row>
    <row r="201" spans="1:5" x14ac:dyDescent="0.5">
      <c r="A201" s="44"/>
      <c r="B201" s="20"/>
      <c r="C201" s="20"/>
      <c r="D201" s="46"/>
      <c r="E201" s="20"/>
    </row>
    <row r="202" spans="1:5" x14ac:dyDescent="0.5">
      <c r="A202" s="44"/>
      <c r="B202" s="20"/>
      <c r="C202" s="20"/>
      <c r="D202" s="46"/>
      <c r="E202" s="20"/>
    </row>
    <row r="203" spans="1:5" x14ac:dyDescent="0.5">
      <c r="A203" s="44"/>
      <c r="B203" s="20"/>
      <c r="C203" s="20"/>
      <c r="D203" s="46"/>
      <c r="E203" s="20"/>
    </row>
    <row r="204" spans="1:5" x14ac:dyDescent="0.5">
      <c r="A204" s="44"/>
      <c r="B204" s="20"/>
      <c r="C204" s="20"/>
      <c r="D204" s="46"/>
      <c r="E204" s="20"/>
    </row>
    <row r="205" spans="1:5" x14ac:dyDescent="0.5">
      <c r="A205" s="44"/>
      <c r="B205" s="20"/>
      <c r="C205" s="20"/>
      <c r="D205" s="46"/>
      <c r="E205" s="20"/>
    </row>
    <row r="206" spans="1:5" x14ac:dyDescent="0.5">
      <c r="A206" s="44"/>
      <c r="B206" s="20"/>
      <c r="C206" s="20"/>
      <c r="D206" s="46"/>
      <c r="E206" s="20"/>
    </row>
    <row r="207" spans="1:5" x14ac:dyDescent="0.5">
      <c r="A207" s="44"/>
      <c r="B207" s="20"/>
      <c r="C207" s="20"/>
      <c r="D207" s="46"/>
      <c r="E207" s="20"/>
    </row>
    <row r="208" spans="1:5" x14ac:dyDescent="0.5">
      <c r="A208" s="44"/>
      <c r="B208" s="20"/>
      <c r="C208" s="20"/>
      <c r="D208" s="46"/>
      <c r="E208" s="20"/>
    </row>
    <row r="209" spans="1:5" x14ac:dyDescent="0.5">
      <c r="A209" s="44"/>
      <c r="B209" s="20"/>
      <c r="C209" s="20"/>
      <c r="D209" s="46"/>
      <c r="E209" s="20"/>
    </row>
    <row r="210" spans="1:5" x14ac:dyDescent="0.5">
      <c r="A210" s="44"/>
      <c r="B210" s="20"/>
      <c r="C210" s="20"/>
      <c r="D210" s="46"/>
      <c r="E210" s="20"/>
    </row>
    <row r="211" spans="1:5" x14ac:dyDescent="0.5">
      <c r="A211" s="44"/>
      <c r="B211" s="20"/>
      <c r="C211" s="20"/>
      <c r="D211" s="46"/>
      <c r="E211" s="20"/>
    </row>
    <row r="212" spans="1:5" x14ac:dyDescent="0.5">
      <c r="A212" s="44"/>
      <c r="B212" s="20"/>
      <c r="C212" s="20"/>
      <c r="D212" s="46"/>
      <c r="E212" s="20"/>
    </row>
    <row r="213" spans="1:5" x14ac:dyDescent="0.5">
      <c r="A213" s="44"/>
      <c r="B213" s="20"/>
      <c r="C213" s="20"/>
      <c r="D213" s="46"/>
      <c r="E213" s="20"/>
    </row>
    <row r="214" spans="1:5" x14ac:dyDescent="0.5">
      <c r="A214" s="44"/>
      <c r="B214" s="20"/>
      <c r="C214" s="20"/>
      <c r="D214" s="46"/>
      <c r="E214" s="20"/>
    </row>
    <row r="215" spans="1:5" x14ac:dyDescent="0.5">
      <c r="A215" s="44"/>
      <c r="B215" s="20"/>
      <c r="C215" s="61"/>
      <c r="D215" s="46"/>
      <c r="E215" s="20"/>
    </row>
    <row r="216" spans="1:5" x14ac:dyDescent="0.5">
      <c r="A216" s="44"/>
      <c r="B216" s="20"/>
      <c r="C216" s="20"/>
      <c r="D216" s="46"/>
      <c r="E216" s="20"/>
    </row>
    <row r="217" spans="1:5" x14ac:dyDescent="0.5">
      <c r="A217" s="44"/>
      <c r="B217" s="20"/>
      <c r="C217" s="20"/>
      <c r="D217" s="46"/>
      <c r="E217" s="20"/>
    </row>
    <row r="218" spans="1:5" x14ac:dyDescent="0.5">
      <c r="A218" s="44"/>
      <c r="B218" s="20"/>
      <c r="C218" s="20"/>
      <c r="D218" s="46"/>
      <c r="E218" s="20"/>
    </row>
    <row r="219" spans="1:5" x14ac:dyDescent="0.5">
      <c r="A219" s="44"/>
      <c r="B219" s="20"/>
      <c r="C219" s="20"/>
      <c r="D219" s="46"/>
      <c r="E219" s="20"/>
    </row>
    <row r="220" spans="1:5" x14ac:dyDescent="0.5">
      <c r="A220" s="44"/>
      <c r="B220" s="20"/>
      <c r="C220" s="20"/>
      <c r="D220" s="46"/>
      <c r="E220" s="20"/>
    </row>
    <row r="221" spans="1:5" x14ac:dyDescent="0.5">
      <c r="A221" s="44"/>
      <c r="B221" s="20"/>
      <c r="C221" s="20"/>
      <c r="D221" s="46"/>
      <c r="E221" s="20"/>
    </row>
    <row r="222" spans="1:5" x14ac:dyDescent="0.5">
      <c r="A222" s="44"/>
      <c r="B222" s="20"/>
      <c r="C222" s="20"/>
      <c r="D222" s="46"/>
      <c r="E222" s="20"/>
    </row>
    <row r="223" spans="1:5" x14ac:dyDescent="0.5">
      <c r="A223" s="44"/>
      <c r="B223" s="20"/>
      <c r="C223" s="20"/>
      <c r="D223" s="46"/>
      <c r="E223" s="20"/>
    </row>
    <row r="224" spans="1:5" x14ac:dyDescent="0.5">
      <c r="A224" s="44"/>
      <c r="B224" s="20"/>
      <c r="C224" s="20"/>
      <c r="D224" s="46"/>
      <c r="E224" s="20"/>
    </row>
    <row r="225" spans="1:7" x14ac:dyDescent="0.5">
      <c r="A225" s="44"/>
      <c r="B225" s="20"/>
      <c r="C225" s="20"/>
      <c r="D225" s="46"/>
      <c r="E225" s="20"/>
    </row>
    <row r="226" spans="1:7" x14ac:dyDescent="0.5">
      <c r="A226" s="44"/>
      <c r="B226" s="20"/>
      <c r="C226" s="20"/>
      <c r="D226" s="46"/>
      <c r="E226" s="20"/>
    </row>
    <row r="227" spans="1:7" x14ac:dyDescent="0.5">
      <c r="A227" s="44"/>
      <c r="B227" s="20"/>
      <c r="C227" s="20"/>
      <c r="D227" s="46"/>
      <c r="E227" s="20"/>
    </row>
    <row r="228" spans="1:7" x14ac:dyDescent="0.5">
      <c r="A228" s="44"/>
      <c r="B228" s="20"/>
      <c r="C228" s="20"/>
      <c r="D228" s="46"/>
      <c r="E228" s="20"/>
    </row>
    <row r="229" spans="1:7" s="42" customFormat="1" x14ac:dyDescent="0.5">
      <c r="A229" s="44"/>
      <c r="B229" s="20"/>
      <c r="C229" s="20"/>
      <c r="D229" s="46"/>
      <c r="E229" s="20"/>
      <c r="F229"/>
      <c r="G229"/>
    </row>
    <row r="230" spans="1:7" x14ac:dyDescent="0.5">
      <c r="A230" s="44"/>
      <c r="B230" s="20"/>
      <c r="C230" s="20"/>
      <c r="D230" s="46"/>
      <c r="E230" s="20"/>
    </row>
    <row r="231" spans="1:7" x14ac:dyDescent="0.5">
      <c r="A231" s="44"/>
      <c r="B231" s="20"/>
      <c r="C231" s="20"/>
      <c r="D231" s="46"/>
      <c r="E231" s="20"/>
    </row>
    <row r="232" spans="1:7" x14ac:dyDescent="0.5">
      <c r="A232" s="44"/>
      <c r="B232" s="20"/>
      <c r="C232" s="20"/>
      <c r="D232" s="46"/>
      <c r="E232" s="20"/>
    </row>
    <row r="233" spans="1:7" x14ac:dyDescent="0.5">
      <c r="A233" s="44"/>
      <c r="B233" s="20"/>
      <c r="C233" s="20"/>
      <c r="D233" s="46"/>
      <c r="E233" s="20"/>
    </row>
    <row r="234" spans="1:7" x14ac:dyDescent="0.5">
      <c r="A234" s="44"/>
      <c r="B234" s="20"/>
      <c r="C234" s="20"/>
      <c r="D234" s="46"/>
      <c r="E234" s="20"/>
    </row>
    <row r="235" spans="1:7" s="42" customFormat="1" x14ac:dyDescent="0.5">
      <c r="A235" s="44"/>
      <c r="B235" s="20"/>
      <c r="C235" s="20"/>
      <c r="D235" s="46"/>
      <c r="E235" s="20"/>
      <c r="F235"/>
      <c r="G235"/>
    </row>
    <row r="236" spans="1:7" s="42" customFormat="1" x14ac:dyDescent="0.5">
      <c r="A236" s="44"/>
      <c r="B236" s="20"/>
      <c r="C236" s="20"/>
      <c r="D236" s="46"/>
      <c r="E236" s="20"/>
      <c r="F236"/>
      <c r="G236"/>
    </row>
    <row r="237" spans="1:7" x14ac:dyDescent="0.5">
      <c r="A237" s="44"/>
      <c r="B237" s="20"/>
      <c r="C237" s="20"/>
      <c r="D237" s="46"/>
      <c r="E237" s="20"/>
    </row>
    <row r="238" spans="1:7" s="42" customFormat="1" x14ac:dyDescent="0.5">
      <c r="A238" s="44"/>
      <c r="B238" s="20"/>
      <c r="C238" s="20"/>
      <c r="D238" s="46"/>
      <c r="E238" s="20"/>
      <c r="F238"/>
      <c r="G238"/>
    </row>
    <row r="239" spans="1:7" x14ac:dyDescent="0.5">
      <c r="A239" s="44"/>
      <c r="B239" s="20"/>
      <c r="C239" s="20"/>
      <c r="D239" s="46"/>
      <c r="E239" s="20"/>
    </row>
    <row r="240" spans="1:7" x14ac:dyDescent="0.5">
      <c r="A240" s="44"/>
      <c r="B240" s="20"/>
      <c r="C240" s="20"/>
      <c r="D240" s="46"/>
      <c r="E240" s="20"/>
    </row>
    <row r="241" spans="1:7" s="42" customFormat="1" x14ac:dyDescent="0.5">
      <c r="A241" s="44"/>
      <c r="B241" s="20"/>
      <c r="C241" s="20"/>
      <c r="D241" s="46"/>
      <c r="E241" s="20"/>
      <c r="F241"/>
      <c r="G241"/>
    </row>
    <row r="242" spans="1:7" s="42" customFormat="1" x14ac:dyDescent="0.5">
      <c r="A242" s="44"/>
      <c r="B242" s="20"/>
      <c r="C242" s="20"/>
      <c r="D242" s="46"/>
      <c r="E242" s="20"/>
      <c r="F242"/>
      <c r="G242"/>
    </row>
    <row r="243" spans="1:7" x14ac:dyDescent="0.5">
      <c r="A243" s="44"/>
      <c r="B243" s="20"/>
      <c r="C243" s="20"/>
      <c r="D243" s="46"/>
      <c r="E243" s="20"/>
    </row>
    <row r="244" spans="1:7" s="42" customFormat="1" x14ac:dyDescent="0.5">
      <c r="A244" s="44"/>
      <c r="B244" s="20"/>
      <c r="C244" s="20"/>
      <c r="D244" s="46"/>
      <c r="E244" s="20"/>
      <c r="F244"/>
      <c r="G244"/>
    </row>
    <row r="245" spans="1:7" s="42" customFormat="1" x14ac:dyDescent="0.5">
      <c r="A245" s="44"/>
      <c r="B245" s="20"/>
      <c r="C245" s="20"/>
      <c r="D245" s="46"/>
      <c r="E245" s="20"/>
      <c r="F245"/>
      <c r="G245"/>
    </row>
    <row r="246" spans="1:7" x14ac:dyDescent="0.5">
      <c r="A246" s="44"/>
      <c r="B246" s="20"/>
      <c r="C246" s="20"/>
      <c r="D246" s="46"/>
      <c r="E246" s="20"/>
    </row>
    <row r="247" spans="1:7" x14ac:dyDescent="0.5">
      <c r="A247" s="44"/>
      <c r="B247" s="20"/>
      <c r="C247" s="20"/>
      <c r="D247" s="46"/>
      <c r="E247" s="20"/>
    </row>
  </sheetData>
  <autoFilter ref="A1:G247" xr:uid="{5BDA58CD-A157-421B-87B5-91592C836C66}">
    <sortState xmlns:xlrd2="http://schemas.microsoft.com/office/spreadsheetml/2017/richdata2" ref="A2:G247">
      <sortCondition ref="G1:G24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SWOR_PA_PVT</vt:lpstr>
      <vt:lpstr>SWOR_PA_PVT_SDI</vt:lpstr>
      <vt:lpstr>PivotTableSeries</vt:lpstr>
      <vt:lpstr>Sheet1</vt:lpstr>
      <vt:lpstr>References_CSE</vt:lpstr>
      <vt:lpstr>MaxSDIAnalysis</vt:lpstr>
      <vt:lpstr>MaxSDISource</vt:lpstr>
      <vt:lpstr>References Data</vt:lpstr>
      <vt:lpstr>Ashland_CSE</vt:lpstr>
      <vt:lpstr>RA_LFBpS_SWO_PAG_PA</vt:lpstr>
      <vt:lpstr>BpS SWOR</vt:lpstr>
      <vt:lpstr>BpS2013</vt:lpstr>
      <vt:lpstr>Deleted - SWOR_PA_PVT_SDI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Kerry Metlen</dc:creator>
  <cp:keywords/>
  <dc:description/>
  <cp:lastModifiedBy>Sven Rodne</cp:lastModifiedBy>
  <cp:revision/>
  <dcterms:created xsi:type="dcterms:W3CDTF">2022-03-02T01:08:11Z</dcterms:created>
  <dcterms:modified xsi:type="dcterms:W3CDTF">2025-08-04T21:01:49Z</dcterms:modified>
  <cp:category/>
  <cp:contentStatus/>
</cp:coreProperties>
</file>