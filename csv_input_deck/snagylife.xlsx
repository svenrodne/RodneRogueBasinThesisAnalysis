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krod\Desktop\"/>
    </mc:Choice>
  </mc:AlternateContent>
  <xr:revisionPtr revIDLastSave="0" documentId="13_ncr:1_{ED150901-4101-4EF4-AE7C-EDE2CDDD6DAE}" xr6:coauthVersionLast="47" xr6:coauthVersionMax="47" xr10:uidLastSave="{00000000-0000-0000-0000-000000000000}"/>
  <bookViews>
    <workbookView xWindow="-108" yWindow="-108" windowWidth="23256" windowHeight="12456" xr2:uid="{B9A82DFD-133C-4686-8D8F-C27A13398C0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081" i="1" l="1" a="1"/>
  <c r="B1081" i="1" s="1"/>
  <c r="B1082" i="1" a="1"/>
  <c r="B1082" i="1" s="1"/>
  <c r="B1083" i="1" a="1"/>
  <c r="B1083" i="1" s="1"/>
  <c r="B1084" i="1" a="1"/>
  <c r="B1084" i="1" s="1"/>
  <c r="B1085" i="1" a="1"/>
  <c r="B1085" i="1" s="1"/>
  <c r="B1086" i="1" a="1"/>
  <c r="B1086" i="1" s="1"/>
  <c r="B1087" i="1" a="1"/>
  <c r="B1087" i="1" s="1"/>
  <c r="B1088" i="1" a="1"/>
  <c r="B1088" i="1" s="1"/>
  <c r="B1089" i="1" a="1"/>
  <c r="B1089" i="1" s="1"/>
  <c r="B1090" i="1" a="1"/>
  <c r="B1090" i="1" s="1"/>
  <c r="B1091" i="1" a="1"/>
  <c r="B1091" i="1" s="1"/>
  <c r="B1092" i="1" a="1"/>
  <c r="B1092" i="1" s="1"/>
  <c r="B1093" i="1" a="1"/>
  <c r="B1093" i="1" s="1"/>
  <c r="B1094" i="1" a="1"/>
  <c r="B1094" i="1" s="1"/>
  <c r="B1095" i="1" a="1"/>
  <c r="B1095" i="1" s="1"/>
  <c r="B1096" i="1" a="1"/>
  <c r="B1096" i="1" s="1"/>
  <c r="B1097" i="1" a="1"/>
  <c r="B1097" i="1" s="1"/>
  <c r="B1098" i="1" a="1"/>
  <c r="B1098" i="1" s="1"/>
  <c r="B1099" i="1" a="1"/>
  <c r="B1099" i="1" s="1"/>
  <c r="B1100" i="1" a="1"/>
  <c r="B1100" i="1" s="1"/>
  <c r="B1101" i="1" a="1"/>
  <c r="B1101" i="1" s="1"/>
  <c r="B1102" i="1" a="1"/>
  <c r="B1102" i="1" s="1"/>
  <c r="B1103" i="1" a="1"/>
  <c r="B1103" i="1" s="1"/>
  <c r="B1104" i="1" a="1"/>
  <c r="B1104" i="1" s="1"/>
  <c r="B1105" i="1" a="1"/>
  <c r="B1105" i="1" s="1"/>
  <c r="B1106" i="1" a="1"/>
  <c r="B1106" i="1" s="1"/>
  <c r="B1107" i="1" a="1"/>
  <c r="B1107" i="1" s="1"/>
  <c r="B1108" i="1" a="1"/>
  <c r="B1108" i="1" s="1"/>
  <c r="B1109" i="1" a="1"/>
  <c r="B1109" i="1" s="1"/>
  <c r="B1110" i="1" a="1"/>
  <c r="B1110" i="1" s="1"/>
  <c r="B1111" i="1" a="1"/>
  <c r="B1111" i="1" s="1"/>
  <c r="B1112" i="1" a="1"/>
  <c r="B1112" i="1" s="1"/>
  <c r="B1113" i="1" a="1"/>
  <c r="B1113" i="1" s="1"/>
  <c r="B1114" i="1" a="1"/>
  <c r="B1114" i="1" s="1"/>
  <c r="B1115" i="1" a="1"/>
  <c r="B1115" i="1" s="1"/>
  <c r="B1116" i="1" a="1"/>
  <c r="B1116" i="1" s="1"/>
  <c r="B1117" i="1" a="1"/>
  <c r="B1117" i="1" s="1"/>
  <c r="B1118" i="1" a="1"/>
  <c r="B1118" i="1" s="1"/>
  <c r="B1119" i="1" a="1"/>
  <c r="B1119" i="1" s="1"/>
  <c r="B1120" i="1" a="1"/>
  <c r="B1120" i="1" s="1"/>
  <c r="B1121" i="1" a="1"/>
  <c r="B1121" i="1" s="1"/>
  <c r="B1122" i="1" a="1"/>
  <c r="B1122" i="1" s="1"/>
  <c r="B1123" i="1" a="1"/>
  <c r="B1123" i="1" s="1"/>
  <c r="B1124" i="1" a="1"/>
  <c r="B1124" i="1" s="1"/>
  <c r="B1125" i="1" a="1"/>
  <c r="B1125" i="1" s="1"/>
  <c r="B1126" i="1" a="1"/>
  <c r="B1126" i="1" s="1"/>
  <c r="B1127" i="1" a="1"/>
  <c r="B1127" i="1" s="1"/>
  <c r="B1128" i="1" a="1"/>
  <c r="B1128" i="1" s="1"/>
  <c r="B1129" i="1" a="1"/>
  <c r="B1129" i="1" s="1"/>
  <c r="B1130" i="1" a="1"/>
  <c r="B1130" i="1" s="1"/>
  <c r="B1131" i="1" a="1"/>
  <c r="B1131" i="1" s="1"/>
  <c r="B1132" i="1" a="1"/>
  <c r="B1132" i="1" s="1"/>
  <c r="B1133" i="1" a="1"/>
  <c r="B1133" i="1" s="1"/>
  <c r="B1134" i="1" a="1"/>
  <c r="B1134" i="1" s="1"/>
  <c r="B1135" i="1" a="1"/>
  <c r="B1135" i="1" s="1"/>
  <c r="B1136" i="1" a="1"/>
  <c r="B1136" i="1" s="1"/>
  <c r="B1137" i="1" a="1"/>
  <c r="B1137" i="1" s="1"/>
  <c r="B1138" i="1" a="1"/>
  <c r="B1138" i="1" s="1"/>
  <c r="B1139" i="1" a="1"/>
  <c r="B1139" i="1" s="1"/>
  <c r="B1140" i="1" a="1"/>
  <c r="B1140" i="1" s="1"/>
  <c r="B1141" i="1" a="1"/>
  <c r="B1141" i="1" s="1"/>
  <c r="B1142" i="1" a="1"/>
  <c r="B1142" i="1" s="1"/>
  <c r="B1143" i="1" a="1"/>
  <c r="B1143" i="1" s="1"/>
  <c r="B1144" i="1" a="1"/>
  <c r="B1144" i="1" s="1"/>
  <c r="B1145" i="1" a="1"/>
  <c r="B1145" i="1" s="1"/>
  <c r="B1146" i="1" a="1"/>
  <c r="B1146" i="1" s="1"/>
  <c r="B1147" i="1" a="1"/>
  <c r="B1147" i="1" s="1"/>
  <c r="B1148" i="1" a="1"/>
  <c r="B1148" i="1" s="1"/>
  <c r="B1149" i="1" a="1"/>
  <c r="B1149" i="1" s="1"/>
  <c r="B1150" i="1" a="1"/>
  <c r="B1150" i="1" s="1"/>
  <c r="B1151" i="1" a="1"/>
  <c r="B1151" i="1" s="1"/>
  <c r="B1152" i="1" a="1"/>
  <c r="B1152" i="1" s="1"/>
  <c r="B1153" i="1" a="1"/>
  <c r="B1153" i="1" s="1"/>
  <c r="B1154" i="1" a="1"/>
  <c r="B1154" i="1" s="1"/>
  <c r="B1155" i="1" a="1"/>
  <c r="B1155" i="1" s="1"/>
  <c r="B1156" i="1" a="1"/>
  <c r="B1156" i="1" s="1"/>
  <c r="B1157" i="1" a="1"/>
  <c r="B1157" i="1" s="1"/>
  <c r="B1158" i="1" a="1"/>
  <c r="B1158" i="1" s="1"/>
  <c r="B1159" i="1" a="1"/>
  <c r="B1159" i="1" s="1"/>
  <c r="B1160" i="1" a="1"/>
  <c r="B1160" i="1" s="1"/>
  <c r="B1161" i="1" a="1"/>
  <c r="B1161" i="1" s="1"/>
  <c r="B1162" i="1" a="1"/>
  <c r="B1162" i="1" s="1"/>
  <c r="B1163" i="1" a="1"/>
  <c r="B1163" i="1" s="1"/>
  <c r="B1164" i="1" a="1"/>
  <c r="B1164" i="1" s="1"/>
  <c r="B1165" i="1" a="1"/>
  <c r="B1165" i="1" s="1"/>
  <c r="B1166" i="1" a="1"/>
  <c r="B1166" i="1" s="1"/>
  <c r="B1167" i="1" a="1"/>
  <c r="B1167" i="1" s="1"/>
  <c r="B1168" i="1" a="1"/>
  <c r="B1168" i="1" s="1"/>
  <c r="B1169" i="1" a="1"/>
  <c r="B1169" i="1" s="1"/>
  <c r="B1170" i="1" a="1"/>
  <c r="B1170" i="1" s="1"/>
  <c r="B1171" i="1" a="1"/>
  <c r="B1171" i="1" s="1"/>
  <c r="B1172" i="1" a="1"/>
  <c r="B1172" i="1" s="1"/>
  <c r="B1173" i="1" a="1"/>
  <c r="B1173" i="1" s="1"/>
  <c r="B1174" i="1" a="1"/>
  <c r="B1174" i="1" s="1"/>
  <c r="B1175" i="1" a="1"/>
  <c r="B1175" i="1" s="1"/>
  <c r="B1176" i="1" a="1"/>
  <c r="B1176" i="1" s="1"/>
  <c r="B1177" i="1" a="1"/>
  <c r="B1177" i="1" s="1"/>
  <c r="B1178" i="1" a="1"/>
  <c r="B1178" i="1" s="1"/>
  <c r="B1179" i="1" a="1"/>
  <c r="B1179" i="1" s="1"/>
  <c r="B1180" i="1" a="1"/>
  <c r="B1180" i="1" s="1"/>
  <c r="B1181" i="1" a="1"/>
  <c r="B1181" i="1" s="1"/>
  <c r="B1182" i="1" a="1"/>
  <c r="B1182" i="1" s="1"/>
  <c r="B1183" i="1" a="1"/>
  <c r="B1183" i="1" s="1"/>
  <c r="B1184" i="1" a="1"/>
  <c r="B1184" i="1" s="1"/>
  <c r="B1185" i="1" a="1"/>
  <c r="B1185" i="1" s="1"/>
  <c r="B1186" i="1" a="1"/>
  <c r="B1186" i="1" s="1"/>
  <c r="B1187" i="1" a="1"/>
  <c r="B1187" i="1" s="1"/>
  <c r="B1188" i="1" a="1"/>
  <c r="B1188" i="1" s="1"/>
  <c r="B1189" i="1" a="1"/>
  <c r="B1189" i="1" s="1"/>
  <c r="B1190" i="1" a="1"/>
  <c r="B1190" i="1" s="1"/>
  <c r="B1191" i="1" a="1"/>
  <c r="B1191" i="1" s="1"/>
  <c r="B1192" i="1" a="1"/>
  <c r="B1192" i="1" s="1"/>
  <c r="B1193" i="1" a="1"/>
  <c r="B1193" i="1" s="1"/>
  <c r="B1194" i="1" a="1"/>
  <c r="B1194" i="1" s="1"/>
  <c r="B1195" i="1" a="1"/>
  <c r="B1195" i="1" s="1"/>
  <c r="B1196" i="1" a="1"/>
  <c r="B1196" i="1" s="1"/>
  <c r="B1197" i="1" a="1"/>
  <c r="B1197" i="1" s="1"/>
  <c r="B1198" i="1" a="1"/>
  <c r="B1198" i="1" s="1"/>
  <c r="B1199" i="1" a="1"/>
  <c r="B1199" i="1" s="1"/>
  <c r="B1200" i="1" a="1"/>
  <c r="B1200" i="1" s="1"/>
  <c r="B1201" i="1" a="1"/>
  <c r="B1201" i="1" s="1"/>
  <c r="B1202" i="1" a="1"/>
  <c r="B1202" i="1" s="1"/>
  <c r="B1203" i="1" a="1"/>
  <c r="B1203" i="1" s="1"/>
  <c r="B1204" i="1" a="1"/>
  <c r="B1204" i="1" s="1"/>
  <c r="B1205" i="1" a="1"/>
  <c r="B1205" i="1" s="1"/>
  <c r="B1206" i="1" a="1"/>
  <c r="B1206" i="1" s="1"/>
  <c r="B1207" i="1" a="1"/>
  <c r="B1207" i="1" s="1"/>
  <c r="B1208" i="1" a="1"/>
  <c r="B1208" i="1" s="1"/>
  <c r="B1209" i="1" a="1"/>
  <c r="B1209" i="1" s="1"/>
  <c r="B1210" i="1" a="1"/>
  <c r="B1210" i="1" s="1"/>
  <c r="B1211" i="1" a="1"/>
  <c r="B1211" i="1" s="1"/>
  <c r="B1212" i="1" a="1"/>
  <c r="B1212" i="1" s="1"/>
  <c r="B1213" i="1" a="1"/>
  <c r="B1213" i="1" s="1"/>
  <c r="B1214" i="1" a="1"/>
  <c r="B1214" i="1" s="1"/>
  <c r="B1215" i="1" a="1"/>
  <c r="B1215" i="1" s="1"/>
  <c r="B1216" i="1" a="1"/>
  <c r="B1216" i="1" s="1"/>
  <c r="B1217" i="1" a="1"/>
  <c r="B1217" i="1" s="1"/>
  <c r="B1218" i="1" a="1"/>
  <c r="B1218" i="1" s="1"/>
  <c r="B1219" i="1" a="1"/>
  <c r="B1219" i="1" s="1"/>
  <c r="B1220" i="1" a="1"/>
  <c r="B1220" i="1" s="1"/>
  <c r="B1221" i="1" a="1"/>
  <c r="B1221" i="1" s="1"/>
  <c r="B1222" i="1" a="1"/>
  <c r="B1222" i="1" s="1"/>
  <c r="B1223" i="1" a="1"/>
  <c r="B1223" i="1" s="1"/>
  <c r="B1224" i="1" a="1"/>
  <c r="B1224" i="1" s="1"/>
  <c r="B1225" i="1" a="1"/>
  <c r="B1225" i="1" s="1"/>
  <c r="B1226" i="1" a="1"/>
  <c r="B1226" i="1" s="1"/>
  <c r="B1227" i="1" a="1"/>
  <c r="B1227" i="1" s="1"/>
  <c r="B1228" i="1" a="1"/>
  <c r="B1228" i="1" s="1"/>
  <c r="B1229" i="1" a="1"/>
  <c r="B1229" i="1" s="1"/>
  <c r="B1230" i="1" a="1"/>
  <c r="B1230" i="1" s="1"/>
  <c r="B1231" i="1" a="1"/>
  <c r="B1231" i="1" s="1"/>
  <c r="B1232" i="1" a="1"/>
  <c r="B1232" i="1" s="1"/>
  <c r="B1233" i="1" a="1"/>
  <c r="B1233" i="1" s="1"/>
  <c r="B1234" i="1" a="1"/>
  <c r="B1234" i="1" s="1"/>
  <c r="B1235" i="1" a="1"/>
  <c r="B1235" i="1" s="1"/>
  <c r="B1236" i="1" a="1"/>
  <c r="B1236" i="1" s="1"/>
  <c r="B1237" i="1" a="1"/>
  <c r="B1237" i="1" s="1"/>
  <c r="B1238" i="1" a="1"/>
  <c r="B1238" i="1" s="1"/>
  <c r="B1239" i="1" a="1"/>
  <c r="B1239" i="1" s="1"/>
  <c r="B1240" i="1" a="1"/>
  <c r="B1240" i="1" s="1"/>
  <c r="B1241" i="1" a="1"/>
  <c r="B1241" i="1" s="1"/>
  <c r="B1242" i="1" a="1"/>
  <c r="B1242" i="1" s="1"/>
  <c r="B1243" i="1" a="1"/>
  <c r="B1243" i="1" s="1"/>
  <c r="B1244" i="1" a="1"/>
  <c r="B1244" i="1" s="1"/>
  <c r="B1245" i="1" a="1"/>
  <c r="B1245" i="1" s="1"/>
  <c r="B1246" i="1" a="1"/>
  <c r="B1246" i="1" s="1"/>
  <c r="B1247" i="1" a="1"/>
  <c r="B1247" i="1" s="1"/>
  <c r="B1248" i="1" a="1"/>
  <c r="B1248" i="1" s="1"/>
  <c r="B1249" i="1" a="1"/>
  <c r="B1249" i="1" s="1"/>
  <c r="B1250" i="1" a="1"/>
  <c r="B1250" i="1" s="1"/>
  <c r="B1251" i="1" a="1"/>
  <c r="B1251" i="1" s="1"/>
  <c r="B1252" i="1" a="1"/>
  <c r="B1252" i="1" s="1"/>
  <c r="B1253" i="1" a="1"/>
  <c r="B1253" i="1" s="1"/>
  <c r="B1254" i="1" a="1"/>
  <c r="B1254" i="1" s="1"/>
  <c r="B1255" i="1" a="1"/>
  <c r="B1255" i="1" s="1"/>
  <c r="B1256" i="1" a="1"/>
  <c r="B1256" i="1" s="1"/>
  <c r="B1257" i="1" a="1"/>
  <c r="B1257" i="1" s="1"/>
  <c r="B1258" i="1" a="1"/>
  <c r="B1258" i="1" s="1"/>
  <c r="B1259" i="1" a="1"/>
  <c r="B1259" i="1" s="1"/>
  <c r="B1260" i="1" a="1"/>
  <c r="B1260" i="1" s="1"/>
  <c r="B1261" i="1" a="1"/>
  <c r="B1261" i="1" s="1"/>
  <c r="B1262" i="1" a="1"/>
  <c r="B1262" i="1" s="1"/>
  <c r="B1263" i="1" a="1"/>
  <c r="B1263" i="1" s="1"/>
  <c r="B1264" i="1" a="1"/>
  <c r="B1264" i="1" s="1"/>
  <c r="B1265" i="1" a="1"/>
  <c r="B1265" i="1" s="1"/>
  <c r="B1266" i="1" a="1"/>
  <c r="B1266" i="1" s="1"/>
  <c r="B1267" i="1" a="1"/>
  <c r="B1267" i="1" s="1"/>
  <c r="B1268" i="1" a="1"/>
  <c r="B1268" i="1" s="1"/>
  <c r="B1269" i="1" a="1"/>
  <c r="B1269" i="1" s="1"/>
  <c r="B1270" i="1" a="1"/>
  <c r="B1270" i="1" s="1"/>
  <c r="B1271" i="1" a="1"/>
  <c r="B1271" i="1" s="1"/>
  <c r="B1272" i="1" a="1"/>
  <c r="B1272" i="1" s="1"/>
  <c r="B1273" i="1" a="1"/>
  <c r="B1273" i="1" s="1"/>
  <c r="B1274" i="1" a="1"/>
  <c r="B1274" i="1" s="1"/>
  <c r="B1275" i="1" a="1"/>
  <c r="B1275" i="1" s="1"/>
  <c r="B1276" i="1" a="1"/>
  <c r="B1276" i="1" s="1"/>
  <c r="B1277" i="1" a="1"/>
  <c r="B1277" i="1" s="1"/>
  <c r="B1278" i="1" a="1"/>
  <c r="B1278" i="1" s="1"/>
  <c r="B1279" i="1" a="1"/>
  <c r="B1279" i="1" s="1"/>
  <c r="B1280" i="1" a="1"/>
  <c r="B1280" i="1" s="1"/>
  <c r="B1281" i="1" a="1"/>
  <c r="B1281" i="1" s="1"/>
  <c r="B1282" i="1" a="1"/>
  <c r="B1282" i="1" s="1"/>
  <c r="B1283" i="1" a="1"/>
  <c r="B1283" i="1" s="1"/>
  <c r="B1284" i="1" a="1"/>
  <c r="B1284" i="1" s="1"/>
  <c r="B1285" i="1" a="1"/>
  <c r="B1285" i="1" s="1"/>
  <c r="B1286" i="1" a="1"/>
  <c r="B1286" i="1" s="1"/>
  <c r="B1287" i="1" a="1"/>
  <c r="B1287" i="1" s="1"/>
  <c r="B1288" i="1" a="1"/>
  <c r="B1288" i="1" s="1"/>
  <c r="B1289" i="1" a="1"/>
  <c r="B1289" i="1" s="1"/>
  <c r="B1290" i="1" a="1"/>
  <c r="B1290" i="1" s="1"/>
  <c r="B1291" i="1" a="1"/>
  <c r="B1291" i="1" s="1"/>
  <c r="B1292" i="1" a="1"/>
  <c r="B1292" i="1" s="1"/>
  <c r="B1293" i="1" a="1"/>
  <c r="B1293" i="1" s="1"/>
  <c r="B1294" i="1" a="1"/>
  <c r="B1294" i="1" s="1"/>
  <c r="B1295" i="1" a="1"/>
  <c r="B1295" i="1" s="1"/>
  <c r="B1296" i="1" a="1"/>
  <c r="B1296" i="1" s="1"/>
  <c r="B1297" i="1" a="1"/>
  <c r="B1297" i="1" s="1"/>
  <c r="B1298" i="1" a="1"/>
  <c r="B1298" i="1" s="1"/>
  <c r="B1299" i="1" a="1"/>
  <c r="B1299" i="1" s="1"/>
  <c r="B1300" i="1" a="1"/>
  <c r="B1300" i="1" s="1"/>
  <c r="B1301" i="1" a="1"/>
  <c r="B1301" i="1" s="1"/>
  <c r="B1302" i="1" a="1"/>
  <c r="B1302" i="1" s="1"/>
  <c r="B1303" i="1" a="1"/>
  <c r="B1303" i="1" s="1"/>
  <c r="B1304" i="1" a="1"/>
  <c r="B1304" i="1" s="1"/>
  <c r="B1305" i="1" a="1"/>
  <c r="B1305" i="1" s="1"/>
  <c r="B1306" i="1" a="1"/>
  <c r="B1306" i="1" s="1"/>
  <c r="B1307" i="1" a="1"/>
  <c r="B1307" i="1" s="1"/>
  <c r="B1308" i="1" a="1"/>
  <c r="B1308" i="1" s="1"/>
  <c r="B1309" i="1" a="1"/>
  <c r="B1309" i="1" s="1"/>
  <c r="B1310" i="1" a="1"/>
  <c r="B1310" i="1" s="1"/>
  <c r="B1311" i="1" a="1"/>
  <c r="B1311" i="1" s="1"/>
  <c r="B1312" i="1" a="1"/>
  <c r="B1312" i="1" s="1"/>
  <c r="B1313" i="1" a="1"/>
  <c r="B1313" i="1" s="1"/>
  <c r="B1314" i="1" a="1"/>
  <c r="B1314" i="1" s="1"/>
  <c r="B1315" i="1" a="1"/>
  <c r="B1315" i="1" s="1"/>
  <c r="B1316" i="1" a="1"/>
  <c r="B1316" i="1" s="1"/>
  <c r="B1317" i="1" a="1"/>
  <c r="B1317" i="1" s="1"/>
  <c r="B1318" i="1" a="1"/>
  <c r="B1318" i="1" s="1"/>
  <c r="B1319" i="1" a="1"/>
  <c r="B1319" i="1" s="1"/>
  <c r="B1320" i="1" a="1"/>
  <c r="B1320" i="1" s="1"/>
  <c r="B1321" i="1" a="1"/>
  <c r="B1321" i="1" s="1"/>
  <c r="B1322" i="1" a="1"/>
  <c r="B1322" i="1" s="1"/>
  <c r="B1323" i="1" a="1"/>
  <c r="B1323" i="1" s="1"/>
  <c r="B1324" i="1" a="1"/>
  <c r="B1324" i="1" s="1"/>
  <c r="B1325" i="1" a="1"/>
  <c r="B1325" i="1" s="1"/>
  <c r="B1326" i="1" a="1"/>
  <c r="B1326" i="1" s="1"/>
  <c r="B1327" i="1" a="1"/>
  <c r="B1327" i="1" s="1"/>
  <c r="B1328" i="1" a="1"/>
  <c r="B1328" i="1" s="1"/>
  <c r="B1329" i="1" a="1"/>
  <c r="B1329" i="1" s="1"/>
  <c r="B1330" i="1" a="1"/>
  <c r="B1330" i="1" s="1"/>
  <c r="B1331" i="1" a="1"/>
  <c r="B1331" i="1" s="1"/>
  <c r="B1332" i="1" a="1"/>
  <c r="B1332" i="1" s="1"/>
  <c r="B1333" i="1" a="1"/>
  <c r="B1333" i="1" s="1"/>
  <c r="B1334" i="1" a="1"/>
  <c r="B1334" i="1" s="1"/>
  <c r="B1335" i="1" a="1"/>
  <c r="B1335" i="1" s="1"/>
  <c r="B1336" i="1" a="1"/>
  <c r="B1336" i="1" s="1"/>
  <c r="B1337" i="1" a="1"/>
  <c r="B1337" i="1" s="1"/>
  <c r="B1338" i="1" a="1"/>
  <c r="B1338" i="1" s="1"/>
  <c r="B1339" i="1" a="1"/>
  <c r="B1339" i="1" s="1"/>
  <c r="B1340" i="1" a="1"/>
  <c r="B1340" i="1" s="1"/>
  <c r="B1341" i="1" a="1"/>
  <c r="B1341" i="1" s="1"/>
  <c r="B1342" i="1" a="1"/>
  <c r="B1342" i="1" s="1"/>
  <c r="B1343" i="1" a="1"/>
  <c r="B1343" i="1" s="1"/>
  <c r="B1344" i="1" a="1"/>
  <c r="B1344" i="1" s="1"/>
  <c r="B1345" i="1" a="1"/>
  <c r="B1345" i="1" s="1"/>
  <c r="B1346" i="1" a="1"/>
  <c r="B1346" i="1" s="1"/>
  <c r="B1347" i="1" a="1"/>
  <c r="B1347" i="1" s="1"/>
  <c r="B1348" i="1" a="1"/>
  <c r="B1348" i="1" s="1"/>
  <c r="B1349" i="1" a="1"/>
  <c r="B1349" i="1" s="1"/>
  <c r="B1350" i="1" a="1"/>
  <c r="B1350" i="1" s="1"/>
  <c r="B1351" i="1" a="1"/>
  <c r="B1351" i="1" s="1"/>
  <c r="B1352" i="1" a="1"/>
  <c r="B1352" i="1" s="1"/>
  <c r="B1353" i="1" a="1"/>
  <c r="B1353" i="1" s="1"/>
  <c r="B1354" i="1" a="1"/>
  <c r="B1354" i="1" s="1"/>
  <c r="B1355" i="1" a="1"/>
  <c r="B1355" i="1" s="1"/>
  <c r="B1356" i="1" a="1"/>
  <c r="B1356" i="1" s="1"/>
  <c r="B1357" i="1" a="1"/>
  <c r="B1357" i="1" s="1"/>
  <c r="B1358" i="1" a="1"/>
  <c r="B1358" i="1" s="1"/>
  <c r="B1359" i="1" a="1"/>
  <c r="B1359" i="1" s="1"/>
  <c r="B1360" i="1" a="1"/>
  <c r="B1360" i="1" s="1"/>
  <c r="B1361" i="1" a="1"/>
  <c r="B1361" i="1" s="1"/>
  <c r="B1362" i="1" a="1"/>
  <c r="B1362" i="1" s="1"/>
  <c r="B1363" i="1" a="1"/>
  <c r="B1363" i="1" s="1"/>
  <c r="B1364" i="1" a="1"/>
  <c r="B1364" i="1" s="1"/>
  <c r="B1365" i="1" a="1"/>
  <c r="B1365" i="1" s="1"/>
  <c r="B1366" i="1" a="1"/>
  <c r="B1366" i="1" s="1"/>
  <c r="B1367" i="1" a="1"/>
  <c r="B1367" i="1" s="1"/>
  <c r="B1368" i="1" a="1"/>
  <c r="B1368" i="1" s="1"/>
  <c r="B1369" i="1" a="1"/>
  <c r="B1369" i="1" s="1"/>
  <c r="B1370" i="1" a="1"/>
  <c r="B1370" i="1" s="1"/>
  <c r="B1371" i="1" a="1"/>
  <c r="B1371" i="1" s="1"/>
  <c r="B1372" i="1" a="1"/>
  <c r="B1372" i="1" s="1"/>
  <c r="B1373" i="1" a="1"/>
  <c r="B1373" i="1" s="1"/>
  <c r="B1374" i="1" a="1"/>
  <c r="B1374" i="1" s="1"/>
  <c r="B1375" i="1" a="1"/>
  <c r="B1375" i="1" s="1"/>
  <c r="B1376" i="1" a="1"/>
  <c r="B1376" i="1" s="1"/>
  <c r="B1377" i="1" a="1"/>
  <c r="B1377" i="1" s="1"/>
  <c r="B1378" i="1" a="1"/>
  <c r="B1378" i="1" s="1"/>
  <c r="B1379" i="1" a="1"/>
  <c r="B1379" i="1" s="1"/>
  <c r="B1380" i="1" a="1"/>
  <c r="B1380" i="1" s="1"/>
  <c r="B1381" i="1" a="1"/>
  <c r="B1381" i="1" s="1"/>
  <c r="B1382" i="1" a="1"/>
  <c r="B1382" i="1" s="1"/>
  <c r="B1383" i="1" a="1"/>
  <c r="B1383" i="1" s="1"/>
  <c r="B1384" i="1" a="1"/>
  <c r="B1384" i="1" s="1"/>
  <c r="B1385" i="1" a="1"/>
  <c r="B1385" i="1" s="1"/>
  <c r="B1386" i="1" a="1"/>
  <c r="B1386" i="1" s="1"/>
  <c r="B1387" i="1" a="1"/>
  <c r="B1387" i="1" s="1"/>
  <c r="B1388" i="1" a="1"/>
  <c r="B1388" i="1" s="1"/>
  <c r="B1389" i="1" a="1"/>
  <c r="B1389" i="1" s="1"/>
  <c r="B1390" i="1" a="1"/>
  <c r="B1390" i="1" s="1"/>
  <c r="B1391" i="1" a="1"/>
  <c r="B1391" i="1" s="1"/>
  <c r="B1392" i="1" a="1"/>
  <c r="B1392" i="1" s="1"/>
  <c r="B1393" i="1" a="1"/>
  <c r="B1393" i="1" s="1"/>
  <c r="B1394" i="1" a="1"/>
  <c r="B1394" i="1" s="1"/>
  <c r="B1395" i="1" a="1"/>
  <c r="B1395" i="1" s="1"/>
  <c r="B1396" i="1" a="1"/>
  <c r="B1396" i="1" s="1"/>
  <c r="B1397" i="1" a="1"/>
  <c r="B1397" i="1" s="1"/>
  <c r="B1398" i="1" a="1"/>
  <c r="B1398" i="1" s="1"/>
  <c r="B1399" i="1" a="1"/>
  <c r="B1399" i="1" s="1"/>
  <c r="B1400" i="1" a="1"/>
  <c r="B1400" i="1" s="1"/>
  <c r="B1401" i="1" a="1"/>
  <c r="B1401" i="1" s="1"/>
  <c r="B1402" i="1" a="1"/>
  <c r="B1402" i="1" s="1"/>
  <c r="B1403" i="1" a="1"/>
  <c r="B1403" i="1" s="1"/>
  <c r="B1404" i="1" a="1"/>
  <c r="B1404" i="1" s="1"/>
  <c r="B1405" i="1" a="1"/>
  <c r="B1405" i="1" s="1"/>
  <c r="B1406" i="1" a="1"/>
  <c r="B1406" i="1" s="1"/>
  <c r="B1407" i="1" a="1"/>
  <c r="B1407" i="1" s="1"/>
  <c r="B1408" i="1" a="1"/>
  <c r="B1408" i="1" s="1"/>
  <c r="B1409" i="1" a="1"/>
  <c r="B1409" i="1" s="1"/>
  <c r="B1410" i="1" a="1"/>
  <c r="B1410" i="1" s="1"/>
  <c r="B1411" i="1" a="1"/>
  <c r="B1411" i="1" s="1"/>
  <c r="B1412" i="1" a="1"/>
  <c r="B1412" i="1" s="1"/>
  <c r="B1413" i="1" a="1"/>
  <c r="B1413" i="1" s="1"/>
  <c r="B1414" i="1" a="1"/>
  <c r="B1414" i="1" s="1"/>
  <c r="B1415" i="1" a="1"/>
  <c r="B1415" i="1" s="1"/>
  <c r="B1416" i="1" a="1"/>
  <c r="B1416" i="1" s="1"/>
  <c r="B1417" i="1" a="1"/>
  <c r="B1417" i="1" s="1"/>
  <c r="B1418" i="1" a="1"/>
  <c r="B1418" i="1" s="1"/>
  <c r="B1419" i="1" a="1"/>
  <c r="B1419" i="1" s="1"/>
  <c r="B1420" i="1" a="1"/>
  <c r="B1420" i="1" s="1"/>
  <c r="B1421" i="1" a="1"/>
  <c r="B1421" i="1" s="1"/>
  <c r="B1422" i="1" a="1"/>
  <c r="B1422" i="1" s="1"/>
  <c r="B1423" i="1" a="1"/>
  <c r="B1423" i="1" s="1"/>
  <c r="B1424" i="1" a="1"/>
  <c r="B1424" i="1" s="1"/>
  <c r="B1425" i="1" a="1"/>
  <c r="B1425" i="1" s="1"/>
  <c r="B1426" i="1" a="1"/>
  <c r="B1426" i="1" s="1"/>
  <c r="B1427" i="1" a="1"/>
  <c r="B1427" i="1" s="1"/>
  <c r="B1428" i="1" a="1"/>
  <c r="B1428" i="1" s="1"/>
  <c r="B1429" i="1" a="1"/>
  <c r="B1429" i="1" s="1"/>
  <c r="B1430" i="1" a="1"/>
  <c r="B1430" i="1" s="1"/>
  <c r="B1431" i="1" a="1"/>
  <c r="B1431" i="1" s="1"/>
  <c r="B1432" i="1" a="1"/>
  <c r="B1432" i="1" s="1"/>
  <c r="B1433" i="1" a="1"/>
  <c r="B1433" i="1" s="1"/>
  <c r="B1434" i="1" a="1"/>
  <c r="B1434" i="1" s="1"/>
  <c r="B1435" i="1" a="1"/>
  <c r="B1435" i="1" s="1"/>
  <c r="B1436" i="1" a="1"/>
  <c r="B1436" i="1" s="1"/>
  <c r="B1437" i="1" a="1"/>
  <c r="B1437" i="1" s="1"/>
  <c r="B1438" i="1" a="1"/>
  <c r="B1438" i="1" s="1"/>
  <c r="B1439" i="1" a="1"/>
  <c r="B1439" i="1" s="1"/>
  <c r="B1440" i="1" a="1"/>
  <c r="B1440" i="1" s="1"/>
  <c r="B1441" i="1" a="1"/>
  <c r="B1441" i="1" s="1"/>
  <c r="B1442" i="1" a="1"/>
  <c r="B1442" i="1" s="1"/>
  <c r="B1443" i="1" a="1"/>
  <c r="B1443" i="1" s="1"/>
  <c r="B1444" i="1" a="1"/>
  <c r="B1444" i="1" s="1"/>
  <c r="B1445" i="1" a="1"/>
  <c r="B1445" i="1" s="1"/>
  <c r="B1446" i="1" a="1"/>
  <c r="B1446" i="1" s="1"/>
  <c r="B1447" i="1" a="1"/>
  <c r="B1447" i="1" s="1"/>
  <c r="B1448" i="1" a="1"/>
  <c r="B1448" i="1" s="1"/>
  <c r="B1449" i="1" a="1"/>
  <c r="B1449" i="1" s="1"/>
  <c r="B1450" i="1" a="1"/>
  <c r="B1450" i="1" s="1"/>
  <c r="B1451" i="1" a="1"/>
  <c r="B1451" i="1" s="1"/>
  <c r="B1452" i="1" a="1"/>
  <c r="B1452" i="1" s="1"/>
  <c r="B1453" i="1" a="1"/>
  <c r="B1453" i="1" s="1"/>
  <c r="B1454" i="1" a="1"/>
  <c r="B1454" i="1" s="1"/>
  <c r="B1455" i="1" a="1"/>
  <c r="B1455" i="1" s="1"/>
  <c r="B1456" i="1" a="1"/>
  <c r="B1456" i="1" s="1"/>
  <c r="B1457" i="1" a="1"/>
  <c r="B1457" i="1" s="1"/>
  <c r="B1458" i="1" a="1"/>
  <c r="B1458" i="1" s="1"/>
  <c r="B1459" i="1" a="1"/>
  <c r="B1459" i="1" s="1"/>
  <c r="B1460" i="1" a="1"/>
  <c r="B1460" i="1" s="1"/>
  <c r="B1461" i="1" a="1"/>
  <c r="B1461" i="1" s="1"/>
  <c r="B1462" i="1" a="1"/>
  <c r="B1462" i="1" s="1"/>
  <c r="B1463" i="1" a="1"/>
  <c r="B1463" i="1" s="1"/>
  <c r="B1464" i="1" a="1"/>
  <c r="B1464" i="1" s="1"/>
  <c r="B1465" i="1" a="1"/>
  <c r="B1465" i="1" s="1"/>
  <c r="B1466" i="1" a="1"/>
  <c r="B1466" i="1" s="1"/>
  <c r="B1467" i="1" a="1"/>
  <c r="B1467" i="1" s="1"/>
  <c r="B1468" i="1" a="1"/>
  <c r="B1468" i="1" s="1"/>
  <c r="B1469" i="1" a="1"/>
  <c r="B1469" i="1" s="1"/>
  <c r="B1470" i="1" a="1"/>
  <c r="B1470" i="1" s="1"/>
  <c r="B1471" i="1" a="1"/>
  <c r="B1471" i="1" s="1"/>
  <c r="B1472" i="1" a="1"/>
  <c r="B1472" i="1" s="1"/>
  <c r="B1473" i="1" a="1"/>
  <c r="B1473" i="1" s="1"/>
  <c r="B1474" i="1" a="1"/>
  <c r="B1474" i="1" s="1"/>
  <c r="B1475" i="1" a="1"/>
  <c r="B1475" i="1" s="1"/>
  <c r="B1476" i="1" a="1"/>
  <c r="B1476" i="1" s="1"/>
  <c r="B1477" i="1" a="1"/>
  <c r="B1477" i="1" s="1"/>
  <c r="B1478" i="1" a="1"/>
  <c r="B1478" i="1" s="1"/>
  <c r="B1479" i="1" a="1"/>
  <c r="B1479" i="1" s="1"/>
  <c r="B1480" i="1" a="1"/>
  <c r="B1480" i="1" s="1"/>
  <c r="B1481" i="1" a="1"/>
  <c r="B1481" i="1" s="1"/>
  <c r="B1482" i="1" a="1"/>
  <c r="B1482" i="1" s="1"/>
  <c r="B1483" i="1" a="1"/>
  <c r="B1483" i="1" s="1"/>
  <c r="B1484" i="1" a="1"/>
  <c r="B1484" i="1" s="1"/>
  <c r="B1485" i="1" a="1"/>
  <c r="B1485" i="1" s="1"/>
  <c r="B1486" i="1" a="1"/>
  <c r="B1486" i="1" s="1"/>
  <c r="B1487" i="1" a="1"/>
  <c r="B1487" i="1" s="1"/>
  <c r="B1488" i="1" a="1"/>
  <c r="B1488" i="1" s="1"/>
  <c r="B1489" i="1" a="1"/>
  <c r="B1489" i="1" s="1"/>
  <c r="B1490" i="1" a="1"/>
  <c r="B1490" i="1" s="1"/>
  <c r="B1491" i="1" a="1"/>
  <c r="B1491" i="1" s="1"/>
  <c r="B1492" i="1" a="1"/>
  <c r="B1492" i="1" s="1"/>
  <c r="B1493" i="1" a="1"/>
  <c r="B1493" i="1" s="1"/>
  <c r="B1494" i="1" a="1"/>
  <c r="B1494" i="1" s="1"/>
  <c r="B1495" i="1" a="1"/>
  <c r="B1495" i="1" s="1"/>
  <c r="B1496" i="1" a="1"/>
  <c r="B1496" i="1" s="1"/>
  <c r="B1497" i="1" a="1"/>
  <c r="B1497" i="1" s="1"/>
  <c r="B1498" i="1" a="1"/>
  <c r="B1498" i="1" s="1"/>
  <c r="B1499" i="1" a="1"/>
  <c r="B1499" i="1" s="1"/>
  <c r="B1500" i="1" a="1"/>
  <c r="B1500" i="1" s="1"/>
  <c r="B1501" i="1" a="1"/>
  <c r="B1501" i="1" s="1"/>
  <c r="B1502" i="1" a="1"/>
  <c r="B1502" i="1" s="1"/>
  <c r="B1503" i="1" a="1"/>
  <c r="B1503" i="1" s="1"/>
  <c r="B1504" i="1" a="1"/>
  <c r="B1504" i="1" s="1"/>
  <c r="B1505" i="1" a="1"/>
  <c r="B1505" i="1" s="1"/>
  <c r="B1506" i="1" a="1"/>
  <c r="B1506" i="1" s="1"/>
  <c r="B1507" i="1" a="1"/>
  <c r="B1507" i="1" s="1"/>
  <c r="B1508" i="1" a="1"/>
  <c r="B1508" i="1" s="1"/>
  <c r="B1509" i="1" a="1"/>
  <c r="B1509" i="1" s="1"/>
  <c r="B1510" i="1" a="1"/>
  <c r="B1510" i="1" s="1"/>
  <c r="B1511" i="1" a="1"/>
  <c r="B1511" i="1" s="1"/>
  <c r="B1512" i="1" a="1"/>
  <c r="B1512" i="1" s="1"/>
  <c r="B1513" i="1" a="1"/>
  <c r="B1513" i="1" s="1"/>
  <c r="B1514" i="1" a="1"/>
  <c r="B1514" i="1" s="1"/>
  <c r="B1515" i="1" a="1"/>
  <c r="B1515" i="1" s="1"/>
  <c r="B1516" i="1" a="1"/>
  <c r="B1516" i="1" s="1"/>
  <c r="B1517" i="1" a="1"/>
  <c r="B1517" i="1" s="1"/>
  <c r="B1518" i="1" a="1"/>
  <c r="B1518" i="1" s="1"/>
  <c r="B1519" i="1" a="1"/>
  <c r="B1519" i="1" s="1"/>
  <c r="B1520" i="1" a="1"/>
  <c r="B1520" i="1" s="1"/>
  <c r="B1521" i="1" a="1"/>
  <c r="B1521" i="1" s="1"/>
  <c r="B1522" i="1" a="1"/>
  <c r="B1522" i="1" s="1"/>
  <c r="B1523" i="1" a="1"/>
  <c r="B1523" i="1" s="1"/>
  <c r="B1524" i="1" a="1"/>
  <c r="B1524" i="1" s="1"/>
  <c r="B1525" i="1" a="1"/>
  <c r="B1525" i="1" s="1"/>
  <c r="B1526" i="1" a="1"/>
  <c r="B1526" i="1" s="1"/>
  <c r="B1527" i="1" a="1"/>
  <c r="B1527" i="1" s="1"/>
  <c r="B1528" i="1" a="1"/>
  <c r="B1528" i="1" s="1"/>
  <c r="B1529" i="1" a="1"/>
  <c r="B1529" i="1" s="1"/>
  <c r="B1530" i="1" a="1"/>
  <c r="B1530" i="1" s="1"/>
  <c r="B1531" i="1" a="1"/>
  <c r="B1531" i="1" s="1"/>
  <c r="B1532" i="1" a="1"/>
  <c r="B1532" i="1" s="1"/>
  <c r="B1533" i="1" a="1"/>
  <c r="B1533" i="1" s="1"/>
  <c r="B1534" i="1" a="1"/>
  <c r="B1534" i="1" s="1"/>
  <c r="B1535" i="1" a="1"/>
  <c r="B1535" i="1" s="1"/>
  <c r="B1536" i="1" a="1"/>
  <c r="B1536" i="1" s="1"/>
  <c r="B1537" i="1" a="1"/>
  <c r="B1537" i="1" s="1"/>
  <c r="B1538" i="1" a="1"/>
  <c r="B1538" i="1" s="1"/>
  <c r="B1539" i="1" a="1"/>
  <c r="B1539" i="1" s="1"/>
  <c r="B1540" i="1" a="1"/>
  <c r="B1540" i="1" s="1"/>
  <c r="B1541" i="1" a="1"/>
  <c r="B1541" i="1" s="1"/>
  <c r="B1542" i="1" a="1"/>
  <c r="B1542" i="1" s="1"/>
  <c r="B1543" i="1" a="1"/>
  <c r="B1543" i="1" s="1"/>
  <c r="B1544" i="1" a="1"/>
  <c r="B1544" i="1" s="1"/>
  <c r="B1545" i="1" a="1"/>
  <c r="B1545" i="1" s="1"/>
  <c r="B1546" i="1" a="1"/>
  <c r="B1546" i="1" s="1"/>
  <c r="B1547" i="1" a="1"/>
  <c r="B1547" i="1" s="1"/>
  <c r="B1548" i="1" a="1"/>
  <c r="B1548" i="1" s="1"/>
  <c r="B1549" i="1" a="1"/>
  <c r="B1549" i="1" s="1"/>
  <c r="B1550" i="1" a="1"/>
  <c r="B1550" i="1" s="1"/>
  <c r="B1551" i="1" a="1"/>
  <c r="B1551" i="1" s="1"/>
  <c r="B1552" i="1" a="1"/>
  <c r="B1552" i="1" s="1"/>
  <c r="B1553" i="1" a="1"/>
  <c r="B1553" i="1" s="1"/>
  <c r="B1554" i="1" a="1"/>
  <c r="B1554" i="1" s="1"/>
  <c r="B1555" i="1" a="1"/>
  <c r="B1555" i="1" s="1"/>
  <c r="B1556" i="1" a="1"/>
  <c r="B1556" i="1" s="1"/>
  <c r="B1557" i="1" a="1"/>
  <c r="B1557" i="1" s="1"/>
  <c r="B1558" i="1" a="1"/>
  <c r="B1558" i="1" s="1"/>
  <c r="B1559" i="1" a="1"/>
  <c r="B1559" i="1" s="1"/>
  <c r="B1560" i="1" a="1"/>
  <c r="B1560" i="1" s="1"/>
  <c r="B1561" i="1" a="1"/>
  <c r="B1561" i="1" s="1"/>
  <c r="B1562" i="1" a="1"/>
  <c r="B1562" i="1" s="1"/>
  <c r="B1563" i="1" a="1"/>
  <c r="B1563" i="1" s="1"/>
  <c r="B1564" i="1" a="1"/>
  <c r="B1564" i="1" s="1"/>
  <c r="B1565" i="1" a="1"/>
  <c r="B1565" i="1" s="1"/>
  <c r="B1566" i="1" a="1"/>
  <c r="B1566" i="1" s="1"/>
  <c r="B1567" i="1" a="1"/>
  <c r="B1567" i="1" s="1"/>
  <c r="B1568" i="1" a="1"/>
  <c r="B1568" i="1" s="1"/>
  <c r="B1569" i="1" a="1"/>
  <c r="B1569" i="1" s="1"/>
  <c r="B1570" i="1" a="1"/>
  <c r="B1570" i="1" s="1"/>
  <c r="B1571" i="1" a="1"/>
  <c r="B1571" i="1" s="1"/>
  <c r="B1572" i="1" a="1"/>
  <c r="B1572" i="1" s="1"/>
  <c r="B1573" i="1" a="1"/>
  <c r="B1573" i="1" s="1"/>
  <c r="B1574" i="1" a="1"/>
  <c r="B1574" i="1" s="1"/>
  <c r="B1575" i="1" a="1"/>
  <c r="B1575" i="1" s="1"/>
  <c r="B1576" i="1" a="1"/>
  <c r="B1576" i="1" s="1"/>
  <c r="B1577" i="1" a="1"/>
  <c r="B1577" i="1" s="1"/>
  <c r="B1578" i="1" a="1"/>
  <c r="B1578" i="1" s="1"/>
  <c r="B1579" i="1" a="1"/>
  <c r="B1579" i="1" s="1"/>
  <c r="B1580" i="1" a="1"/>
  <c r="B1580" i="1" s="1"/>
  <c r="B1581" i="1" a="1"/>
  <c r="B1581" i="1" s="1"/>
  <c r="B1582" i="1" a="1"/>
  <c r="B1582" i="1" s="1"/>
  <c r="B1583" i="1" a="1"/>
  <c r="B1583" i="1" s="1"/>
  <c r="B1584" i="1" a="1"/>
  <c r="B1584" i="1" s="1"/>
  <c r="B1585" i="1" a="1"/>
  <c r="B1585" i="1" s="1"/>
  <c r="B1586" i="1" a="1"/>
  <c r="B1586" i="1" s="1"/>
  <c r="B1587" i="1" a="1"/>
  <c r="B1587" i="1" s="1"/>
  <c r="B1588" i="1" a="1"/>
  <c r="B1588" i="1" s="1"/>
  <c r="B1589" i="1" a="1"/>
  <c r="B1589" i="1" s="1"/>
  <c r="B1590" i="1" a="1"/>
  <c r="B1590" i="1" s="1"/>
  <c r="B1591" i="1" a="1"/>
  <c r="B1591" i="1" s="1"/>
  <c r="B1592" i="1" a="1"/>
  <c r="B1592" i="1"/>
  <c r="B1593" i="1" a="1"/>
  <c r="B1593" i="1" s="1"/>
  <c r="B1594" i="1" a="1"/>
  <c r="B1594" i="1" s="1"/>
  <c r="B1595" i="1" a="1"/>
  <c r="B1595" i="1" s="1"/>
  <c r="B1596" i="1" a="1"/>
  <c r="B1596" i="1"/>
  <c r="B1597" i="1" a="1"/>
  <c r="B1597" i="1" s="1"/>
  <c r="B1598" i="1" a="1"/>
  <c r="B1598" i="1" s="1"/>
  <c r="B1599" i="1" a="1"/>
  <c r="B1599" i="1" s="1"/>
  <c r="B1600" i="1" a="1"/>
  <c r="B1600" i="1" s="1"/>
  <c r="B1601" i="1" a="1"/>
  <c r="B1601" i="1" s="1"/>
  <c r="B1602" i="1" a="1"/>
  <c r="B1602" i="1" s="1"/>
  <c r="B1603" i="1" a="1"/>
  <c r="B1603" i="1" s="1"/>
  <c r="B1604" i="1" a="1"/>
  <c r="B1604" i="1" s="1"/>
  <c r="B1605" i="1" a="1"/>
  <c r="B1605" i="1" s="1"/>
  <c r="B1606" i="1" a="1"/>
  <c r="B1606" i="1" s="1"/>
  <c r="B1607" i="1" a="1"/>
  <c r="B1607" i="1" s="1"/>
  <c r="B1608" i="1" a="1"/>
  <c r="B1608" i="1"/>
  <c r="B1609" i="1" a="1"/>
  <c r="B1609" i="1" s="1"/>
  <c r="B1610" i="1" a="1"/>
  <c r="B1610" i="1" s="1"/>
  <c r="B1611" i="1" a="1"/>
  <c r="B1611" i="1" s="1"/>
  <c r="B1612" i="1" a="1"/>
  <c r="B1612" i="1" s="1"/>
  <c r="B1613" i="1" a="1"/>
  <c r="B1613" i="1" s="1"/>
  <c r="B1614" i="1" a="1"/>
  <c r="B1614" i="1" s="1"/>
  <c r="B1615" i="1" a="1"/>
  <c r="B1615" i="1" s="1"/>
  <c r="B1616" i="1" a="1"/>
  <c r="B1616" i="1" s="1"/>
  <c r="B1617" i="1" a="1"/>
  <c r="B1617" i="1" s="1"/>
  <c r="B1618" i="1" a="1"/>
  <c r="B1618" i="1" s="1"/>
  <c r="B1619" i="1" a="1"/>
  <c r="B1619" i="1" s="1"/>
  <c r="B1620" i="1" a="1"/>
  <c r="B1620" i="1" s="1"/>
  <c r="B1621" i="1" a="1"/>
  <c r="B1621" i="1" s="1"/>
  <c r="B1622" i="1" a="1"/>
  <c r="B1622" i="1" s="1"/>
  <c r="B1623" i="1" a="1"/>
  <c r="B1623" i="1" s="1"/>
  <c r="B1624" i="1" a="1"/>
  <c r="B1624" i="1" s="1"/>
  <c r="B1625" i="1" a="1"/>
  <c r="B1625" i="1" s="1"/>
  <c r="B1626" i="1" a="1"/>
  <c r="B1626" i="1" s="1"/>
  <c r="B1627" i="1" a="1"/>
  <c r="B1627" i="1" s="1"/>
  <c r="B1628" i="1" a="1"/>
  <c r="B1628" i="1" s="1"/>
  <c r="B1629" i="1" a="1"/>
  <c r="B1629" i="1" s="1"/>
  <c r="B1630" i="1" a="1"/>
  <c r="B1630" i="1" s="1"/>
  <c r="B1631" i="1" a="1"/>
  <c r="B1631" i="1" s="1"/>
  <c r="B1632" i="1" a="1"/>
  <c r="B1632" i="1" s="1"/>
  <c r="B1633" i="1" a="1"/>
  <c r="B1633" i="1" s="1"/>
  <c r="B1634" i="1" a="1"/>
  <c r="B1634" i="1" s="1"/>
  <c r="B1635" i="1" a="1"/>
  <c r="B1635" i="1" s="1"/>
  <c r="B1636" i="1" a="1"/>
  <c r="B1636" i="1" s="1"/>
  <c r="B1637" i="1" a="1"/>
  <c r="B1637" i="1" s="1"/>
  <c r="B1638" i="1" a="1"/>
  <c r="B1638" i="1" s="1"/>
  <c r="B1639" i="1" a="1"/>
  <c r="B1639" i="1" s="1"/>
  <c r="B1640" i="1" a="1"/>
  <c r="B1640" i="1" s="1"/>
  <c r="B1641" i="1" a="1"/>
  <c r="B1641" i="1" s="1"/>
  <c r="B1642" i="1" a="1"/>
  <c r="B1642" i="1" s="1"/>
  <c r="B1643" i="1" a="1"/>
  <c r="B1643" i="1" s="1"/>
  <c r="B1644" i="1" a="1"/>
  <c r="B1644" i="1"/>
  <c r="B1645" i="1" a="1"/>
  <c r="B1645" i="1" s="1"/>
  <c r="B1646" i="1" a="1"/>
  <c r="B1646" i="1" s="1"/>
  <c r="B1647" i="1" a="1"/>
  <c r="B1647" i="1" s="1"/>
  <c r="B1648" i="1" a="1"/>
  <c r="B1648" i="1" s="1"/>
  <c r="B1649" i="1" a="1"/>
  <c r="B1649" i="1" s="1"/>
  <c r="B1650" i="1" a="1"/>
  <c r="B1650" i="1" s="1"/>
  <c r="B1651" i="1" a="1"/>
  <c r="B1651" i="1" s="1"/>
  <c r="B1652" i="1" a="1"/>
  <c r="B1652" i="1" s="1"/>
  <c r="B1653" i="1" a="1"/>
  <c r="B1653" i="1" s="1"/>
  <c r="B1654" i="1" a="1"/>
  <c r="B1654" i="1" s="1"/>
  <c r="B1655" i="1" a="1"/>
  <c r="B1655" i="1" s="1"/>
  <c r="B1656" i="1" a="1"/>
  <c r="B1656" i="1"/>
  <c r="B1657" i="1" a="1"/>
  <c r="B1657" i="1" s="1"/>
  <c r="B1658" i="1" a="1"/>
  <c r="B1658" i="1" s="1"/>
  <c r="B1659" i="1" a="1"/>
  <c r="B1659" i="1" s="1"/>
  <c r="B1660" i="1" a="1"/>
  <c r="B1660" i="1" s="1"/>
  <c r="B1661" i="1" a="1"/>
  <c r="B1661" i="1" s="1"/>
  <c r="B1662" i="1" a="1"/>
  <c r="B1662" i="1"/>
  <c r="B1663" i="1" a="1"/>
  <c r="B1663" i="1" s="1"/>
  <c r="B1664" i="1" a="1"/>
  <c r="B1664" i="1" s="1"/>
  <c r="B1665" i="1" a="1"/>
  <c r="B1665" i="1" s="1"/>
  <c r="B1666" i="1" a="1"/>
  <c r="B1666" i="1" s="1"/>
  <c r="B1667" i="1" a="1"/>
  <c r="B1667" i="1" s="1"/>
  <c r="B1668" i="1" a="1"/>
  <c r="B1668" i="1"/>
  <c r="B1669" i="1" a="1"/>
  <c r="B1669" i="1" s="1"/>
  <c r="B1670" i="1" a="1"/>
  <c r="B1670" i="1" s="1"/>
  <c r="B1671" i="1" a="1"/>
  <c r="B1671" i="1" s="1"/>
  <c r="B1672" i="1" a="1"/>
  <c r="B1672" i="1" s="1"/>
  <c r="B1673" i="1" a="1"/>
  <c r="B1673" i="1" s="1"/>
  <c r="B1674" i="1" a="1"/>
  <c r="B1674" i="1"/>
  <c r="B1675" i="1" a="1"/>
  <c r="B1675" i="1" s="1"/>
  <c r="B1676" i="1" a="1"/>
  <c r="B1676" i="1" s="1"/>
  <c r="B1677" i="1" a="1"/>
  <c r="B1677" i="1" s="1"/>
  <c r="B1678" i="1" a="1"/>
  <c r="B1678" i="1" s="1"/>
  <c r="B1679" i="1" a="1"/>
  <c r="B1679" i="1" s="1"/>
  <c r="B1680" i="1" a="1"/>
  <c r="B1680" i="1"/>
  <c r="B1681" i="1" a="1"/>
  <c r="B1681" i="1" s="1"/>
  <c r="B1682" i="1" a="1"/>
  <c r="B1682" i="1" s="1"/>
  <c r="B1683" i="1" a="1"/>
  <c r="B1683" i="1" s="1"/>
  <c r="B1684" i="1" a="1"/>
  <c r="B1684" i="1" s="1"/>
  <c r="B1685" i="1" a="1"/>
  <c r="B1685" i="1" s="1"/>
  <c r="B1686" i="1" a="1"/>
  <c r="B1686" i="1" s="1"/>
  <c r="B1687" i="1" a="1"/>
  <c r="B1687" i="1" s="1"/>
  <c r="B1688" i="1" a="1"/>
  <c r="B1688" i="1" s="1"/>
  <c r="B1689" i="1" a="1"/>
  <c r="B1689" i="1" s="1"/>
  <c r="B1690" i="1" a="1"/>
  <c r="B1690" i="1" s="1"/>
  <c r="B1691" i="1" a="1"/>
  <c r="B1691" i="1" s="1"/>
  <c r="B1692" i="1" a="1"/>
  <c r="B1692" i="1" s="1"/>
  <c r="B1693" i="1" a="1"/>
  <c r="B1693" i="1" s="1"/>
  <c r="B1694" i="1" a="1"/>
  <c r="B1694" i="1" s="1"/>
  <c r="B1695" i="1" a="1"/>
  <c r="B1695" i="1" s="1"/>
  <c r="B1696" i="1" a="1"/>
  <c r="B1696" i="1" s="1"/>
  <c r="B1697" i="1" a="1"/>
  <c r="B1697" i="1" s="1"/>
  <c r="B1698" i="1" a="1"/>
  <c r="B1698" i="1" s="1"/>
  <c r="B1699" i="1" a="1"/>
  <c r="B1699" i="1" s="1"/>
  <c r="B1700" i="1" a="1"/>
  <c r="B1700" i="1" s="1"/>
  <c r="B1701" i="1" a="1"/>
  <c r="B1701" i="1" s="1"/>
  <c r="B1702" i="1" a="1"/>
  <c r="B1702" i="1" s="1"/>
  <c r="B1703" i="1" a="1"/>
  <c r="B1703" i="1" s="1"/>
  <c r="B1704" i="1" a="1"/>
  <c r="B1704" i="1" s="1"/>
  <c r="B1705" i="1" a="1"/>
  <c r="B1705" i="1" s="1"/>
  <c r="B1706" i="1" a="1"/>
  <c r="B1706" i="1" s="1"/>
  <c r="B1707" i="1" a="1"/>
  <c r="B1707" i="1" s="1"/>
  <c r="B1708" i="1" a="1"/>
  <c r="B1708" i="1" s="1"/>
  <c r="B1709" i="1" a="1"/>
  <c r="B1709" i="1" s="1"/>
  <c r="B1710" i="1" a="1"/>
  <c r="B1710" i="1" s="1"/>
  <c r="B1711" i="1" a="1"/>
  <c r="B1711" i="1" s="1"/>
  <c r="B1712" i="1" a="1"/>
  <c r="B1712" i="1" s="1"/>
  <c r="B1713" i="1" a="1"/>
  <c r="B1713" i="1" s="1"/>
  <c r="B1714" i="1" a="1"/>
  <c r="B1714" i="1" s="1"/>
  <c r="B1715" i="1" a="1"/>
  <c r="B1715" i="1" s="1"/>
  <c r="B1716" i="1" a="1"/>
  <c r="B1716" i="1"/>
  <c r="B1717" i="1" a="1"/>
  <c r="B1717" i="1" s="1"/>
  <c r="B1718" i="1" a="1"/>
  <c r="B1718" i="1" s="1"/>
  <c r="B1719" i="1" a="1"/>
  <c r="B1719" i="1" s="1"/>
  <c r="B1720" i="1" a="1"/>
  <c r="B1720" i="1" s="1"/>
  <c r="B1721" i="1" a="1"/>
  <c r="B1721" i="1" s="1"/>
  <c r="B1722" i="1" a="1"/>
  <c r="B1722" i="1" s="1"/>
  <c r="B1723" i="1" a="1"/>
  <c r="B1723" i="1" s="1"/>
  <c r="B1724" i="1" a="1"/>
  <c r="B1724" i="1" s="1"/>
  <c r="B1725" i="1" a="1"/>
  <c r="B1725" i="1" s="1"/>
  <c r="B1726" i="1" a="1"/>
  <c r="B1726" i="1" s="1"/>
  <c r="B1727" i="1" a="1"/>
  <c r="B1727" i="1" s="1"/>
  <c r="B1728" i="1" a="1"/>
  <c r="B1728" i="1"/>
  <c r="B1729" i="1" a="1"/>
  <c r="B1729" i="1" s="1"/>
  <c r="B1730" i="1" a="1"/>
  <c r="B1730" i="1" s="1"/>
  <c r="B1731" i="1" a="1"/>
  <c r="B1731" i="1" s="1"/>
  <c r="B1732" i="1" a="1"/>
  <c r="B1732" i="1" s="1"/>
  <c r="B1733" i="1" a="1"/>
  <c r="B1733" i="1" s="1"/>
  <c r="B1734" i="1" a="1"/>
  <c r="B1734" i="1"/>
  <c r="B1735" i="1" a="1"/>
  <c r="B1735" i="1" s="1"/>
  <c r="B1736" i="1" a="1"/>
  <c r="B1736" i="1" s="1"/>
  <c r="B1737" i="1" a="1"/>
  <c r="B1737" i="1" s="1"/>
  <c r="B1738" i="1" a="1"/>
  <c r="B1738" i="1" s="1"/>
  <c r="B1739" i="1" a="1"/>
  <c r="B1739" i="1" s="1"/>
  <c r="B1740" i="1" a="1"/>
  <c r="B1740" i="1"/>
  <c r="B1741" i="1" a="1"/>
  <c r="B1741" i="1" s="1"/>
  <c r="B1742" i="1" a="1"/>
  <c r="B1742" i="1" s="1"/>
  <c r="B1743" i="1" a="1"/>
  <c r="B1743" i="1" s="1"/>
  <c r="B1744" i="1" a="1"/>
  <c r="B1744" i="1" s="1"/>
  <c r="B1745" i="1" a="1"/>
  <c r="B1745" i="1" s="1"/>
  <c r="B1746" i="1" a="1"/>
  <c r="B1746" i="1"/>
  <c r="B1747" i="1" a="1"/>
  <c r="B1747" i="1" s="1"/>
  <c r="B1748" i="1" a="1"/>
  <c r="B1748" i="1" s="1"/>
  <c r="B1749" i="1" a="1"/>
  <c r="B1749" i="1" s="1"/>
  <c r="B1750" i="1" a="1"/>
  <c r="B1750" i="1" s="1"/>
  <c r="B1751" i="1" a="1"/>
  <c r="B1751" i="1" s="1"/>
  <c r="B1752" i="1" a="1"/>
  <c r="B1752" i="1"/>
  <c r="B1753" i="1" a="1"/>
  <c r="B1753" i="1" s="1"/>
  <c r="B1754" i="1" a="1"/>
  <c r="B1754" i="1" s="1"/>
  <c r="B1755" i="1" a="1"/>
  <c r="B1755" i="1" s="1"/>
  <c r="B1756" i="1" a="1"/>
  <c r="B1756" i="1" s="1"/>
  <c r="B1757" i="1" a="1"/>
  <c r="B1757" i="1" s="1"/>
  <c r="B1758" i="1" a="1"/>
  <c r="B1758" i="1" s="1"/>
  <c r="B1759" i="1" a="1"/>
  <c r="B1759" i="1" s="1"/>
  <c r="B1760" i="1" a="1"/>
  <c r="B1760" i="1" s="1"/>
  <c r="B1761" i="1" a="1"/>
  <c r="B1761" i="1" s="1"/>
  <c r="B1762" i="1" a="1"/>
  <c r="B1762" i="1" s="1"/>
  <c r="B1763" i="1" a="1"/>
  <c r="B1763" i="1" s="1"/>
  <c r="B1764" i="1" a="1"/>
  <c r="B1764" i="1" s="1"/>
  <c r="B1765" i="1" a="1"/>
  <c r="B1765" i="1" s="1"/>
  <c r="B1766" i="1" a="1"/>
  <c r="B1766" i="1" s="1"/>
  <c r="B1767" i="1" a="1"/>
  <c r="B1767" i="1" s="1"/>
  <c r="B1768" i="1" a="1"/>
  <c r="B1768" i="1" s="1"/>
  <c r="B1769" i="1" a="1"/>
  <c r="B1769" i="1" s="1"/>
  <c r="B1770" i="1" a="1"/>
  <c r="B1770" i="1" s="1"/>
  <c r="B1771" i="1" a="1"/>
  <c r="B1771" i="1" s="1"/>
  <c r="B1772" i="1" a="1"/>
  <c r="B1772" i="1" s="1"/>
  <c r="B1773" i="1" a="1"/>
  <c r="B1773" i="1" s="1"/>
  <c r="B1774" i="1" a="1"/>
  <c r="B1774" i="1" s="1"/>
  <c r="B1775" i="1" a="1"/>
  <c r="B1775" i="1" s="1"/>
  <c r="B1776" i="1" a="1"/>
  <c r="B1776" i="1" s="1"/>
  <c r="B1777" i="1" a="1"/>
  <c r="B1777" i="1" s="1"/>
  <c r="B1778" i="1" a="1"/>
  <c r="B1778" i="1" s="1"/>
  <c r="B1779" i="1" a="1"/>
  <c r="B1779" i="1" s="1"/>
  <c r="B1780" i="1" a="1"/>
  <c r="B1780" i="1" s="1"/>
  <c r="B1781" i="1" a="1"/>
  <c r="B1781" i="1" s="1"/>
  <c r="B1782" i="1" a="1"/>
  <c r="B1782" i="1" s="1"/>
  <c r="B1783" i="1" a="1"/>
  <c r="B1783" i="1" s="1"/>
  <c r="B1784" i="1" a="1"/>
  <c r="B1784" i="1" s="1"/>
  <c r="B1785" i="1" a="1"/>
  <c r="B1785" i="1" s="1"/>
  <c r="B1786" i="1" a="1"/>
  <c r="B1786" i="1" s="1"/>
  <c r="B1787" i="1" a="1"/>
  <c r="B1787" i="1" s="1"/>
  <c r="B1788" i="1" a="1"/>
  <c r="B1788" i="1"/>
  <c r="B1789" i="1" a="1"/>
  <c r="B1789" i="1" s="1"/>
  <c r="B1790" i="1" a="1"/>
  <c r="B1790" i="1" s="1"/>
  <c r="B1791" i="1" a="1"/>
  <c r="B1791" i="1" s="1"/>
  <c r="B1792" i="1" a="1"/>
  <c r="B1792" i="1" s="1"/>
  <c r="B1793" i="1" a="1"/>
  <c r="B1793" i="1" s="1"/>
  <c r="B1794" i="1" a="1"/>
  <c r="B1794" i="1" s="1"/>
  <c r="B1795" i="1" a="1"/>
  <c r="B1795" i="1" s="1"/>
  <c r="B1796" i="1" a="1"/>
  <c r="B1796" i="1" s="1"/>
  <c r="B1797" i="1" a="1"/>
  <c r="B1797" i="1" s="1"/>
  <c r="B1798" i="1" a="1"/>
  <c r="B1798" i="1" s="1"/>
  <c r="B1799" i="1" a="1"/>
  <c r="B1799" i="1" s="1"/>
  <c r="B1800" i="1" a="1"/>
  <c r="B1800" i="1"/>
  <c r="B1801" i="1" a="1"/>
  <c r="B1801" i="1" s="1"/>
  <c r="B1802" i="1" a="1"/>
  <c r="B1802" i="1" s="1"/>
  <c r="B1803" i="1" a="1"/>
  <c r="B1803" i="1" s="1"/>
  <c r="B1804" i="1" a="1"/>
  <c r="B1804" i="1" s="1"/>
  <c r="B1805" i="1" a="1"/>
  <c r="B1805" i="1" s="1"/>
  <c r="B1806" i="1" a="1"/>
  <c r="B1806" i="1"/>
  <c r="B1807" i="1" a="1"/>
  <c r="B1807" i="1" s="1"/>
  <c r="B1808" i="1" a="1"/>
  <c r="B1808" i="1" s="1"/>
  <c r="B1809" i="1" a="1"/>
  <c r="B1809" i="1" s="1"/>
  <c r="B1810" i="1" a="1"/>
  <c r="B1810" i="1" s="1"/>
  <c r="B1811" i="1" a="1"/>
  <c r="B1811" i="1" s="1"/>
  <c r="B1812" i="1" a="1"/>
  <c r="B1812" i="1" s="1"/>
  <c r="B1813" i="1" a="1"/>
  <c r="B1813" i="1" s="1"/>
  <c r="B1814" i="1" a="1"/>
  <c r="B1814" i="1" s="1"/>
  <c r="B1815" i="1" a="1"/>
  <c r="B1815" i="1" s="1"/>
  <c r="B1816" i="1" a="1"/>
  <c r="B1816" i="1" s="1"/>
  <c r="B1817" i="1" a="1"/>
  <c r="B1817" i="1" s="1"/>
  <c r="B1818" i="1" a="1"/>
  <c r="B1818" i="1" s="1"/>
  <c r="B1819" i="1" a="1"/>
  <c r="B1819" i="1" s="1"/>
  <c r="B1820" i="1" a="1"/>
  <c r="B1820" i="1" s="1"/>
  <c r="B1821" i="1" a="1"/>
  <c r="B1821" i="1" s="1"/>
  <c r="B1822" i="1" a="1"/>
  <c r="B1822" i="1" s="1"/>
  <c r="B1823" i="1" a="1"/>
  <c r="B1823" i="1" s="1"/>
  <c r="B1824" i="1" a="1"/>
  <c r="B1824" i="1" s="1"/>
  <c r="B1825" i="1" a="1"/>
  <c r="B1825" i="1" s="1"/>
  <c r="B1826" i="1" a="1"/>
  <c r="B1826" i="1" s="1"/>
  <c r="B1827" i="1" a="1"/>
  <c r="B1827" i="1" s="1"/>
  <c r="B1828" i="1" a="1"/>
  <c r="B1828" i="1" s="1"/>
  <c r="B1829" i="1" a="1"/>
  <c r="B1829" i="1" s="1"/>
  <c r="B1830" i="1" a="1"/>
  <c r="B1830" i="1" s="1"/>
  <c r="B1831" i="1" a="1"/>
  <c r="B1831" i="1" s="1"/>
  <c r="B1832" i="1" a="1"/>
  <c r="B1832" i="1" s="1"/>
  <c r="B1833" i="1" a="1"/>
  <c r="B1833" i="1" s="1"/>
  <c r="B1834" i="1" a="1"/>
  <c r="B1834" i="1" s="1"/>
  <c r="B1835" i="1" a="1"/>
  <c r="B1835" i="1" s="1"/>
  <c r="B1836" i="1" a="1"/>
  <c r="B1836" i="1" s="1"/>
  <c r="B1837" i="1" a="1"/>
  <c r="B1837" i="1" s="1"/>
  <c r="B1838" i="1" a="1"/>
  <c r="B1838" i="1" s="1"/>
  <c r="B1839" i="1" a="1"/>
  <c r="B1839" i="1" s="1"/>
  <c r="B1840" i="1" a="1"/>
  <c r="B1840" i="1" s="1"/>
  <c r="B1841" i="1" a="1"/>
  <c r="B1841" i="1" s="1"/>
  <c r="B1842" i="1" a="1"/>
  <c r="B1842" i="1" s="1"/>
  <c r="B1843" i="1" a="1"/>
  <c r="B1843" i="1" s="1"/>
  <c r="B1844" i="1" a="1"/>
  <c r="B1844" i="1" s="1"/>
  <c r="B1845" i="1" a="1"/>
  <c r="B1845" i="1" s="1"/>
  <c r="B1846" i="1" a="1"/>
  <c r="B1846" i="1" s="1"/>
  <c r="B1847" i="1" a="1"/>
  <c r="B1847" i="1" s="1"/>
  <c r="B1848" i="1" a="1"/>
  <c r="B1848" i="1" s="1"/>
  <c r="B1849" i="1" a="1"/>
  <c r="B1849" i="1" s="1"/>
  <c r="B1850" i="1" a="1"/>
  <c r="B1850" i="1" s="1"/>
  <c r="B1851" i="1" a="1"/>
  <c r="B1851" i="1" s="1"/>
  <c r="B1852" i="1" a="1"/>
  <c r="B1852" i="1" s="1"/>
  <c r="B1853" i="1" a="1"/>
  <c r="B1853" i="1" s="1"/>
  <c r="B1854" i="1" a="1"/>
  <c r="B1854" i="1" s="1"/>
  <c r="B1855" i="1" a="1"/>
  <c r="B1855" i="1" s="1"/>
  <c r="B1856" i="1" a="1"/>
  <c r="B1856" i="1" s="1"/>
  <c r="B1857" i="1" a="1"/>
  <c r="B1857" i="1" s="1"/>
  <c r="B1858" i="1" a="1"/>
  <c r="B1858" i="1" s="1"/>
  <c r="B1859" i="1" a="1"/>
  <c r="B1859" i="1" s="1"/>
  <c r="B1860" i="1" a="1"/>
  <c r="B1860" i="1" s="1"/>
  <c r="B1861" i="1" a="1"/>
  <c r="B1861" i="1" s="1"/>
  <c r="B1862" i="1" a="1"/>
  <c r="B1862" i="1" s="1"/>
  <c r="B1863" i="1" a="1"/>
  <c r="B1863" i="1" s="1"/>
  <c r="B1864" i="1" a="1"/>
  <c r="B1864" i="1" s="1"/>
  <c r="B1865" i="1" a="1"/>
  <c r="B1865" i="1" s="1"/>
  <c r="B1866" i="1" a="1"/>
  <c r="B1866" i="1" s="1"/>
  <c r="B1867" i="1" a="1"/>
  <c r="B1867" i="1" s="1"/>
  <c r="B1868" i="1" a="1"/>
  <c r="B1868" i="1" s="1"/>
  <c r="B1869" i="1" a="1"/>
  <c r="B1869" i="1" s="1"/>
  <c r="B1870" i="1" a="1"/>
  <c r="B1870" i="1" s="1"/>
  <c r="B1871" i="1" a="1"/>
  <c r="B1871" i="1" s="1"/>
  <c r="B1872" i="1" a="1"/>
  <c r="B1872" i="1" s="1"/>
  <c r="B1873" i="1" a="1"/>
  <c r="B1873" i="1" s="1"/>
  <c r="B1874" i="1" a="1"/>
  <c r="B1874" i="1" s="1"/>
  <c r="B1875" i="1" a="1"/>
  <c r="B1875" i="1" s="1"/>
  <c r="B1876" i="1" a="1"/>
  <c r="B1876" i="1" s="1"/>
  <c r="B1877" i="1" a="1"/>
  <c r="B1877" i="1" s="1"/>
  <c r="B1878" i="1" a="1"/>
  <c r="B1878" i="1" s="1"/>
  <c r="B1879" i="1" a="1"/>
  <c r="B1879" i="1" s="1"/>
  <c r="B1880" i="1" a="1"/>
  <c r="B1880" i="1" s="1"/>
  <c r="B1881" i="1" a="1"/>
  <c r="B1881" i="1" s="1"/>
  <c r="B1882" i="1" a="1"/>
  <c r="B1882" i="1" s="1"/>
  <c r="B1883" i="1" a="1"/>
  <c r="B1883" i="1" s="1"/>
  <c r="B1884" i="1" a="1"/>
  <c r="B1884" i="1" s="1"/>
  <c r="B1885" i="1" a="1"/>
  <c r="B1885" i="1" s="1"/>
  <c r="B1886" i="1" a="1"/>
  <c r="B1886" i="1" s="1"/>
  <c r="B1887" i="1" a="1"/>
  <c r="B1887" i="1" s="1"/>
  <c r="B1888" i="1" a="1"/>
  <c r="B1888" i="1" s="1"/>
  <c r="B1889" i="1" a="1"/>
  <c r="B1889" i="1" s="1"/>
  <c r="B1890" i="1" a="1"/>
  <c r="B1890" i="1" s="1"/>
  <c r="B1891" i="1" a="1"/>
  <c r="B1891" i="1" s="1"/>
  <c r="B1892" i="1" a="1"/>
  <c r="B1892" i="1" s="1"/>
  <c r="B1893" i="1" a="1"/>
  <c r="B1893" i="1" s="1"/>
  <c r="B1894" i="1" a="1"/>
  <c r="B1894" i="1" s="1"/>
  <c r="B1895" i="1" a="1"/>
  <c r="B1895" i="1" s="1"/>
  <c r="B1896" i="1" a="1"/>
  <c r="B1896" i="1" s="1"/>
  <c r="B1897" i="1" a="1"/>
  <c r="B1897" i="1" s="1"/>
  <c r="B1898" i="1" a="1"/>
  <c r="B1898" i="1" s="1"/>
  <c r="B1899" i="1" a="1"/>
  <c r="B1899" i="1" s="1"/>
  <c r="B1900" i="1" a="1"/>
  <c r="B1900" i="1" s="1"/>
  <c r="B1901" i="1" a="1"/>
  <c r="B1901" i="1" s="1"/>
  <c r="B1902" i="1" a="1"/>
  <c r="B1902" i="1" s="1"/>
  <c r="B1903" i="1" a="1"/>
  <c r="B1903" i="1" s="1"/>
  <c r="B1904" i="1" a="1"/>
  <c r="B1904" i="1" s="1"/>
  <c r="B1905" i="1" a="1"/>
  <c r="B1905" i="1" s="1"/>
  <c r="B1906" i="1" a="1"/>
  <c r="B1906" i="1" s="1"/>
  <c r="B1907" i="1" a="1"/>
  <c r="B1907" i="1" s="1"/>
  <c r="B1908" i="1" a="1"/>
  <c r="B1908" i="1" s="1"/>
  <c r="B1909" i="1" a="1"/>
  <c r="B1909" i="1" s="1"/>
  <c r="B1910" i="1" a="1"/>
  <c r="B1910" i="1" s="1"/>
  <c r="B1911" i="1" a="1"/>
  <c r="B1911" i="1" s="1"/>
  <c r="B1912" i="1" a="1"/>
  <c r="B1912" i="1" s="1"/>
  <c r="B1913" i="1" a="1"/>
  <c r="B1913" i="1" s="1"/>
  <c r="B1914" i="1" a="1"/>
  <c r="B1914" i="1" s="1"/>
  <c r="B1915" i="1" a="1"/>
  <c r="B1915" i="1" s="1"/>
  <c r="B1916" i="1" a="1"/>
  <c r="B1916" i="1" s="1"/>
  <c r="B1917" i="1" a="1"/>
  <c r="B1917" i="1" s="1"/>
  <c r="B1918" i="1" a="1"/>
  <c r="B1918" i="1" s="1"/>
  <c r="B1919" i="1" a="1"/>
  <c r="B1919" i="1" s="1"/>
  <c r="B1920" i="1" a="1"/>
  <c r="B1920" i="1" s="1"/>
  <c r="B1921" i="1" a="1"/>
  <c r="B1921" i="1" s="1"/>
  <c r="B1922" i="1" a="1"/>
  <c r="B1922" i="1" s="1"/>
  <c r="B1923" i="1" a="1"/>
  <c r="B1923" i="1" s="1"/>
  <c r="B1924" i="1" a="1"/>
  <c r="B1924" i="1" s="1"/>
  <c r="B1925" i="1" a="1"/>
  <c r="B1925" i="1" s="1"/>
  <c r="B1926" i="1" a="1"/>
  <c r="B1926" i="1" s="1"/>
  <c r="B1927" i="1" a="1"/>
  <c r="B1927" i="1" s="1"/>
  <c r="B1928" i="1" a="1"/>
  <c r="B1928" i="1" s="1"/>
  <c r="B1929" i="1" a="1"/>
  <c r="B1929" i="1" s="1"/>
  <c r="B1930" i="1" a="1"/>
  <c r="B1930" i="1" s="1"/>
  <c r="B1931" i="1" a="1"/>
  <c r="B1931" i="1" s="1"/>
  <c r="B1932" i="1" a="1"/>
  <c r="B1932" i="1" s="1"/>
  <c r="B1933" i="1" a="1"/>
  <c r="B1933" i="1" s="1"/>
  <c r="B1934" i="1" a="1"/>
  <c r="B1934" i="1" s="1"/>
  <c r="B1935" i="1" a="1"/>
  <c r="B1935" i="1" s="1"/>
  <c r="B1936" i="1" a="1"/>
  <c r="B1936" i="1" s="1"/>
  <c r="B1937" i="1" a="1"/>
  <c r="B1937" i="1" s="1"/>
  <c r="B1938" i="1" a="1"/>
  <c r="B1938" i="1" s="1"/>
  <c r="B1939" i="1" a="1"/>
  <c r="B1939" i="1" s="1"/>
  <c r="B1940" i="1" a="1"/>
  <c r="B1940" i="1" s="1"/>
  <c r="B1941" i="1" a="1"/>
  <c r="B1941" i="1" s="1"/>
  <c r="B1942" i="1" a="1"/>
  <c r="B1942" i="1" s="1"/>
  <c r="B1943" i="1" a="1"/>
  <c r="B1943" i="1" s="1"/>
  <c r="B1944" i="1" a="1"/>
  <c r="B1944" i="1" s="1"/>
  <c r="B1945" i="1" a="1"/>
  <c r="B1945" i="1" s="1"/>
  <c r="B1946" i="1" a="1"/>
  <c r="B1946" i="1" s="1"/>
  <c r="B1947" i="1" a="1"/>
  <c r="B1947" i="1" s="1"/>
  <c r="B1948" i="1" a="1"/>
  <c r="B1948" i="1" s="1"/>
  <c r="B1949" i="1" a="1"/>
  <c r="B1949" i="1" s="1"/>
  <c r="B1950" i="1" a="1"/>
  <c r="B1950" i="1" s="1"/>
  <c r="B1951" i="1" a="1"/>
  <c r="B1951" i="1" s="1"/>
  <c r="B1952" i="1" a="1"/>
  <c r="B1952" i="1" s="1"/>
  <c r="B1953" i="1" a="1"/>
  <c r="B1953" i="1" s="1"/>
  <c r="B1954" i="1" a="1"/>
  <c r="B1954" i="1" s="1"/>
  <c r="B1955" i="1" a="1"/>
  <c r="B1955" i="1" s="1"/>
  <c r="B1956" i="1" a="1"/>
  <c r="B1956" i="1" s="1"/>
  <c r="B1957" i="1" a="1"/>
  <c r="B1957" i="1" s="1"/>
  <c r="B1958" i="1" a="1"/>
  <c r="B1958" i="1" s="1"/>
  <c r="B1959" i="1" a="1"/>
  <c r="B1959" i="1" s="1"/>
  <c r="B1960" i="1" a="1"/>
  <c r="B1960" i="1" s="1"/>
  <c r="B1961" i="1" a="1"/>
  <c r="B1961" i="1" s="1"/>
  <c r="B1962" i="1" a="1"/>
  <c r="B1962" i="1" s="1"/>
  <c r="B1963" i="1" a="1"/>
  <c r="B1963" i="1" s="1"/>
  <c r="B1964" i="1" a="1"/>
  <c r="B1964" i="1" s="1"/>
  <c r="B1965" i="1" a="1"/>
  <c r="B1965" i="1" s="1"/>
  <c r="B1966" i="1" a="1"/>
  <c r="B1966" i="1" s="1"/>
  <c r="B1967" i="1" a="1"/>
  <c r="B1967" i="1" s="1"/>
  <c r="B1968" i="1" a="1"/>
  <c r="B1968" i="1" s="1"/>
  <c r="B1969" i="1" a="1"/>
  <c r="B1969" i="1" s="1"/>
  <c r="B1970" i="1" a="1"/>
  <c r="B1970" i="1" s="1"/>
  <c r="B1971" i="1" a="1"/>
  <c r="B1971" i="1" s="1"/>
  <c r="B1972" i="1" a="1"/>
  <c r="B1972" i="1" s="1"/>
  <c r="B1973" i="1" a="1"/>
  <c r="B1973" i="1" s="1"/>
  <c r="B1974" i="1" a="1"/>
  <c r="B1974" i="1" s="1"/>
  <c r="B1975" i="1" a="1"/>
  <c r="B1975" i="1" s="1"/>
  <c r="B1976" i="1" a="1"/>
  <c r="B1976" i="1" s="1"/>
  <c r="B1977" i="1" a="1"/>
  <c r="B1977" i="1" s="1"/>
  <c r="B1978" i="1" a="1"/>
  <c r="B1978" i="1" s="1"/>
  <c r="B1979" i="1" a="1"/>
  <c r="B1979" i="1" s="1"/>
  <c r="B1980" i="1" a="1"/>
  <c r="B1980" i="1" s="1"/>
  <c r="B1981" i="1" a="1"/>
  <c r="B1981" i="1" s="1"/>
  <c r="B1982" i="1" a="1"/>
  <c r="B1982" i="1" s="1"/>
  <c r="B1983" i="1" a="1"/>
  <c r="B1983" i="1" s="1"/>
  <c r="B1984" i="1" a="1"/>
  <c r="B1984" i="1" s="1"/>
  <c r="B1985" i="1" a="1"/>
  <c r="B1985" i="1" s="1"/>
  <c r="B1986" i="1" a="1"/>
  <c r="B1986" i="1" s="1"/>
  <c r="B1987" i="1" a="1"/>
  <c r="B1987" i="1" s="1"/>
  <c r="B1988" i="1" a="1"/>
  <c r="B1988" i="1" s="1"/>
  <c r="B1989" i="1" a="1"/>
  <c r="B1989" i="1" s="1"/>
  <c r="B1990" i="1" a="1"/>
  <c r="B1990" i="1" s="1"/>
  <c r="B1991" i="1" a="1"/>
  <c r="B1991" i="1" s="1"/>
  <c r="B1992" i="1" a="1"/>
  <c r="B1992" i="1" s="1"/>
  <c r="B1993" i="1" a="1"/>
  <c r="B1993" i="1" s="1"/>
  <c r="B1994" i="1" a="1"/>
  <c r="B1994" i="1" s="1"/>
  <c r="B1995" i="1" a="1"/>
  <c r="B1995" i="1" s="1"/>
  <c r="B1996" i="1" a="1"/>
  <c r="B1996" i="1" s="1"/>
  <c r="B1997" i="1" a="1"/>
  <c r="B1997" i="1" s="1"/>
  <c r="B1998" i="1" a="1"/>
  <c r="B1998" i="1" s="1"/>
  <c r="B1999" i="1" a="1"/>
  <c r="B1999" i="1" s="1"/>
  <c r="B2000" i="1" a="1"/>
  <c r="B2000" i="1" s="1"/>
  <c r="B2001" i="1" a="1"/>
  <c r="B2001" i="1" s="1"/>
  <c r="B2002" i="1" a="1"/>
  <c r="B2002" i="1" s="1"/>
  <c r="B2003" i="1" a="1"/>
  <c r="B2003" i="1" s="1"/>
  <c r="B2004" i="1" a="1"/>
  <c r="B2004" i="1" s="1"/>
  <c r="B2005" i="1" a="1"/>
  <c r="B2005" i="1" s="1"/>
  <c r="B2006" i="1" a="1"/>
  <c r="B2006" i="1" s="1"/>
  <c r="B2007" i="1" a="1"/>
  <c r="B2007" i="1" s="1"/>
  <c r="B2008" i="1" a="1"/>
  <c r="B2008" i="1" s="1"/>
  <c r="B2009" i="1" a="1"/>
  <c r="B2009" i="1" s="1"/>
  <c r="B2010" i="1" a="1"/>
  <c r="B2010" i="1" s="1"/>
  <c r="B2011" i="1" a="1"/>
  <c r="B2011" i="1" s="1"/>
  <c r="B2012" i="1" a="1"/>
  <c r="B2012" i="1" s="1"/>
  <c r="B2013" i="1" a="1"/>
  <c r="B2013" i="1" s="1"/>
  <c r="B2014" i="1" a="1"/>
  <c r="B2014" i="1" s="1"/>
  <c r="B2015" i="1" a="1"/>
  <c r="B2015" i="1" s="1"/>
  <c r="B2016" i="1" a="1"/>
  <c r="B2016" i="1" s="1"/>
  <c r="B2017" i="1" a="1"/>
  <c r="B2017" i="1" s="1"/>
  <c r="B2018" i="1" a="1"/>
  <c r="B2018" i="1" s="1"/>
  <c r="B2019" i="1" a="1"/>
  <c r="B2019" i="1" s="1"/>
  <c r="B2020" i="1" a="1"/>
  <c r="B2020" i="1" s="1"/>
  <c r="B2021" i="1" a="1"/>
  <c r="B2021" i="1" s="1"/>
  <c r="B2022" i="1" a="1"/>
  <c r="B2022" i="1" s="1"/>
  <c r="B2023" i="1" a="1"/>
  <c r="B2023" i="1" s="1"/>
  <c r="B2024" i="1" a="1"/>
  <c r="B2024" i="1" s="1"/>
  <c r="B2025" i="1" a="1"/>
  <c r="B2025" i="1" s="1"/>
  <c r="B2026" i="1" a="1"/>
  <c r="B2026" i="1" s="1"/>
  <c r="B2027" i="1" a="1"/>
  <c r="B2027" i="1" s="1"/>
  <c r="B2028" i="1" a="1"/>
  <c r="B2028" i="1" s="1"/>
  <c r="B2029" i="1" a="1"/>
  <c r="B2029" i="1" s="1"/>
  <c r="B2030" i="1" a="1"/>
  <c r="B2030" i="1" s="1"/>
  <c r="B2031" i="1" a="1"/>
  <c r="B2031" i="1" s="1"/>
  <c r="B2032" i="1" a="1"/>
  <c r="B2032" i="1" s="1"/>
  <c r="B2033" i="1" a="1"/>
  <c r="B2033" i="1" s="1"/>
  <c r="B2034" i="1" a="1"/>
  <c r="B2034" i="1" s="1"/>
  <c r="B2035" i="1" a="1"/>
  <c r="B2035" i="1" s="1"/>
  <c r="B2036" i="1" a="1"/>
  <c r="B2036" i="1" s="1"/>
  <c r="B2037" i="1" a="1"/>
  <c r="B2037" i="1" s="1"/>
  <c r="B2038" i="1" a="1"/>
  <c r="B2038" i="1" s="1"/>
  <c r="B2039" i="1" a="1"/>
  <c r="B2039" i="1" s="1"/>
  <c r="B2040" i="1" a="1"/>
  <c r="B2040" i="1" s="1"/>
  <c r="B2041" i="1" a="1"/>
  <c r="B2041" i="1" s="1"/>
  <c r="B2042" i="1" a="1"/>
  <c r="B2042" i="1" s="1"/>
  <c r="B2043" i="1" a="1"/>
  <c r="B2043" i="1" s="1"/>
  <c r="B2044" i="1" a="1"/>
  <c r="B2044" i="1" s="1"/>
  <c r="B2045" i="1" a="1"/>
  <c r="B2045" i="1" s="1"/>
  <c r="B2046" i="1" a="1"/>
  <c r="B2046" i="1" s="1"/>
  <c r="B2047" i="1" a="1"/>
  <c r="B2047" i="1" s="1"/>
  <c r="B2048" i="1" a="1"/>
  <c r="B2048" i="1" s="1"/>
  <c r="B2049" i="1" a="1"/>
  <c r="B2049" i="1" s="1"/>
  <c r="B2050" i="1" a="1"/>
  <c r="B2050" i="1" s="1"/>
  <c r="B2051" i="1" a="1"/>
  <c r="B2051" i="1" s="1"/>
  <c r="B2052" i="1" a="1"/>
  <c r="B2052" i="1" s="1"/>
  <c r="B2053" i="1" a="1"/>
  <c r="B2053" i="1" s="1"/>
  <c r="B2054" i="1" a="1"/>
  <c r="B2054" i="1" s="1"/>
  <c r="B2055" i="1" a="1"/>
  <c r="B2055" i="1" s="1"/>
  <c r="B2056" i="1" a="1"/>
  <c r="B2056" i="1" s="1"/>
  <c r="B2057" i="1" a="1"/>
  <c r="B2057" i="1" s="1"/>
  <c r="B2058" i="1" a="1"/>
  <c r="B2058" i="1" s="1"/>
  <c r="B2059" i="1" a="1"/>
  <c r="B2059" i="1" s="1"/>
  <c r="B2060" i="1" a="1"/>
  <c r="B2060" i="1" s="1"/>
  <c r="B2061" i="1" a="1"/>
  <c r="B2061" i="1" s="1"/>
  <c r="B2062" i="1" a="1"/>
  <c r="B2062" i="1" s="1"/>
  <c r="B2063" i="1" a="1"/>
  <c r="B2063" i="1" s="1"/>
  <c r="B2064" i="1" a="1"/>
  <c r="B2064" i="1" s="1"/>
  <c r="B2065" i="1" a="1"/>
  <c r="B2065" i="1" s="1"/>
  <c r="B2066" i="1" a="1"/>
  <c r="B2066" i="1" s="1"/>
  <c r="B2067" i="1" a="1"/>
  <c r="B2067" i="1" s="1"/>
  <c r="B2068" i="1" a="1"/>
  <c r="B2068" i="1" s="1"/>
  <c r="B2069" i="1" a="1"/>
  <c r="B2069" i="1" s="1"/>
  <c r="B2070" i="1" a="1"/>
  <c r="B2070" i="1" s="1"/>
  <c r="B2071" i="1" a="1"/>
  <c r="B2071" i="1" s="1"/>
  <c r="B2072" i="1" a="1"/>
  <c r="B2072" i="1" s="1"/>
  <c r="B2073" i="1" a="1"/>
  <c r="B2073" i="1" s="1"/>
  <c r="B2074" i="1" a="1"/>
  <c r="B2074" i="1" s="1"/>
  <c r="B2075" i="1" a="1"/>
  <c r="B2075" i="1" s="1"/>
  <c r="B2076" i="1" a="1"/>
  <c r="B2076" i="1" s="1"/>
  <c r="B2077" i="1" a="1"/>
  <c r="B2077" i="1" s="1"/>
  <c r="B2078" i="1" a="1"/>
  <c r="B2078" i="1" s="1"/>
  <c r="B2079" i="1" a="1"/>
  <c r="B2079" i="1" s="1"/>
  <c r="B2080" i="1" a="1"/>
  <c r="B2080" i="1" s="1"/>
  <c r="B2081" i="1" a="1"/>
  <c r="B2081" i="1" s="1"/>
  <c r="B2082" i="1" a="1"/>
  <c r="B2082" i="1" s="1"/>
  <c r="B2083" i="1" a="1"/>
  <c r="B2083" i="1" s="1"/>
  <c r="B2084" i="1" a="1"/>
  <c r="B2084" i="1" s="1"/>
  <c r="B2085" i="1" a="1"/>
  <c r="B2085" i="1" s="1"/>
  <c r="B2086" i="1" a="1"/>
  <c r="B2086" i="1" s="1"/>
  <c r="B2087" i="1" a="1"/>
  <c r="B2087" i="1" s="1"/>
  <c r="B2088" i="1" a="1"/>
  <c r="B2088" i="1" s="1"/>
  <c r="B2089" i="1" a="1"/>
  <c r="B2089" i="1" s="1"/>
  <c r="B2090" i="1" a="1"/>
  <c r="B2090" i="1" s="1"/>
  <c r="B2091" i="1" a="1"/>
  <c r="B2091" i="1" s="1"/>
  <c r="B2092" i="1" a="1"/>
  <c r="B2092" i="1" s="1"/>
  <c r="B2093" i="1" a="1"/>
  <c r="B2093" i="1" s="1"/>
  <c r="B2094" i="1" a="1"/>
  <c r="B2094" i="1" s="1"/>
  <c r="B2095" i="1" a="1"/>
  <c r="B2095" i="1" s="1"/>
  <c r="B2096" i="1" a="1"/>
  <c r="B2096" i="1" s="1"/>
  <c r="B2097" i="1" a="1"/>
  <c r="B2097" i="1" s="1"/>
  <c r="B2098" i="1" a="1"/>
  <c r="B2098" i="1" s="1"/>
  <c r="B2099" i="1" a="1"/>
  <c r="B2099" i="1" s="1"/>
  <c r="B2100" i="1" a="1"/>
  <c r="B2100" i="1" s="1"/>
  <c r="B2101" i="1" a="1"/>
  <c r="B2101" i="1" s="1"/>
  <c r="B2102" i="1" a="1"/>
  <c r="B2102" i="1" s="1"/>
  <c r="B2103" i="1" a="1"/>
  <c r="B2103" i="1" s="1"/>
  <c r="B2104" i="1" a="1"/>
  <c r="B2104" i="1" s="1"/>
  <c r="B2105" i="1" a="1"/>
  <c r="B2105" i="1" s="1"/>
  <c r="B2106" i="1" a="1"/>
  <c r="B2106" i="1" s="1"/>
  <c r="B2107" i="1" a="1"/>
  <c r="B2107" i="1" s="1"/>
  <c r="B2108" i="1" a="1"/>
  <c r="B2108" i="1" s="1"/>
  <c r="B2109" i="1" a="1"/>
  <c r="B2109" i="1" s="1"/>
  <c r="B2110" i="1" a="1"/>
  <c r="B2110" i="1" s="1"/>
  <c r="B2111" i="1" a="1"/>
  <c r="B2111" i="1" s="1"/>
  <c r="B2112" i="1" a="1"/>
  <c r="B2112" i="1" s="1"/>
  <c r="B2113" i="1" a="1"/>
  <c r="B2113" i="1" s="1"/>
  <c r="B2114" i="1" a="1"/>
  <c r="B2114" i="1" s="1"/>
  <c r="B2115" i="1" a="1"/>
  <c r="B2115" i="1" s="1"/>
  <c r="B2116" i="1" a="1"/>
  <c r="B2116" i="1" s="1"/>
  <c r="B2117" i="1" a="1"/>
  <c r="B2117" i="1" s="1"/>
  <c r="B2118" i="1" a="1"/>
  <c r="B2118" i="1" s="1"/>
  <c r="B2119" i="1" a="1"/>
  <c r="B2119" i="1" s="1"/>
  <c r="B2120" i="1" a="1"/>
  <c r="B2120" i="1" s="1"/>
  <c r="B2121" i="1" a="1"/>
  <c r="B2121" i="1" s="1"/>
  <c r="B2122" i="1" a="1"/>
  <c r="B2122" i="1" s="1"/>
  <c r="B2123" i="1" a="1"/>
  <c r="B2123" i="1" s="1"/>
  <c r="B2124" i="1" a="1"/>
  <c r="B2124" i="1" s="1"/>
  <c r="B2125" i="1" a="1"/>
  <c r="B2125" i="1" s="1"/>
  <c r="B2126" i="1" a="1"/>
  <c r="B2126" i="1" s="1"/>
  <c r="B2127" i="1" a="1"/>
  <c r="B2127" i="1" s="1"/>
  <c r="B2128" i="1" a="1"/>
  <c r="B2128" i="1" s="1"/>
  <c r="B2129" i="1" a="1"/>
  <c r="B2129" i="1" s="1"/>
  <c r="B2130" i="1" a="1"/>
  <c r="B2130" i="1" s="1"/>
  <c r="B2131" i="1" a="1"/>
  <c r="B2131" i="1" s="1"/>
  <c r="B2132" i="1" a="1"/>
  <c r="B2132" i="1" s="1"/>
  <c r="B2133" i="1" a="1"/>
  <c r="B2133" i="1" s="1"/>
  <c r="B2134" i="1" a="1"/>
  <c r="B2134" i="1" s="1"/>
  <c r="B2135" i="1" a="1"/>
  <c r="B2135" i="1" s="1"/>
  <c r="B2136" i="1" a="1"/>
  <c r="B2136" i="1" s="1"/>
  <c r="B2137" i="1" a="1"/>
  <c r="B2137" i="1" s="1"/>
  <c r="B2138" i="1" a="1"/>
  <c r="B2138" i="1" s="1"/>
  <c r="B2139" i="1" a="1"/>
  <c r="B2139" i="1" s="1"/>
  <c r="B2140" i="1" a="1"/>
  <c r="B2140" i="1" s="1"/>
  <c r="B2141" i="1" a="1"/>
  <c r="B2141" i="1" s="1"/>
  <c r="B2142" i="1" a="1"/>
  <c r="B2142" i="1" s="1"/>
  <c r="B2143" i="1" a="1"/>
  <c r="B2143" i="1" s="1"/>
  <c r="B2144" i="1" a="1"/>
  <c r="B2144" i="1" s="1"/>
  <c r="B2145" i="1" a="1"/>
  <c r="B2145" i="1" s="1"/>
  <c r="B2146" i="1" a="1"/>
  <c r="B2146" i="1" s="1"/>
  <c r="B2147" i="1" a="1"/>
  <c r="B2147" i="1" s="1"/>
  <c r="B2148" i="1" a="1"/>
  <c r="B2148" i="1" s="1"/>
  <c r="B2149" i="1" a="1"/>
  <c r="B2149" i="1" s="1"/>
  <c r="B2150" i="1" a="1"/>
  <c r="B2150" i="1" s="1"/>
  <c r="B2151" i="1" a="1"/>
  <c r="B2151" i="1" s="1"/>
  <c r="B2152" i="1" a="1"/>
  <c r="B2152" i="1" s="1"/>
  <c r="B2153" i="1" a="1"/>
  <c r="B2153" i="1" s="1"/>
  <c r="B2154" i="1" a="1"/>
  <c r="B2154" i="1" s="1"/>
  <c r="B2155" i="1" a="1"/>
  <c r="B2155" i="1" s="1"/>
  <c r="B2156" i="1" a="1"/>
  <c r="B2156" i="1" s="1"/>
  <c r="B2157" i="1" a="1"/>
  <c r="B2157" i="1" s="1"/>
  <c r="B2158" i="1" a="1"/>
  <c r="B2158" i="1" s="1"/>
  <c r="B2159" i="1" a="1"/>
  <c r="B2159" i="1" s="1"/>
  <c r="B2160" i="1" a="1"/>
  <c r="B2160" i="1" s="1"/>
  <c r="B1080" i="1" a="1"/>
  <c r="B1080" i="1" s="1"/>
  <c r="B3" i="1" a="1"/>
  <c r="B3" i="1" s="1"/>
  <c r="B4" i="1" a="1"/>
  <c r="B4" i="1" s="1"/>
  <c r="B5" i="1" a="1"/>
  <c r="B5" i="1" s="1"/>
  <c r="B6" i="1" a="1"/>
  <c r="B6" i="1" s="1"/>
  <c r="B7" i="1" a="1"/>
  <c r="B7" i="1" s="1"/>
  <c r="B8" i="1" a="1"/>
  <c r="B8" i="1" s="1"/>
  <c r="B9" i="1" a="1"/>
  <c r="B9" i="1" s="1"/>
  <c r="B10" i="1" a="1"/>
  <c r="B10" i="1" s="1"/>
  <c r="B11" i="1" a="1"/>
  <c r="B11" i="1" s="1"/>
  <c r="B12" i="1" a="1"/>
  <c r="B12" i="1" s="1"/>
  <c r="B13" i="1" a="1"/>
  <c r="B13" i="1" s="1"/>
  <c r="B14" i="1" a="1"/>
  <c r="B14" i="1" s="1"/>
  <c r="B15" i="1" a="1"/>
  <c r="B15" i="1" s="1"/>
  <c r="B16" i="1" a="1"/>
  <c r="B16" i="1" s="1"/>
  <c r="B17" i="1" a="1"/>
  <c r="B17" i="1" s="1"/>
  <c r="B18" i="1" a="1"/>
  <c r="B18" i="1" s="1"/>
  <c r="B19" i="1" a="1"/>
  <c r="B19" i="1" s="1"/>
  <c r="B20" i="1" a="1"/>
  <c r="B20" i="1" s="1"/>
  <c r="B21" i="1" a="1"/>
  <c r="B21" i="1" s="1"/>
  <c r="B22" i="1" a="1"/>
  <c r="B22" i="1" s="1"/>
  <c r="B23" i="1" a="1"/>
  <c r="B23" i="1" s="1"/>
  <c r="B24" i="1" a="1"/>
  <c r="B24" i="1" s="1"/>
  <c r="B25" i="1" a="1"/>
  <c r="B25" i="1" s="1"/>
  <c r="B26" i="1" a="1"/>
  <c r="B26" i="1" s="1"/>
  <c r="B27" i="1" a="1"/>
  <c r="B27" i="1" s="1"/>
  <c r="B28" i="1" a="1"/>
  <c r="B28" i="1" s="1"/>
  <c r="B29" i="1" a="1"/>
  <c r="B29" i="1" s="1"/>
  <c r="B30" i="1" a="1"/>
  <c r="B30" i="1" s="1"/>
  <c r="B31" i="1" a="1"/>
  <c r="B31" i="1" s="1"/>
  <c r="B32" i="1" a="1"/>
  <c r="B32" i="1" s="1"/>
  <c r="B33" i="1" a="1"/>
  <c r="B33" i="1" s="1"/>
  <c r="B34" i="1" a="1"/>
  <c r="B34" i="1" s="1"/>
  <c r="B35" i="1" a="1"/>
  <c r="B35" i="1" s="1"/>
  <c r="B36" i="1" a="1"/>
  <c r="B36" i="1" s="1"/>
  <c r="B37" i="1" a="1"/>
  <c r="B37" i="1" s="1"/>
  <c r="B38" i="1" a="1"/>
  <c r="B38" i="1" s="1"/>
  <c r="B39" i="1" a="1"/>
  <c r="B39" i="1" s="1"/>
  <c r="B40" i="1" a="1"/>
  <c r="B40" i="1" s="1"/>
  <c r="B41" i="1" a="1"/>
  <c r="B41" i="1" s="1"/>
  <c r="B42" i="1" a="1"/>
  <c r="B42" i="1" s="1"/>
  <c r="B43" i="1" a="1"/>
  <c r="B43" i="1" s="1"/>
  <c r="B44" i="1" a="1"/>
  <c r="B44" i="1" s="1"/>
  <c r="B45" i="1" a="1"/>
  <c r="B45" i="1" s="1"/>
  <c r="B46" i="1" a="1"/>
  <c r="B46" i="1" s="1"/>
  <c r="B47" i="1" a="1"/>
  <c r="B47" i="1" s="1"/>
  <c r="B48" i="1" a="1"/>
  <c r="B48" i="1" s="1"/>
  <c r="B49" i="1" a="1"/>
  <c r="B49" i="1" s="1"/>
  <c r="B50" i="1" a="1"/>
  <c r="B50" i="1" s="1"/>
  <c r="B51" i="1" a="1"/>
  <c r="B51" i="1" s="1"/>
  <c r="B52" i="1" a="1"/>
  <c r="B52" i="1" s="1"/>
  <c r="B53" i="1" a="1"/>
  <c r="B53" i="1" s="1"/>
  <c r="B54" i="1" a="1"/>
  <c r="B54" i="1" s="1"/>
  <c r="B55" i="1" a="1"/>
  <c r="B55" i="1" s="1"/>
  <c r="B56" i="1" a="1"/>
  <c r="B56" i="1" s="1"/>
  <c r="B57" i="1" a="1"/>
  <c r="B57" i="1" s="1"/>
  <c r="B58" i="1" a="1"/>
  <c r="B58" i="1" s="1"/>
  <c r="B59" i="1" a="1"/>
  <c r="B59" i="1" s="1"/>
  <c r="B60" i="1" a="1"/>
  <c r="B60" i="1" s="1"/>
  <c r="B61" i="1" a="1"/>
  <c r="B61" i="1" s="1"/>
  <c r="B62" i="1" a="1"/>
  <c r="B62" i="1" s="1"/>
  <c r="B63" i="1" a="1"/>
  <c r="B63" i="1" s="1"/>
  <c r="B64" i="1" a="1"/>
  <c r="B64" i="1" s="1"/>
  <c r="B65" i="1" a="1"/>
  <c r="B65" i="1" s="1"/>
  <c r="B66" i="1" a="1"/>
  <c r="B66" i="1" s="1"/>
  <c r="B67" i="1" a="1"/>
  <c r="B67" i="1" s="1"/>
  <c r="B68" i="1" a="1"/>
  <c r="B68" i="1" s="1"/>
  <c r="B69" i="1" a="1"/>
  <c r="B69" i="1" s="1"/>
  <c r="B70" i="1" a="1"/>
  <c r="B70" i="1" s="1"/>
  <c r="B71" i="1" a="1"/>
  <c r="B71" i="1" s="1"/>
  <c r="B72" i="1" a="1"/>
  <c r="B72" i="1" s="1"/>
  <c r="B73" i="1" a="1"/>
  <c r="B73" i="1" s="1"/>
  <c r="B74" i="1" a="1"/>
  <c r="B74" i="1" s="1"/>
  <c r="B75" i="1" a="1"/>
  <c r="B75" i="1" s="1"/>
  <c r="B76" i="1" a="1"/>
  <c r="B76" i="1" s="1"/>
  <c r="B77" i="1" a="1"/>
  <c r="B77" i="1" s="1"/>
  <c r="B78" i="1" a="1"/>
  <c r="B78" i="1" s="1"/>
  <c r="B79" i="1" a="1"/>
  <c r="B79" i="1" s="1"/>
  <c r="B80" i="1" a="1"/>
  <c r="B80" i="1" s="1"/>
  <c r="B81" i="1" a="1"/>
  <c r="B81" i="1" s="1"/>
  <c r="B82" i="1" a="1"/>
  <c r="B82" i="1" s="1"/>
  <c r="B83" i="1" a="1"/>
  <c r="B83" i="1" s="1"/>
  <c r="B84" i="1" a="1"/>
  <c r="B84" i="1" s="1"/>
  <c r="B85" i="1" a="1"/>
  <c r="B85" i="1" s="1"/>
  <c r="B86" i="1" a="1"/>
  <c r="B86" i="1" s="1"/>
  <c r="B87" i="1" a="1"/>
  <c r="B87" i="1" s="1"/>
  <c r="B88" i="1" a="1"/>
  <c r="B88" i="1" s="1"/>
  <c r="B89" i="1" a="1"/>
  <c r="B89" i="1" s="1"/>
  <c r="B90" i="1" a="1"/>
  <c r="B90" i="1" s="1"/>
  <c r="B91" i="1" a="1"/>
  <c r="B91" i="1" s="1"/>
  <c r="B92" i="1" a="1"/>
  <c r="B92" i="1" s="1"/>
  <c r="B93" i="1" a="1"/>
  <c r="B93" i="1" s="1"/>
  <c r="B94" i="1" a="1"/>
  <c r="B94" i="1" s="1"/>
  <c r="B95" i="1" a="1"/>
  <c r="B95" i="1" s="1"/>
  <c r="B96" i="1" a="1"/>
  <c r="B96" i="1" s="1"/>
  <c r="B97" i="1" a="1"/>
  <c r="B97" i="1" s="1"/>
  <c r="B98" i="1" a="1"/>
  <c r="B98" i="1" s="1"/>
  <c r="B99" i="1" a="1"/>
  <c r="B99" i="1" s="1"/>
  <c r="B100" i="1" a="1"/>
  <c r="B100" i="1" s="1"/>
  <c r="B101" i="1" a="1"/>
  <c r="B101" i="1" s="1"/>
  <c r="B102" i="1" a="1"/>
  <c r="B102" i="1" s="1"/>
  <c r="B103" i="1" a="1"/>
  <c r="B103" i="1" s="1"/>
  <c r="B104" i="1" a="1"/>
  <c r="B104" i="1" s="1"/>
  <c r="B105" i="1" a="1"/>
  <c r="B105" i="1" s="1"/>
  <c r="B106" i="1" a="1"/>
  <c r="B106" i="1" s="1"/>
  <c r="B107" i="1" a="1"/>
  <c r="B107" i="1" s="1"/>
  <c r="B108" i="1" a="1"/>
  <c r="B108" i="1" s="1"/>
  <c r="B109" i="1" a="1"/>
  <c r="B109" i="1" s="1"/>
  <c r="B110" i="1" a="1"/>
  <c r="B110" i="1" s="1"/>
  <c r="B111" i="1" a="1"/>
  <c r="B111" i="1" s="1"/>
  <c r="B112" i="1" a="1"/>
  <c r="B112" i="1" s="1"/>
  <c r="B113" i="1" a="1"/>
  <c r="B113" i="1" s="1"/>
  <c r="B114" i="1" a="1"/>
  <c r="B114" i="1" s="1"/>
  <c r="B115" i="1" a="1"/>
  <c r="B115" i="1" s="1"/>
  <c r="B116" i="1" a="1"/>
  <c r="B116" i="1" s="1"/>
  <c r="B117" i="1" a="1"/>
  <c r="B117" i="1" s="1"/>
  <c r="B118" i="1" a="1"/>
  <c r="B118" i="1" s="1"/>
  <c r="B119" i="1" a="1"/>
  <c r="B119" i="1" s="1"/>
  <c r="B120" i="1" a="1"/>
  <c r="B120" i="1" s="1"/>
  <c r="B121" i="1" a="1"/>
  <c r="B121" i="1" s="1"/>
  <c r="B122" i="1" a="1"/>
  <c r="B122" i="1" s="1"/>
  <c r="B123" i="1" a="1"/>
  <c r="B123" i="1" s="1"/>
  <c r="B124" i="1" a="1"/>
  <c r="B124" i="1" s="1"/>
  <c r="B125" i="1" a="1"/>
  <c r="B125" i="1" s="1"/>
  <c r="B126" i="1" a="1"/>
  <c r="B126" i="1" s="1"/>
  <c r="B127" i="1" a="1"/>
  <c r="B127" i="1" s="1"/>
  <c r="B128" i="1" a="1"/>
  <c r="B128" i="1" s="1"/>
  <c r="B129" i="1" a="1"/>
  <c r="B129" i="1" s="1"/>
  <c r="B130" i="1" a="1"/>
  <c r="B130" i="1" s="1"/>
  <c r="B131" i="1" a="1"/>
  <c r="B131" i="1" s="1"/>
  <c r="B132" i="1" a="1"/>
  <c r="B132" i="1" s="1"/>
  <c r="B133" i="1" a="1"/>
  <c r="B133" i="1" s="1"/>
  <c r="B134" i="1" a="1"/>
  <c r="B134" i="1" s="1"/>
  <c r="B135" i="1" a="1"/>
  <c r="B135" i="1" s="1"/>
  <c r="B136" i="1" a="1"/>
  <c r="B136" i="1" s="1"/>
  <c r="B137" i="1" a="1"/>
  <c r="B137" i="1" s="1"/>
  <c r="B138" i="1" a="1"/>
  <c r="B138" i="1" s="1"/>
  <c r="B139" i="1" a="1"/>
  <c r="B139" i="1" s="1"/>
  <c r="B140" i="1" a="1"/>
  <c r="B140" i="1" s="1"/>
  <c r="B141" i="1" a="1"/>
  <c r="B141" i="1" s="1"/>
  <c r="B142" i="1" a="1"/>
  <c r="B142" i="1" s="1"/>
  <c r="B143" i="1" a="1"/>
  <c r="B143" i="1" s="1"/>
  <c r="B144" i="1" a="1"/>
  <c r="B144" i="1" s="1"/>
  <c r="B145" i="1" a="1"/>
  <c r="B145" i="1" s="1"/>
  <c r="B146" i="1" a="1"/>
  <c r="B146" i="1" s="1"/>
  <c r="B147" i="1" a="1"/>
  <c r="B147" i="1" s="1"/>
  <c r="B148" i="1" a="1"/>
  <c r="B148" i="1" s="1"/>
  <c r="B149" i="1" a="1"/>
  <c r="B149" i="1" s="1"/>
  <c r="B150" i="1" a="1"/>
  <c r="B150" i="1" s="1"/>
  <c r="B151" i="1" a="1"/>
  <c r="B151" i="1" s="1"/>
  <c r="B152" i="1" a="1"/>
  <c r="B152" i="1" s="1"/>
  <c r="B153" i="1" a="1"/>
  <c r="B153" i="1" s="1"/>
  <c r="B154" i="1" a="1"/>
  <c r="B154" i="1" s="1"/>
  <c r="B155" i="1" a="1"/>
  <c r="B155" i="1" s="1"/>
  <c r="B156" i="1" a="1"/>
  <c r="B156" i="1" s="1"/>
  <c r="B157" i="1" a="1"/>
  <c r="B157" i="1" s="1"/>
  <c r="B158" i="1" a="1"/>
  <c r="B158" i="1" s="1"/>
  <c r="B159" i="1" a="1"/>
  <c r="B159" i="1" s="1"/>
  <c r="B160" i="1" a="1"/>
  <c r="B160" i="1" s="1"/>
  <c r="B161" i="1" a="1"/>
  <c r="B161" i="1" s="1"/>
  <c r="B162" i="1" a="1"/>
  <c r="B162" i="1" s="1"/>
  <c r="B163" i="1" a="1"/>
  <c r="B163" i="1" s="1"/>
  <c r="B164" i="1" a="1"/>
  <c r="B164" i="1" s="1"/>
  <c r="B165" i="1" a="1"/>
  <c r="B165" i="1" s="1"/>
  <c r="B166" i="1" a="1"/>
  <c r="B166" i="1" s="1"/>
  <c r="B167" i="1" a="1"/>
  <c r="B167" i="1" s="1"/>
  <c r="B168" i="1" a="1"/>
  <c r="B168" i="1" s="1"/>
  <c r="B169" i="1" a="1"/>
  <c r="B169" i="1" s="1"/>
  <c r="B170" i="1" a="1"/>
  <c r="B170" i="1" s="1"/>
  <c r="B171" i="1" a="1"/>
  <c r="B171" i="1" s="1"/>
  <c r="B172" i="1" a="1"/>
  <c r="B172" i="1" s="1"/>
  <c r="B173" i="1" a="1"/>
  <c r="B173" i="1" s="1"/>
  <c r="B174" i="1" a="1"/>
  <c r="B174" i="1" s="1"/>
  <c r="B175" i="1" a="1"/>
  <c r="B175" i="1" s="1"/>
  <c r="B176" i="1" a="1"/>
  <c r="B176" i="1" s="1"/>
  <c r="B177" i="1" a="1"/>
  <c r="B177" i="1" s="1"/>
  <c r="B178" i="1" a="1"/>
  <c r="B178" i="1" s="1"/>
  <c r="B179" i="1" a="1"/>
  <c r="B179" i="1" s="1"/>
  <c r="B180" i="1" a="1"/>
  <c r="B180" i="1" s="1"/>
  <c r="B181" i="1" a="1"/>
  <c r="B181" i="1" s="1"/>
  <c r="B182" i="1" a="1"/>
  <c r="B182" i="1" s="1"/>
  <c r="B183" i="1" a="1"/>
  <c r="B183" i="1" s="1"/>
  <c r="B184" i="1" a="1"/>
  <c r="B184" i="1" s="1"/>
  <c r="B185" i="1" a="1"/>
  <c r="B185" i="1" s="1"/>
  <c r="B186" i="1" a="1"/>
  <c r="B186" i="1" s="1"/>
  <c r="B187" i="1" a="1"/>
  <c r="B187" i="1" s="1"/>
  <c r="B188" i="1" a="1"/>
  <c r="B188" i="1" s="1"/>
  <c r="B189" i="1" a="1"/>
  <c r="B189" i="1" s="1"/>
  <c r="B190" i="1" a="1"/>
  <c r="B190" i="1" s="1"/>
  <c r="B191" i="1" a="1"/>
  <c r="B191" i="1" s="1"/>
  <c r="B192" i="1" a="1"/>
  <c r="B192" i="1" s="1"/>
  <c r="B193" i="1" a="1"/>
  <c r="B193" i="1" s="1"/>
  <c r="B194" i="1" a="1"/>
  <c r="B194" i="1" s="1"/>
  <c r="B195" i="1" a="1"/>
  <c r="B195" i="1" s="1"/>
  <c r="B196" i="1" a="1"/>
  <c r="B196" i="1" s="1"/>
  <c r="B197" i="1" a="1"/>
  <c r="B197" i="1" s="1"/>
  <c r="B198" i="1" a="1"/>
  <c r="B198" i="1" s="1"/>
  <c r="B199" i="1" a="1"/>
  <c r="B199" i="1" s="1"/>
  <c r="B200" i="1" a="1"/>
  <c r="B200" i="1" s="1"/>
  <c r="B201" i="1" a="1"/>
  <c r="B201" i="1" s="1"/>
  <c r="B202" i="1" a="1"/>
  <c r="B202" i="1" s="1"/>
  <c r="B203" i="1" a="1"/>
  <c r="B203" i="1" s="1"/>
  <c r="B204" i="1" a="1"/>
  <c r="B204" i="1" s="1"/>
  <c r="B205" i="1" a="1"/>
  <c r="B205" i="1" s="1"/>
  <c r="B206" i="1" a="1"/>
  <c r="B206" i="1" s="1"/>
  <c r="B207" i="1" a="1"/>
  <c r="B207" i="1" s="1"/>
  <c r="B208" i="1" a="1"/>
  <c r="B208" i="1" s="1"/>
  <c r="B209" i="1" a="1"/>
  <c r="B209" i="1" s="1"/>
  <c r="B210" i="1" a="1"/>
  <c r="B210" i="1" s="1"/>
  <c r="B211" i="1" a="1"/>
  <c r="B211" i="1" s="1"/>
  <c r="B212" i="1" a="1"/>
  <c r="B212" i="1" s="1"/>
  <c r="B213" i="1" a="1"/>
  <c r="B213" i="1" s="1"/>
  <c r="B214" i="1" a="1"/>
  <c r="B214" i="1" s="1"/>
  <c r="B215" i="1" a="1"/>
  <c r="B215" i="1" s="1"/>
  <c r="B216" i="1" a="1"/>
  <c r="B216" i="1" s="1"/>
  <c r="B217" i="1" a="1"/>
  <c r="B217" i="1" s="1"/>
  <c r="B218" i="1" a="1"/>
  <c r="B218" i="1" s="1"/>
  <c r="B219" i="1" a="1"/>
  <c r="B219" i="1" s="1"/>
  <c r="B220" i="1" a="1"/>
  <c r="B220" i="1" s="1"/>
  <c r="B221" i="1" a="1"/>
  <c r="B221" i="1" s="1"/>
  <c r="B222" i="1" a="1"/>
  <c r="B222" i="1" s="1"/>
  <c r="B223" i="1" a="1"/>
  <c r="B223" i="1" s="1"/>
  <c r="B224" i="1" a="1"/>
  <c r="B224" i="1" s="1"/>
  <c r="B225" i="1" a="1"/>
  <c r="B225" i="1" s="1"/>
  <c r="B226" i="1" a="1"/>
  <c r="B226" i="1" s="1"/>
  <c r="B227" i="1" a="1"/>
  <c r="B227" i="1" s="1"/>
  <c r="B228" i="1" a="1"/>
  <c r="B228" i="1" s="1"/>
  <c r="B229" i="1" a="1"/>
  <c r="B229" i="1" s="1"/>
  <c r="B230" i="1" a="1"/>
  <c r="B230" i="1" s="1"/>
  <c r="B231" i="1" a="1"/>
  <c r="B231" i="1" s="1"/>
  <c r="B232" i="1" a="1"/>
  <c r="B232" i="1" s="1"/>
  <c r="B233" i="1" a="1"/>
  <c r="B233" i="1" s="1"/>
  <c r="B234" i="1" a="1"/>
  <c r="B234" i="1" s="1"/>
  <c r="B235" i="1" a="1"/>
  <c r="B235" i="1" s="1"/>
  <c r="B236" i="1" a="1"/>
  <c r="B236" i="1" s="1"/>
  <c r="B237" i="1" a="1"/>
  <c r="B237" i="1" s="1"/>
  <c r="B238" i="1" a="1"/>
  <c r="B238" i="1" s="1"/>
  <c r="B239" i="1" a="1"/>
  <c r="B239" i="1" s="1"/>
  <c r="B240" i="1" a="1"/>
  <c r="B240" i="1" s="1"/>
  <c r="B241" i="1" a="1"/>
  <c r="B241" i="1" s="1"/>
  <c r="B242" i="1" a="1"/>
  <c r="B242" i="1" s="1"/>
  <c r="B243" i="1" a="1"/>
  <c r="B243" i="1" s="1"/>
  <c r="B244" i="1" a="1"/>
  <c r="B244" i="1" s="1"/>
  <c r="B245" i="1" a="1"/>
  <c r="B245" i="1" s="1"/>
  <c r="B246" i="1" a="1"/>
  <c r="B246" i="1" s="1"/>
  <c r="B247" i="1" a="1"/>
  <c r="B247" i="1"/>
  <c r="B248" i="1" a="1"/>
  <c r="B248" i="1" s="1"/>
  <c r="B249" i="1" a="1"/>
  <c r="B249" i="1" s="1"/>
  <c r="B250" i="1" a="1"/>
  <c r="B250" i="1" s="1"/>
  <c r="B251" i="1" a="1"/>
  <c r="B251" i="1" s="1"/>
  <c r="B252" i="1" a="1"/>
  <c r="B252" i="1" s="1"/>
  <c r="B253" i="1" a="1"/>
  <c r="B253" i="1" s="1"/>
  <c r="B254" i="1" a="1"/>
  <c r="B254" i="1" s="1"/>
  <c r="B255" i="1" a="1"/>
  <c r="B255" i="1" s="1"/>
  <c r="B256" i="1" a="1"/>
  <c r="B256" i="1" s="1"/>
  <c r="B257" i="1" a="1"/>
  <c r="B257" i="1" s="1"/>
  <c r="B258" i="1" a="1"/>
  <c r="B258" i="1" s="1"/>
  <c r="B259" i="1" a="1"/>
  <c r="B259" i="1" s="1"/>
  <c r="B260" i="1" a="1"/>
  <c r="B260" i="1" s="1"/>
  <c r="B261" i="1" a="1"/>
  <c r="B261" i="1" s="1"/>
  <c r="B262" i="1" a="1"/>
  <c r="B262" i="1" s="1"/>
  <c r="B263" i="1" a="1"/>
  <c r="B263" i="1" s="1"/>
  <c r="B264" i="1" a="1"/>
  <c r="B264" i="1" s="1"/>
  <c r="B265" i="1" a="1"/>
  <c r="B265" i="1" s="1"/>
  <c r="B266" i="1" a="1"/>
  <c r="B266" i="1" s="1"/>
  <c r="B267" i="1" a="1"/>
  <c r="B267" i="1" s="1"/>
  <c r="B268" i="1" a="1"/>
  <c r="B268" i="1" s="1"/>
  <c r="B269" i="1" a="1"/>
  <c r="B269" i="1" s="1"/>
  <c r="B270" i="1" a="1"/>
  <c r="B270" i="1" s="1"/>
  <c r="B271" i="1" a="1"/>
  <c r="B271" i="1" s="1"/>
  <c r="B272" i="1" a="1"/>
  <c r="B272" i="1" s="1"/>
  <c r="B273" i="1" a="1"/>
  <c r="B273" i="1" s="1"/>
  <c r="B274" i="1" a="1"/>
  <c r="B274" i="1" s="1"/>
  <c r="B275" i="1" a="1"/>
  <c r="B275" i="1" s="1"/>
  <c r="B276" i="1" a="1"/>
  <c r="B276" i="1" s="1"/>
  <c r="B277" i="1" a="1"/>
  <c r="B277" i="1" s="1"/>
  <c r="B278" i="1" a="1"/>
  <c r="B278" i="1" s="1"/>
  <c r="B279" i="1" a="1"/>
  <c r="B279" i="1" s="1"/>
  <c r="B280" i="1" a="1"/>
  <c r="B280" i="1" s="1"/>
  <c r="B281" i="1" a="1"/>
  <c r="B281" i="1" s="1"/>
  <c r="B282" i="1" a="1"/>
  <c r="B282" i="1" s="1"/>
  <c r="B283" i="1" a="1"/>
  <c r="B283" i="1" s="1"/>
  <c r="B284" i="1" a="1"/>
  <c r="B284" i="1" s="1"/>
  <c r="B285" i="1" a="1"/>
  <c r="B285" i="1" s="1"/>
  <c r="B286" i="1" a="1"/>
  <c r="B286" i="1" s="1"/>
  <c r="B287" i="1" a="1"/>
  <c r="B287" i="1" s="1"/>
  <c r="B288" i="1" a="1"/>
  <c r="B288" i="1" s="1"/>
  <c r="B289" i="1" a="1"/>
  <c r="B289" i="1" s="1"/>
  <c r="B290" i="1" a="1"/>
  <c r="B290" i="1" s="1"/>
  <c r="B291" i="1" a="1"/>
  <c r="B291" i="1" s="1"/>
  <c r="B292" i="1" a="1"/>
  <c r="B292" i="1" s="1"/>
  <c r="B293" i="1" a="1"/>
  <c r="B293" i="1" s="1"/>
  <c r="B294" i="1" a="1"/>
  <c r="B294" i="1" s="1"/>
  <c r="B295" i="1" a="1"/>
  <c r="B295" i="1" s="1"/>
  <c r="B296" i="1" a="1"/>
  <c r="B296" i="1" s="1"/>
  <c r="B297" i="1" a="1"/>
  <c r="B297" i="1" s="1"/>
  <c r="B298" i="1" a="1"/>
  <c r="B298" i="1" s="1"/>
  <c r="B299" i="1" a="1"/>
  <c r="B299" i="1" s="1"/>
  <c r="B300" i="1" a="1"/>
  <c r="B300" i="1" s="1"/>
  <c r="B301" i="1" a="1"/>
  <c r="B301" i="1" s="1"/>
  <c r="B302" i="1" a="1"/>
  <c r="B302" i="1" s="1"/>
  <c r="B303" i="1" a="1"/>
  <c r="B303" i="1" s="1"/>
  <c r="B304" i="1" a="1"/>
  <c r="B304" i="1" s="1"/>
  <c r="B305" i="1" a="1"/>
  <c r="B305" i="1" s="1"/>
  <c r="B306" i="1" a="1"/>
  <c r="B306" i="1" s="1"/>
  <c r="B307" i="1" a="1"/>
  <c r="B307" i="1" s="1"/>
  <c r="B308" i="1" a="1"/>
  <c r="B308" i="1" s="1"/>
  <c r="B309" i="1" a="1"/>
  <c r="B309" i="1" s="1"/>
  <c r="B310" i="1" a="1"/>
  <c r="B310" i="1" s="1"/>
  <c r="B311" i="1" a="1"/>
  <c r="B311" i="1" s="1"/>
  <c r="B312" i="1" a="1"/>
  <c r="B312" i="1" s="1"/>
  <c r="B313" i="1" a="1"/>
  <c r="B313" i="1" s="1"/>
  <c r="B314" i="1" a="1"/>
  <c r="B314" i="1" s="1"/>
  <c r="B315" i="1" a="1"/>
  <c r="B315" i="1" s="1"/>
  <c r="B316" i="1" a="1"/>
  <c r="B316" i="1" s="1"/>
  <c r="B317" i="1" a="1"/>
  <c r="B317" i="1" s="1"/>
  <c r="B318" i="1" a="1"/>
  <c r="B318" i="1" s="1"/>
  <c r="B319" i="1" a="1"/>
  <c r="B319" i="1" s="1"/>
  <c r="B320" i="1" a="1"/>
  <c r="B320" i="1" s="1"/>
  <c r="B321" i="1" a="1"/>
  <c r="B321" i="1" s="1"/>
  <c r="B322" i="1" a="1"/>
  <c r="B322" i="1" s="1"/>
  <c r="B323" i="1" a="1"/>
  <c r="B323" i="1" s="1"/>
  <c r="B324" i="1" a="1"/>
  <c r="B324" i="1" s="1"/>
  <c r="B325" i="1" a="1"/>
  <c r="B325" i="1" s="1"/>
  <c r="B326" i="1" a="1"/>
  <c r="B326" i="1" s="1"/>
  <c r="B327" i="1" a="1"/>
  <c r="B327" i="1" s="1"/>
  <c r="B328" i="1" a="1"/>
  <c r="B328" i="1" s="1"/>
  <c r="B329" i="1" a="1"/>
  <c r="B329" i="1" s="1"/>
  <c r="B330" i="1" a="1"/>
  <c r="B330" i="1" s="1"/>
  <c r="B331" i="1" a="1"/>
  <c r="B331" i="1" s="1"/>
  <c r="B332" i="1" a="1"/>
  <c r="B332" i="1" s="1"/>
  <c r="B333" i="1" a="1"/>
  <c r="B333" i="1" s="1"/>
  <c r="B334" i="1" a="1"/>
  <c r="B334" i="1" s="1"/>
  <c r="B335" i="1" a="1"/>
  <c r="B335" i="1" s="1"/>
  <c r="B336" i="1" a="1"/>
  <c r="B336" i="1" s="1"/>
  <c r="B337" i="1" a="1"/>
  <c r="B337" i="1" s="1"/>
  <c r="B338" i="1" a="1"/>
  <c r="B338" i="1" s="1"/>
  <c r="B339" i="1" a="1"/>
  <c r="B339" i="1" s="1"/>
  <c r="B340" i="1" a="1"/>
  <c r="B340" i="1" s="1"/>
  <c r="B341" i="1" a="1"/>
  <c r="B341" i="1" s="1"/>
  <c r="B342" i="1" a="1"/>
  <c r="B342" i="1" s="1"/>
  <c r="B343" i="1" a="1"/>
  <c r="B343" i="1" s="1"/>
  <c r="B344" i="1" a="1"/>
  <c r="B344" i="1" s="1"/>
  <c r="B345" i="1" a="1"/>
  <c r="B345" i="1" s="1"/>
  <c r="B346" i="1" a="1"/>
  <c r="B346" i="1" s="1"/>
  <c r="B347" i="1" a="1"/>
  <c r="B347" i="1" s="1"/>
  <c r="B348" i="1" a="1"/>
  <c r="B348" i="1" s="1"/>
  <c r="B349" i="1" a="1"/>
  <c r="B349" i="1" s="1"/>
  <c r="B350" i="1" a="1"/>
  <c r="B350" i="1" s="1"/>
  <c r="B351" i="1" a="1"/>
  <c r="B351" i="1" s="1"/>
  <c r="B352" i="1" a="1"/>
  <c r="B352" i="1" s="1"/>
  <c r="B353" i="1" a="1"/>
  <c r="B353" i="1" s="1"/>
  <c r="B354" i="1" a="1"/>
  <c r="B354" i="1" s="1"/>
  <c r="B355" i="1" a="1"/>
  <c r="B355" i="1" s="1"/>
  <c r="B356" i="1" a="1"/>
  <c r="B356" i="1" s="1"/>
  <c r="B357" i="1" a="1"/>
  <c r="B357" i="1" s="1"/>
  <c r="B358" i="1" a="1"/>
  <c r="B358" i="1" s="1"/>
  <c r="B359" i="1" a="1"/>
  <c r="B359" i="1" s="1"/>
  <c r="B360" i="1" a="1"/>
  <c r="B360" i="1" s="1"/>
  <c r="B361" i="1" a="1"/>
  <c r="B361" i="1" s="1"/>
  <c r="B362" i="1" a="1"/>
  <c r="B362" i="1" s="1"/>
  <c r="B363" i="1" a="1"/>
  <c r="B363" i="1" s="1"/>
  <c r="B364" i="1" a="1"/>
  <c r="B364" i="1" s="1"/>
  <c r="B365" i="1" a="1"/>
  <c r="B365" i="1" s="1"/>
  <c r="B366" i="1" a="1"/>
  <c r="B366" i="1" s="1"/>
  <c r="B367" i="1" a="1"/>
  <c r="B367" i="1" s="1"/>
  <c r="B368" i="1" a="1"/>
  <c r="B368" i="1" s="1"/>
  <c r="B369" i="1" a="1"/>
  <c r="B369" i="1" s="1"/>
  <c r="B370" i="1" a="1"/>
  <c r="B370" i="1" s="1"/>
  <c r="B371" i="1" a="1"/>
  <c r="B371" i="1" s="1"/>
  <c r="B372" i="1" a="1"/>
  <c r="B372" i="1" s="1"/>
  <c r="B373" i="1" a="1"/>
  <c r="B373" i="1" s="1"/>
  <c r="B374" i="1" a="1"/>
  <c r="B374" i="1" s="1"/>
  <c r="B375" i="1" a="1"/>
  <c r="B375" i="1" s="1"/>
  <c r="B376" i="1" a="1"/>
  <c r="B376" i="1" s="1"/>
  <c r="B377" i="1" a="1"/>
  <c r="B377" i="1" s="1"/>
  <c r="B378" i="1" a="1"/>
  <c r="B378" i="1" s="1"/>
  <c r="B379" i="1" a="1"/>
  <c r="B379" i="1" s="1"/>
  <c r="B380" i="1" a="1"/>
  <c r="B380" i="1" s="1"/>
  <c r="B381" i="1" a="1"/>
  <c r="B381" i="1" s="1"/>
  <c r="B382" i="1" a="1"/>
  <c r="B382" i="1" s="1"/>
  <c r="B383" i="1" a="1"/>
  <c r="B383" i="1" s="1"/>
  <c r="B384" i="1" a="1"/>
  <c r="B384" i="1" s="1"/>
  <c r="B385" i="1" a="1"/>
  <c r="B385" i="1" s="1"/>
  <c r="B386" i="1" a="1"/>
  <c r="B386" i="1" s="1"/>
  <c r="B387" i="1" a="1"/>
  <c r="B387" i="1" s="1"/>
  <c r="B388" i="1" a="1"/>
  <c r="B388" i="1" s="1"/>
  <c r="B389" i="1" a="1"/>
  <c r="B389" i="1" s="1"/>
  <c r="B390" i="1" a="1"/>
  <c r="B390" i="1" s="1"/>
  <c r="B391" i="1" a="1"/>
  <c r="B391" i="1"/>
  <c r="B392" i="1" a="1"/>
  <c r="B392" i="1" s="1"/>
  <c r="B393" i="1" a="1"/>
  <c r="B393" i="1" s="1"/>
  <c r="B394" i="1" a="1"/>
  <c r="B394" i="1" s="1"/>
  <c r="B395" i="1" a="1"/>
  <c r="B395" i="1" s="1"/>
  <c r="B396" i="1" a="1"/>
  <c r="B396" i="1" s="1"/>
  <c r="B397" i="1" a="1"/>
  <c r="B397" i="1" s="1"/>
  <c r="B398" i="1" a="1"/>
  <c r="B398" i="1" s="1"/>
  <c r="B399" i="1" a="1"/>
  <c r="B399" i="1" s="1"/>
  <c r="B400" i="1" a="1"/>
  <c r="B400" i="1" s="1"/>
  <c r="B401" i="1" a="1"/>
  <c r="B401" i="1" s="1"/>
  <c r="B402" i="1" a="1"/>
  <c r="B402" i="1" s="1"/>
  <c r="B403" i="1" a="1"/>
  <c r="B403" i="1" s="1"/>
  <c r="B404" i="1" a="1"/>
  <c r="B404" i="1" s="1"/>
  <c r="B405" i="1" a="1"/>
  <c r="B405" i="1" s="1"/>
  <c r="B406" i="1" a="1"/>
  <c r="B406" i="1" s="1"/>
  <c r="B407" i="1" a="1"/>
  <c r="B407" i="1" s="1"/>
  <c r="B408" i="1" a="1"/>
  <c r="B408" i="1" s="1"/>
  <c r="B409" i="1" a="1"/>
  <c r="B409" i="1" s="1"/>
  <c r="B410" i="1" a="1"/>
  <c r="B410" i="1" s="1"/>
  <c r="B411" i="1" a="1"/>
  <c r="B411" i="1" s="1"/>
  <c r="B412" i="1" a="1"/>
  <c r="B412" i="1" s="1"/>
  <c r="B413" i="1" a="1"/>
  <c r="B413" i="1" s="1"/>
  <c r="B414" i="1" a="1"/>
  <c r="B414" i="1" s="1"/>
  <c r="B415" i="1" a="1"/>
  <c r="B415" i="1" s="1"/>
  <c r="B416" i="1" a="1"/>
  <c r="B416" i="1" s="1"/>
  <c r="B417" i="1" a="1"/>
  <c r="B417" i="1" s="1"/>
  <c r="B418" i="1" a="1"/>
  <c r="B418" i="1" s="1"/>
  <c r="B419" i="1" a="1"/>
  <c r="B419" i="1" s="1"/>
  <c r="B420" i="1" a="1"/>
  <c r="B420" i="1" s="1"/>
  <c r="B421" i="1" a="1"/>
  <c r="B421" i="1" s="1"/>
  <c r="B422" i="1" a="1"/>
  <c r="B422" i="1" s="1"/>
  <c r="B423" i="1" a="1"/>
  <c r="B423" i="1" s="1"/>
  <c r="B424" i="1" a="1"/>
  <c r="B424" i="1" s="1"/>
  <c r="B425" i="1" a="1"/>
  <c r="B425" i="1" s="1"/>
  <c r="B426" i="1" a="1"/>
  <c r="B426" i="1" s="1"/>
  <c r="B427" i="1" a="1"/>
  <c r="B427" i="1" s="1"/>
  <c r="B428" i="1" a="1"/>
  <c r="B428" i="1" s="1"/>
  <c r="B429" i="1" a="1"/>
  <c r="B429" i="1" s="1"/>
  <c r="B430" i="1" a="1"/>
  <c r="B430" i="1" s="1"/>
  <c r="B431" i="1" a="1"/>
  <c r="B431" i="1" s="1"/>
  <c r="B432" i="1" a="1"/>
  <c r="B432" i="1" s="1"/>
  <c r="B433" i="1" a="1"/>
  <c r="B433" i="1" s="1"/>
  <c r="B434" i="1" a="1"/>
  <c r="B434" i="1" s="1"/>
  <c r="B435" i="1" a="1"/>
  <c r="B435" i="1" s="1"/>
  <c r="B436" i="1" a="1"/>
  <c r="B436" i="1" s="1"/>
  <c r="B437" i="1" a="1"/>
  <c r="B437" i="1" s="1"/>
  <c r="B438" i="1" a="1"/>
  <c r="B438" i="1" s="1"/>
  <c r="B439" i="1" a="1"/>
  <c r="B439" i="1" s="1"/>
  <c r="B440" i="1" a="1"/>
  <c r="B440" i="1" s="1"/>
  <c r="B441" i="1" a="1"/>
  <c r="B441" i="1" s="1"/>
  <c r="B442" i="1" a="1"/>
  <c r="B442" i="1" s="1"/>
  <c r="B443" i="1" a="1"/>
  <c r="B443" i="1" s="1"/>
  <c r="B444" i="1" a="1"/>
  <c r="B444" i="1" s="1"/>
  <c r="B445" i="1" a="1"/>
  <c r="B445" i="1" s="1"/>
  <c r="B446" i="1" a="1"/>
  <c r="B446" i="1" s="1"/>
  <c r="B447" i="1" a="1"/>
  <c r="B447" i="1" s="1"/>
  <c r="B448" i="1" a="1"/>
  <c r="B448" i="1" s="1"/>
  <c r="B449" i="1" a="1"/>
  <c r="B449" i="1" s="1"/>
  <c r="B450" i="1" a="1"/>
  <c r="B450" i="1" s="1"/>
  <c r="B451" i="1" a="1"/>
  <c r="B451" i="1" s="1"/>
  <c r="B452" i="1" a="1"/>
  <c r="B452" i="1" s="1"/>
  <c r="B453" i="1" a="1"/>
  <c r="B453" i="1" s="1"/>
  <c r="B454" i="1" a="1"/>
  <c r="B454" i="1" s="1"/>
  <c r="B455" i="1" a="1"/>
  <c r="B455" i="1" s="1"/>
  <c r="B456" i="1" a="1"/>
  <c r="B456" i="1" s="1"/>
  <c r="B457" i="1" a="1"/>
  <c r="B457" i="1" s="1"/>
  <c r="B458" i="1" a="1"/>
  <c r="B458" i="1" s="1"/>
  <c r="B459" i="1" a="1"/>
  <c r="B459" i="1" s="1"/>
  <c r="B460" i="1" a="1"/>
  <c r="B460" i="1" s="1"/>
  <c r="B461" i="1" a="1"/>
  <c r="B461" i="1" s="1"/>
  <c r="B462" i="1" a="1"/>
  <c r="B462" i="1" s="1"/>
  <c r="B463" i="1" a="1"/>
  <c r="B463" i="1" s="1"/>
  <c r="B464" i="1" a="1"/>
  <c r="B464" i="1" s="1"/>
  <c r="B465" i="1" a="1"/>
  <c r="B465" i="1" s="1"/>
  <c r="B466" i="1" a="1"/>
  <c r="B466" i="1" s="1"/>
  <c r="B467" i="1" a="1"/>
  <c r="B467" i="1" s="1"/>
  <c r="B468" i="1" a="1"/>
  <c r="B468" i="1" s="1"/>
  <c r="B469" i="1" a="1"/>
  <c r="B469" i="1" s="1"/>
  <c r="B470" i="1" a="1"/>
  <c r="B470" i="1" s="1"/>
  <c r="B471" i="1" a="1"/>
  <c r="B471" i="1" s="1"/>
  <c r="B472" i="1" a="1"/>
  <c r="B472" i="1" s="1"/>
  <c r="B473" i="1" a="1"/>
  <c r="B473" i="1" s="1"/>
  <c r="B474" i="1" a="1"/>
  <c r="B474" i="1" s="1"/>
  <c r="B475" i="1" a="1"/>
  <c r="B475" i="1" s="1"/>
  <c r="B476" i="1" a="1"/>
  <c r="B476" i="1" s="1"/>
  <c r="B477" i="1" a="1"/>
  <c r="B477" i="1" s="1"/>
  <c r="B478" i="1" a="1"/>
  <c r="B478" i="1" s="1"/>
  <c r="B479" i="1" a="1"/>
  <c r="B479" i="1" s="1"/>
  <c r="B480" i="1" a="1"/>
  <c r="B480" i="1" s="1"/>
  <c r="B481" i="1" a="1"/>
  <c r="B481" i="1" s="1"/>
  <c r="B482" i="1" a="1"/>
  <c r="B482" i="1" s="1"/>
  <c r="B483" i="1" a="1"/>
  <c r="B483" i="1" s="1"/>
  <c r="B484" i="1" a="1"/>
  <c r="B484" i="1" s="1"/>
  <c r="B485" i="1" a="1"/>
  <c r="B485" i="1" s="1"/>
  <c r="B486" i="1" a="1"/>
  <c r="B486" i="1" s="1"/>
  <c r="B487" i="1" a="1"/>
  <c r="B487" i="1" s="1"/>
  <c r="B488" i="1" a="1"/>
  <c r="B488" i="1" s="1"/>
  <c r="B489" i="1" a="1"/>
  <c r="B489" i="1" s="1"/>
  <c r="B490" i="1" a="1"/>
  <c r="B490" i="1" s="1"/>
  <c r="B491" i="1" a="1"/>
  <c r="B491" i="1" s="1"/>
  <c r="B492" i="1" a="1"/>
  <c r="B492" i="1" s="1"/>
  <c r="B493" i="1" a="1"/>
  <c r="B493" i="1" s="1"/>
  <c r="B494" i="1" a="1"/>
  <c r="B494" i="1" s="1"/>
  <c r="B495" i="1" a="1"/>
  <c r="B495" i="1" s="1"/>
  <c r="B496" i="1" a="1"/>
  <c r="B496" i="1" s="1"/>
  <c r="B497" i="1" a="1"/>
  <c r="B497" i="1" s="1"/>
  <c r="B498" i="1" a="1"/>
  <c r="B498" i="1" s="1"/>
  <c r="B499" i="1" a="1"/>
  <c r="B499" i="1" s="1"/>
  <c r="B500" i="1" a="1"/>
  <c r="B500" i="1" s="1"/>
  <c r="B501" i="1" a="1"/>
  <c r="B501" i="1" s="1"/>
  <c r="B502" i="1" a="1"/>
  <c r="B502" i="1" s="1"/>
  <c r="B503" i="1" a="1"/>
  <c r="B503" i="1" s="1"/>
  <c r="B504" i="1" a="1"/>
  <c r="B504" i="1" s="1"/>
  <c r="B505" i="1" a="1"/>
  <c r="B505" i="1" s="1"/>
  <c r="B506" i="1" a="1"/>
  <c r="B506" i="1" s="1"/>
  <c r="B507" i="1" a="1"/>
  <c r="B507" i="1" s="1"/>
  <c r="B508" i="1" a="1"/>
  <c r="B508" i="1" s="1"/>
  <c r="B509" i="1" a="1"/>
  <c r="B509" i="1" s="1"/>
  <c r="B510" i="1" a="1"/>
  <c r="B510" i="1" s="1"/>
  <c r="B511" i="1" a="1"/>
  <c r="B511" i="1" s="1"/>
  <c r="B512" i="1" a="1"/>
  <c r="B512" i="1" s="1"/>
  <c r="B513" i="1" a="1"/>
  <c r="B513" i="1"/>
  <c r="B514" i="1" a="1"/>
  <c r="B514" i="1" s="1"/>
  <c r="B515" i="1" a="1"/>
  <c r="B515" i="1" s="1"/>
  <c r="B516" i="1" a="1"/>
  <c r="B516" i="1" s="1"/>
  <c r="B517" i="1" a="1"/>
  <c r="B517" i="1" s="1"/>
  <c r="B518" i="1" a="1"/>
  <c r="B518" i="1" s="1"/>
  <c r="B519" i="1" a="1"/>
  <c r="B519" i="1" s="1"/>
  <c r="B520" i="1" a="1"/>
  <c r="B520" i="1" s="1"/>
  <c r="B521" i="1" a="1"/>
  <c r="B521" i="1" s="1"/>
  <c r="B522" i="1" a="1"/>
  <c r="B522" i="1" s="1"/>
  <c r="B523" i="1" a="1"/>
  <c r="B523" i="1" s="1"/>
  <c r="B524" i="1" a="1"/>
  <c r="B524" i="1" s="1"/>
  <c r="B525" i="1" a="1"/>
  <c r="B525" i="1" s="1"/>
  <c r="B526" i="1" a="1"/>
  <c r="B526" i="1" s="1"/>
  <c r="B527" i="1" a="1"/>
  <c r="B527" i="1"/>
  <c r="B528" i="1" a="1"/>
  <c r="B528" i="1" s="1"/>
  <c r="B529" i="1" a="1"/>
  <c r="B529" i="1" s="1"/>
  <c r="B530" i="1" a="1"/>
  <c r="B530" i="1" s="1"/>
  <c r="B531" i="1" a="1"/>
  <c r="B531" i="1" s="1"/>
  <c r="B532" i="1" a="1"/>
  <c r="B532" i="1" s="1"/>
  <c r="B533" i="1" a="1"/>
  <c r="B533" i="1" s="1"/>
  <c r="B534" i="1" a="1"/>
  <c r="B534" i="1" s="1"/>
  <c r="B535" i="1" a="1"/>
  <c r="B535" i="1" s="1"/>
  <c r="B536" i="1" a="1"/>
  <c r="B536" i="1" s="1"/>
  <c r="B537" i="1" a="1"/>
  <c r="B537" i="1" s="1"/>
  <c r="B538" i="1" a="1"/>
  <c r="B538" i="1" s="1"/>
  <c r="B539" i="1" a="1"/>
  <c r="B539" i="1" s="1"/>
  <c r="B540" i="1" a="1"/>
  <c r="B540" i="1" s="1"/>
  <c r="B541" i="1" a="1"/>
  <c r="B541" i="1" s="1"/>
  <c r="B542" i="1" a="1"/>
  <c r="B542" i="1" s="1"/>
  <c r="B543" i="1" a="1"/>
  <c r="B543" i="1" s="1"/>
  <c r="B544" i="1" a="1"/>
  <c r="B544" i="1" s="1"/>
  <c r="B545" i="1" a="1"/>
  <c r="B545" i="1" s="1"/>
  <c r="B546" i="1" a="1"/>
  <c r="B546" i="1" s="1"/>
  <c r="B547" i="1" a="1"/>
  <c r="B547" i="1" s="1"/>
  <c r="B548" i="1" a="1"/>
  <c r="B548" i="1" s="1"/>
  <c r="B549" i="1" a="1"/>
  <c r="B549" i="1" s="1"/>
  <c r="B550" i="1" a="1"/>
  <c r="B550" i="1" s="1"/>
  <c r="B551" i="1" a="1"/>
  <c r="B551" i="1" s="1"/>
  <c r="B552" i="1" a="1"/>
  <c r="B552" i="1" s="1"/>
  <c r="B553" i="1" a="1"/>
  <c r="B553" i="1" s="1"/>
  <c r="B554" i="1" a="1"/>
  <c r="B554" i="1" s="1"/>
  <c r="B555" i="1" a="1"/>
  <c r="B555" i="1" s="1"/>
  <c r="B556" i="1" a="1"/>
  <c r="B556" i="1" s="1"/>
  <c r="B557" i="1" a="1"/>
  <c r="B557" i="1" s="1"/>
  <c r="B558" i="1" a="1"/>
  <c r="B558" i="1" s="1"/>
  <c r="B559" i="1" a="1"/>
  <c r="B559" i="1" s="1"/>
  <c r="B560" i="1" a="1"/>
  <c r="B560" i="1" s="1"/>
  <c r="B561" i="1" a="1"/>
  <c r="B561" i="1" s="1"/>
  <c r="B562" i="1" a="1"/>
  <c r="B562" i="1" s="1"/>
  <c r="B563" i="1" a="1"/>
  <c r="B563" i="1" s="1"/>
  <c r="B564" i="1" a="1"/>
  <c r="B564" i="1" s="1"/>
  <c r="B565" i="1" a="1"/>
  <c r="B565" i="1" s="1"/>
  <c r="B566" i="1" a="1"/>
  <c r="B566" i="1" s="1"/>
  <c r="B567" i="1" a="1"/>
  <c r="B567" i="1" s="1"/>
  <c r="B568" i="1" a="1"/>
  <c r="B568" i="1" s="1"/>
  <c r="B569" i="1" a="1"/>
  <c r="B569" i="1" s="1"/>
  <c r="B570" i="1" a="1"/>
  <c r="B570" i="1" s="1"/>
  <c r="B571" i="1" a="1"/>
  <c r="B571" i="1" s="1"/>
  <c r="B572" i="1" a="1"/>
  <c r="B572" i="1" s="1"/>
  <c r="B573" i="1" a="1"/>
  <c r="B573" i="1" s="1"/>
  <c r="B574" i="1" a="1"/>
  <c r="B574" i="1" s="1"/>
  <c r="B575" i="1" a="1"/>
  <c r="B575" i="1" s="1"/>
  <c r="B576" i="1" a="1"/>
  <c r="B576" i="1" s="1"/>
  <c r="B577" i="1" a="1"/>
  <c r="B577" i="1" s="1"/>
  <c r="B578" i="1" a="1"/>
  <c r="B578" i="1" s="1"/>
  <c r="B579" i="1" a="1"/>
  <c r="B579" i="1" s="1"/>
  <c r="B580" i="1" a="1"/>
  <c r="B580" i="1" s="1"/>
  <c r="B581" i="1" a="1"/>
  <c r="B581" i="1" s="1"/>
  <c r="B582" i="1" a="1"/>
  <c r="B582" i="1" s="1"/>
  <c r="B583" i="1" a="1"/>
  <c r="B583" i="1" s="1"/>
  <c r="B584" i="1" a="1"/>
  <c r="B584" i="1" s="1"/>
  <c r="B585" i="1" a="1"/>
  <c r="B585" i="1" s="1"/>
  <c r="B586" i="1" a="1"/>
  <c r="B586" i="1" s="1"/>
  <c r="B587" i="1" a="1"/>
  <c r="B587" i="1" s="1"/>
  <c r="B588" i="1" a="1"/>
  <c r="B588" i="1" s="1"/>
  <c r="B589" i="1" a="1"/>
  <c r="B589" i="1" s="1"/>
  <c r="B590" i="1" a="1"/>
  <c r="B590" i="1" s="1"/>
  <c r="B591" i="1" a="1"/>
  <c r="B591" i="1" s="1"/>
  <c r="B592" i="1" a="1"/>
  <c r="B592" i="1" s="1"/>
  <c r="B593" i="1" a="1"/>
  <c r="B593" i="1" s="1"/>
  <c r="B594" i="1" a="1"/>
  <c r="B594" i="1" s="1"/>
  <c r="B595" i="1" a="1"/>
  <c r="B595" i="1" s="1"/>
  <c r="B596" i="1" a="1"/>
  <c r="B596" i="1" s="1"/>
  <c r="B597" i="1" a="1"/>
  <c r="B597" i="1" s="1"/>
  <c r="B598" i="1" a="1"/>
  <c r="B598" i="1" s="1"/>
  <c r="B599" i="1" a="1"/>
  <c r="B599" i="1" s="1"/>
  <c r="B600" i="1" a="1"/>
  <c r="B600" i="1" s="1"/>
  <c r="B601" i="1" a="1"/>
  <c r="B601" i="1" s="1"/>
  <c r="B602" i="1" a="1"/>
  <c r="B602" i="1" s="1"/>
  <c r="B603" i="1" a="1"/>
  <c r="B603" i="1" s="1"/>
  <c r="B604" i="1" a="1"/>
  <c r="B604" i="1" s="1"/>
  <c r="B605" i="1" a="1"/>
  <c r="B605" i="1" s="1"/>
  <c r="B606" i="1" a="1"/>
  <c r="B606" i="1" s="1"/>
  <c r="B607" i="1" a="1"/>
  <c r="B607" i="1" s="1"/>
  <c r="B608" i="1" a="1"/>
  <c r="B608" i="1" s="1"/>
  <c r="B609" i="1" a="1"/>
  <c r="B609" i="1" s="1"/>
  <c r="B610" i="1" a="1"/>
  <c r="B610" i="1" s="1"/>
  <c r="B611" i="1" a="1"/>
  <c r="B611" i="1" s="1"/>
  <c r="B612" i="1" a="1"/>
  <c r="B612" i="1" s="1"/>
  <c r="B613" i="1" a="1"/>
  <c r="B613" i="1" s="1"/>
  <c r="B614" i="1" a="1"/>
  <c r="B614" i="1" s="1"/>
  <c r="B615" i="1" a="1"/>
  <c r="B615" i="1" s="1"/>
  <c r="B616" i="1" a="1"/>
  <c r="B616" i="1" s="1"/>
  <c r="B617" i="1" a="1"/>
  <c r="B617" i="1" s="1"/>
  <c r="B618" i="1" a="1"/>
  <c r="B618" i="1" s="1"/>
  <c r="B619" i="1" a="1"/>
  <c r="B619" i="1" s="1"/>
  <c r="B620" i="1" a="1"/>
  <c r="B620" i="1" s="1"/>
  <c r="B621" i="1" a="1"/>
  <c r="B621" i="1" s="1"/>
  <c r="B622" i="1" a="1"/>
  <c r="B622" i="1" s="1"/>
  <c r="B623" i="1" a="1"/>
  <c r="B623" i="1" s="1"/>
  <c r="B624" i="1" a="1"/>
  <c r="B624" i="1" s="1"/>
  <c r="B625" i="1" a="1"/>
  <c r="B625" i="1" s="1"/>
  <c r="B626" i="1" a="1"/>
  <c r="B626" i="1" s="1"/>
  <c r="B627" i="1" a="1"/>
  <c r="B627" i="1" s="1"/>
  <c r="B628" i="1" a="1"/>
  <c r="B628" i="1" s="1"/>
  <c r="B629" i="1" a="1"/>
  <c r="B629" i="1" s="1"/>
  <c r="B630" i="1" a="1"/>
  <c r="B630" i="1" s="1"/>
  <c r="B631" i="1" a="1"/>
  <c r="B631" i="1" s="1"/>
  <c r="B632" i="1" a="1"/>
  <c r="B632" i="1" s="1"/>
  <c r="B633" i="1" a="1"/>
  <c r="B633" i="1" s="1"/>
  <c r="B634" i="1" a="1"/>
  <c r="B634" i="1" s="1"/>
  <c r="B635" i="1" a="1"/>
  <c r="B635" i="1" s="1"/>
  <c r="B636" i="1" a="1"/>
  <c r="B636" i="1" s="1"/>
  <c r="B637" i="1" a="1"/>
  <c r="B637" i="1" s="1"/>
  <c r="B638" i="1" a="1"/>
  <c r="B638" i="1" s="1"/>
  <c r="B639" i="1" a="1"/>
  <c r="B639" i="1" s="1"/>
  <c r="B640" i="1" a="1"/>
  <c r="B640" i="1" s="1"/>
  <c r="B641" i="1" a="1"/>
  <c r="B641" i="1" s="1"/>
  <c r="B642" i="1" a="1"/>
  <c r="B642" i="1" s="1"/>
  <c r="B643" i="1" a="1"/>
  <c r="B643" i="1" s="1"/>
  <c r="B644" i="1" a="1"/>
  <c r="B644" i="1" s="1"/>
  <c r="B645" i="1" a="1"/>
  <c r="B645" i="1" s="1"/>
  <c r="B646" i="1" a="1"/>
  <c r="B646" i="1" s="1"/>
  <c r="B647" i="1" a="1"/>
  <c r="B647" i="1" s="1"/>
  <c r="B648" i="1" a="1"/>
  <c r="B648" i="1" s="1"/>
  <c r="B649" i="1" a="1"/>
  <c r="B649" i="1" s="1"/>
  <c r="B650" i="1" a="1"/>
  <c r="B650" i="1" s="1"/>
  <c r="B651" i="1" a="1"/>
  <c r="B651" i="1" s="1"/>
  <c r="B652" i="1" a="1"/>
  <c r="B652" i="1" s="1"/>
  <c r="B653" i="1" a="1"/>
  <c r="B653" i="1" s="1"/>
  <c r="B654" i="1" a="1"/>
  <c r="B654" i="1" s="1"/>
  <c r="B655" i="1" a="1"/>
  <c r="B655" i="1" s="1"/>
  <c r="B656" i="1" a="1"/>
  <c r="B656" i="1" s="1"/>
  <c r="B657" i="1" a="1"/>
  <c r="B657" i="1" s="1"/>
  <c r="B658" i="1" a="1"/>
  <c r="B658" i="1" s="1"/>
  <c r="B659" i="1" a="1"/>
  <c r="B659" i="1" s="1"/>
  <c r="B660" i="1" a="1"/>
  <c r="B660" i="1" s="1"/>
  <c r="B661" i="1" a="1"/>
  <c r="B661" i="1" s="1"/>
  <c r="B662" i="1" a="1"/>
  <c r="B662" i="1" s="1"/>
  <c r="B663" i="1" a="1"/>
  <c r="B663" i="1" s="1"/>
  <c r="B664" i="1" a="1"/>
  <c r="B664" i="1" s="1"/>
  <c r="B665" i="1" a="1"/>
  <c r="B665" i="1" s="1"/>
  <c r="B666" i="1" a="1"/>
  <c r="B666" i="1" s="1"/>
  <c r="B667" i="1" a="1"/>
  <c r="B667" i="1" s="1"/>
  <c r="B668" i="1" a="1"/>
  <c r="B668" i="1" s="1"/>
  <c r="B669" i="1" a="1"/>
  <c r="B669" i="1" s="1"/>
  <c r="B670" i="1" a="1"/>
  <c r="B670" i="1" s="1"/>
  <c r="B671" i="1" a="1"/>
  <c r="B671" i="1" s="1"/>
  <c r="B672" i="1" a="1"/>
  <c r="B672" i="1" s="1"/>
  <c r="B673" i="1" a="1"/>
  <c r="B673" i="1" s="1"/>
  <c r="B674" i="1" a="1"/>
  <c r="B674" i="1" s="1"/>
  <c r="B675" i="1" a="1"/>
  <c r="B675" i="1" s="1"/>
  <c r="B676" i="1" a="1"/>
  <c r="B676" i="1" s="1"/>
  <c r="B677" i="1" a="1"/>
  <c r="B677" i="1" s="1"/>
  <c r="B678" i="1" a="1"/>
  <c r="B678" i="1" s="1"/>
  <c r="B679" i="1" a="1"/>
  <c r="B679" i="1" s="1"/>
  <c r="B680" i="1" a="1"/>
  <c r="B680" i="1" s="1"/>
  <c r="B681" i="1" a="1"/>
  <c r="B681" i="1" s="1"/>
  <c r="B682" i="1" a="1"/>
  <c r="B682" i="1" s="1"/>
  <c r="B683" i="1" a="1"/>
  <c r="B683" i="1" s="1"/>
  <c r="B684" i="1" a="1"/>
  <c r="B684" i="1" s="1"/>
  <c r="B685" i="1" a="1"/>
  <c r="B685" i="1" s="1"/>
  <c r="B686" i="1" a="1"/>
  <c r="B686" i="1" s="1"/>
  <c r="B687" i="1" a="1"/>
  <c r="B687" i="1" s="1"/>
  <c r="B688" i="1" a="1"/>
  <c r="B688" i="1" s="1"/>
  <c r="B689" i="1" a="1"/>
  <c r="B689" i="1" s="1"/>
  <c r="B690" i="1" a="1"/>
  <c r="B690" i="1" s="1"/>
  <c r="B691" i="1" a="1"/>
  <c r="B691" i="1" s="1"/>
  <c r="B692" i="1" a="1"/>
  <c r="B692" i="1" s="1"/>
  <c r="B693" i="1" a="1"/>
  <c r="B693" i="1" s="1"/>
  <c r="B694" i="1" a="1"/>
  <c r="B694" i="1" s="1"/>
  <c r="B695" i="1" a="1"/>
  <c r="B695" i="1" s="1"/>
  <c r="B696" i="1" a="1"/>
  <c r="B696" i="1" s="1"/>
  <c r="B697" i="1" a="1"/>
  <c r="B697" i="1" s="1"/>
  <c r="B698" i="1" a="1"/>
  <c r="B698" i="1" s="1"/>
  <c r="B699" i="1" a="1"/>
  <c r="B699" i="1" s="1"/>
  <c r="B700" i="1" a="1"/>
  <c r="B700" i="1" s="1"/>
  <c r="B701" i="1" a="1"/>
  <c r="B701" i="1" s="1"/>
  <c r="B702" i="1" a="1"/>
  <c r="B702" i="1" s="1"/>
  <c r="B703" i="1" a="1"/>
  <c r="B703" i="1" s="1"/>
  <c r="B704" i="1" a="1"/>
  <c r="B704" i="1" s="1"/>
  <c r="B705" i="1" a="1"/>
  <c r="B705" i="1" s="1"/>
  <c r="B706" i="1" a="1"/>
  <c r="B706" i="1" s="1"/>
  <c r="B707" i="1" a="1"/>
  <c r="B707" i="1" s="1"/>
  <c r="B708" i="1" a="1"/>
  <c r="B708" i="1" s="1"/>
  <c r="B709" i="1" a="1"/>
  <c r="B709" i="1" s="1"/>
  <c r="B710" i="1" a="1"/>
  <c r="B710" i="1" s="1"/>
  <c r="B711" i="1" a="1"/>
  <c r="B711" i="1" s="1"/>
  <c r="B712" i="1" a="1"/>
  <c r="B712" i="1" s="1"/>
  <c r="B713" i="1" a="1"/>
  <c r="B713" i="1" s="1"/>
  <c r="B714" i="1" a="1"/>
  <c r="B714" i="1" s="1"/>
  <c r="B715" i="1" a="1"/>
  <c r="B715" i="1" s="1"/>
  <c r="B716" i="1" a="1"/>
  <c r="B716" i="1" s="1"/>
  <c r="B717" i="1" a="1"/>
  <c r="B717" i="1" s="1"/>
  <c r="B718" i="1" a="1"/>
  <c r="B718" i="1" s="1"/>
  <c r="B719" i="1" a="1"/>
  <c r="B719" i="1" s="1"/>
  <c r="B720" i="1" a="1"/>
  <c r="B720" i="1" s="1"/>
  <c r="B721" i="1" a="1"/>
  <c r="B721" i="1" s="1"/>
  <c r="B722" i="1" a="1"/>
  <c r="B722" i="1" s="1"/>
  <c r="B723" i="1" a="1"/>
  <c r="B723" i="1" s="1"/>
  <c r="B724" i="1" a="1"/>
  <c r="B724" i="1" s="1"/>
  <c r="B725" i="1" a="1"/>
  <c r="B725" i="1" s="1"/>
  <c r="B726" i="1" a="1"/>
  <c r="B726" i="1" s="1"/>
  <c r="B727" i="1" a="1"/>
  <c r="B727" i="1" s="1"/>
  <c r="B728" i="1" a="1"/>
  <c r="B728" i="1" s="1"/>
  <c r="B729" i="1" a="1"/>
  <c r="B729" i="1" s="1"/>
  <c r="B730" i="1" a="1"/>
  <c r="B730" i="1" s="1"/>
  <c r="B731" i="1" a="1"/>
  <c r="B731" i="1" s="1"/>
  <c r="B732" i="1" a="1"/>
  <c r="B732" i="1" s="1"/>
  <c r="B733" i="1" a="1"/>
  <c r="B733" i="1" s="1"/>
  <c r="B734" i="1" a="1"/>
  <c r="B734" i="1" s="1"/>
  <c r="B735" i="1" a="1"/>
  <c r="B735" i="1" s="1"/>
  <c r="B736" i="1" a="1"/>
  <c r="B736" i="1" s="1"/>
  <c r="B737" i="1" a="1"/>
  <c r="B737" i="1" s="1"/>
  <c r="B738" i="1" a="1"/>
  <c r="B738" i="1" s="1"/>
  <c r="B739" i="1" a="1"/>
  <c r="B739" i="1" s="1"/>
  <c r="B740" i="1" a="1"/>
  <c r="B740" i="1" s="1"/>
  <c r="B741" i="1" a="1"/>
  <c r="B741" i="1" s="1"/>
  <c r="B742" i="1" a="1"/>
  <c r="B742" i="1" s="1"/>
  <c r="B743" i="1" a="1"/>
  <c r="B743" i="1" s="1"/>
  <c r="B744" i="1" a="1"/>
  <c r="B744" i="1" s="1"/>
  <c r="B745" i="1" a="1"/>
  <c r="B745" i="1" s="1"/>
  <c r="B746" i="1" a="1"/>
  <c r="B746" i="1" s="1"/>
  <c r="B747" i="1" a="1"/>
  <c r="B747" i="1" s="1"/>
  <c r="B748" i="1" a="1"/>
  <c r="B748" i="1" s="1"/>
  <c r="B749" i="1" a="1"/>
  <c r="B749" i="1" s="1"/>
  <c r="B750" i="1" a="1"/>
  <c r="B750" i="1" s="1"/>
  <c r="B751" i="1" a="1"/>
  <c r="B751" i="1" s="1"/>
  <c r="B752" i="1" a="1"/>
  <c r="B752" i="1" s="1"/>
  <c r="B753" i="1" a="1"/>
  <c r="B753" i="1" s="1"/>
  <c r="B754" i="1" a="1"/>
  <c r="B754" i="1" s="1"/>
  <c r="B755" i="1" a="1"/>
  <c r="B755" i="1" s="1"/>
  <c r="B756" i="1" a="1"/>
  <c r="B756" i="1" s="1"/>
  <c r="B757" i="1" a="1"/>
  <c r="B757" i="1" s="1"/>
  <c r="B758" i="1" a="1"/>
  <c r="B758" i="1" s="1"/>
  <c r="B759" i="1" a="1"/>
  <c r="B759" i="1" s="1"/>
  <c r="B760" i="1" a="1"/>
  <c r="B760" i="1" s="1"/>
  <c r="B761" i="1" a="1"/>
  <c r="B761" i="1" s="1"/>
  <c r="B762" i="1" a="1"/>
  <c r="B762" i="1" s="1"/>
  <c r="B763" i="1" a="1"/>
  <c r="B763" i="1" s="1"/>
  <c r="B764" i="1" a="1"/>
  <c r="B764" i="1" s="1"/>
  <c r="B765" i="1" a="1"/>
  <c r="B765" i="1" s="1"/>
  <c r="B766" i="1" a="1"/>
  <c r="B766" i="1" s="1"/>
  <c r="B767" i="1" a="1"/>
  <c r="B767" i="1" s="1"/>
  <c r="B768" i="1" a="1"/>
  <c r="B768" i="1" s="1"/>
  <c r="B769" i="1" a="1"/>
  <c r="B769" i="1" s="1"/>
  <c r="B770" i="1" a="1"/>
  <c r="B770" i="1" s="1"/>
  <c r="B771" i="1" a="1"/>
  <c r="B771" i="1" s="1"/>
  <c r="B772" i="1" a="1"/>
  <c r="B772" i="1" s="1"/>
  <c r="B773" i="1" a="1"/>
  <c r="B773" i="1" s="1"/>
  <c r="B774" i="1" a="1"/>
  <c r="B774" i="1" s="1"/>
  <c r="B775" i="1" a="1"/>
  <c r="B775" i="1" s="1"/>
  <c r="B776" i="1" a="1"/>
  <c r="B776" i="1" s="1"/>
  <c r="B777" i="1" a="1"/>
  <c r="B777" i="1" s="1"/>
  <c r="B778" i="1" a="1"/>
  <c r="B778" i="1" s="1"/>
  <c r="B779" i="1" a="1"/>
  <c r="B779" i="1" s="1"/>
  <c r="B780" i="1" a="1"/>
  <c r="B780" i="1" s="1"/>
  <c r="B781" i="1" a="1"/>
  <c r="B781" i="1" s="1"/>
  <c r="B782" i="1" a="1"/>
  <c r="B782" i="1" s="1"/>
  <c r="B783" i="1" a="1"/>
  <c r="B783" i="1" s="1"/>
  <c r="B784" i="1" a="1"/>
  <c r="B784" i="1" s="1"/>
  <c r="B785" i="1" a="1"/>
  <c r="B785" i="1" s="1"/>
  <c r="B786" i="1" a="1"/>
  <c r="B786" i="1" s="1"/>
  <c r="B787" i="1" a="1"/>
  <c r="B787" i="1" s="1"/>
  <c r="B788" i="1" a="1"/>
  <c r="B788" i="1" s="1"/>
  <c r="B789" i="1" a="1"/>
  <c r="B789" i="1" s="1"/>
  <c r="B790" i="1" a="1"/>
  <c r="B790" i="1" s="1"/>
  <c r="B791" i="1" a="1"/>
  <c r="B791" i="1" s="1"/>
  <c r="B792" i="1" a="1"/>
  <c r="B792" i="1" s="1"/>
  <c r="B793" i="1" a="1"/>
  <c r="B793" i="1" s="1"/>
  <c r="B794" i="1" a="1"/>
  <c r="B794" i="1" s="1"/>
  <c r="B795" i="1" a="1"/>
  <c r="B795" i="1" s="1"/>
  <c r="B796" i="1" a="1"/>
  <c r="B796" i="1" s="1"/>
  <c r="B797" i="1" a="1"/>
  <c r="B797" i="1" s="1"/>
  <c r="B798" i="1" a="1"/>
  <c r="B798" i="1" s="1"/>
  <c r="B799" i="1" a="1"/>
  <c r="B799" i="1" s="1"/>
  <c r="B800" i="1" a="1"/>
  <c r="B800" i="1" s="1"/>
  <c r="B801" i="1" a="1"/>
  <c r="B801" i="1" s="1"/>
  <c r="B802" i="1" a="1"/>
  <c r="B802" i="1" s="1"/>
  <c r="B803" i="1" a="1"/>
  <c r="B803" i="1" s="1"/>
  <c r="B804" i="1" a="1"/>
  <c r="B804" i="1" s="1"/>
  <c r="B805" i="1" a="1"/>
  <c r="B805" i="1" s="1"/>
  <c r="B806" i="1" a="1"/>
  <c r="B806" i="1" s="1"/>
  <c r="B807" i="1" a="1"/>
  <c r="B807" i="1" s="1"/>
  <c r="B808" i="1" a="1"/>
  <c r="B808" i="1" s="1"/>
  <c r="B809" i="1" a="1"/>
  <c r="B809" i="1" s="1"/>
  <c r="B810" i="1" a="1"/>
  <c r="B810" i="1" s="1"/>
  <c r="B811" i="1" a="1"/>
  <c r="B811" i="1" s="1"/>
  <c r="B812" i="1" a="1"/>
  <c r="B812" i="1" s="1"/>
  <c r="B813" i="1" a="1"/>
  <c r="B813" i="1" s="1"/>
  <c r="B814" i="1" a="1"/>
  <c r="B814" i="1" s="1"/>
  <c r="B815" i="1" a="1"/>
  <c r="B815" i="1" s="1"/>
  <c r="B816" i="1" a="1"/>
  <c r="B816" i="1" s="1"/>
  <c r="B817" i="1" a="1"/>
  <c r="B817" i="1" s="1"/>
  <c r="B818" i="1" a="1"/>
  <c r="B818" i="1" s="1"/>
  <c r="B819" i="1" a="1"/>
  <c r="B819" i="1" s="1"/>
  <c r="B820" i="1" a="1"/>
  <c r="B820" i="1" s="1"/>
  <c r="B821" i="1" a="1"/>
  <c r="B821" i="1" s="1"/>
  <c r="B822" i="1" a="1"/>
  <c r="B822" i="1" s="1"/>
  <c r="B823" i="1" a="1"/>
  <c r="B823" i="1" s="1"/>
  <c r="B824" i="1" a="1"/>
  <c r="B824" i="1" s="1"/>
  <c r="B825" i="1" a="1"/>
  <c r="B825" i="1" s="1"/>
  <c r="B826" i="1" a="1"/>
  <c r="B826" i="1" s="1"/>
  <c r="B827" i="1" a="1"/>
  <c r="B827" i="1" s="1"/>
  <c r="B828" i="1" a="1"/>
  <c r="B828" i="1" s="1"/>
  <c r="B829" i="1" a="1"/>
  <c r="B829" i="1" s="1"/>
  <c r="B830" i="1" a="1"/>
  <c r="B830" i="1" s="1"/>
  <c r="B831" i="1" a="1"/>
  <c r="B831" i="1" s="1"/>
  <c r="B832" i="1" a="1"/>
  <c r="B832" i="1" s="1"/>
  <c r="B833" i="1" a="1"/>
  <c r="B833" i="1" s="1"/>
  <c r="B834" i="1" a="1"/>
  <c r="B834" i="1" s="1"/>
  <c r="B835" i="1" a="1"/>
  <c r="B835" i="1" s="1"/>
  <c r="B836" i="1" a="1"/>
  <c r="B836" i="1" s="1"/>
  <c r="B837" i="1" a="1"/>
  <c r="B837" i="1" s="1"/>
  <c r="B838" i="1" a="1"/>
  <c r="B838" i="1" s="1"/>
  <c r="B839" i="1" a="1"/>
  <c r="B839" i="1" s="1"/>
  <c r="B840" i="1" a="1"/>
  <c r="B840" i="1" s="1"/>
  <c r="B841" i="1" a="1"/>
  <c r="B841" i="1" s="1"/>
  <c r="B842" i="1" a="1"/>
  <c r="B842" i="1" s="1"/>
  <c r="B843" i="1" a="1"/>
  <c r="B843" i="1" s="1"/>
  <c r="B844" i="1" a="1"/>
  <c r="B844" i="1" s="1"/>
  <c r="B845" i="1" a="1"/>
  <c r="B845" i="1" s="1"/>
  <c r="B846" i="1" a="1"/>
  <c r="B846" i="1" s="1"/>
  <c r="B847" i="1" a="1"/>
  <c r="B847" i="1" s="1"/>
  <c r="B848" i="1" a="1"/>
  <c r="B848" i="1" s="1"/>
  <c r="B849" i="1" a="1"/>
  <c r="B849" i="1" s="1"/>
  <c r="B850" i="1" a="1"/>
  <c r="B850" i="1" s="1"/>
  <c r="B851" i="1" a="1"/>
  <c r="B851" i="1" s="1"/>
  <c r="B852" i="1" a="1"/>
  <c r="B852" i="1" s="1"/>
  <c r="B853" i="1" a="1"/>
  <c r="B853" i="1" s="1"/>
  <c r="B854" i="1" a="1"/>
  <c r="B854" i="1" s="1"/>
  <c r="B855" i="1" a="1"/>
  <c r="B855" i="1" s="1"/>
  <c r="B856" i="1" a="1"/>
  <c r="B856" i="1" s="1"/>
  <c r="B857" i="1" a="1"/>
  <c r="B857" i="1" s="1"/>
  <c r="B858" i="1" a="1"/>
  <c r="B858" i="1" s="1"/>
  <c r="B859" i="1" a="1"/>
  <c r="B859" i="1" s="1"/>
  <c r="B860" i="1" a="1"/>
  <c r="B860" i="1" s="1"/>
  <c r="B861" i="1" a="1"/>
  <c r="B861" i="1" s="1"/>
  <c r="B862" i="1" a="1"/>
  <c r="B862" i="1" s="1"/>
  <c r="B863" i="1" a="1"/>
  <c r="B863" i="1" s="1"/>
  <c r="B864" i="1" a="1"/>
  <c r="B864" i="1" s="1"/>
  <c r="B865" i="1" a="1"/>
  <c r="B865" i="1" s="1"/>
  <c r="B866" i="1" a="1"/>
  <c r="B866" i="1" s="1"/>
  <c r="B867" i="1" a="1"/>
  <c r="B867" i="1" s="1"/>
  <c r="B868" i="1" a="1"/>
  <c r="B868" i="1"/>
  <c r="B869" i="1" a="1"/>
  <c r="B869" i="1" s="1"/>
  <c r="B870" i="1" a="1"/>
  <c r="B870" i="1" s="1"/>
  <c r="B871" i="1" a="1"/>
  <c r="B871" i="1" s="1"/>
  <c r="B872" i="1" a="1"/>
  <c r="B872" i="1" s="1"/>
  <c r="B873" i="1" a="1"/>
  <c r="B873" i="1" s="1"/>
  <c r="B874" i="1" a="1"/>
  <c r="B874" i="1" s="1"/>
  <c r="B875" i="1" a="1"/>
  <c r="B875" i="1" s="1"/>
  <c r="B876" i="1" a="1"/>
  <c r="B876" i="1" s="1"/>
  <c r="B877" i="1" a="1"/>
  <c r="B877" i="1" s="1"/>
  <c r="B878" i="1" a="1"/>
  <c r="B878" i="1" s="1"/>
  <c r="B879" i="1" a="1"/>
  <c r="B879" i="1" s="1"/>
  <c r="B880" i="1" a="1"/>
  <c r="B880" i="1" s="1"/>
  <c r="B881" i="1" a="1"/>
  <c r="B881" i="1" s="1"/>
  <c r="B882" i="1" a="1"/>
  <c r="B882" i="1" s="1"/>
  <c r="B883" i="1" a="1"/>
  <c r="B883" i="1" s="1"/>
  <c r="B884" i="1" a="1"/>
  <c r="B884" i="1" s="1"/>
  <c r="B885" i="1" a="1"/>
  <c r="B885" i="1" s="1"/>
  <c r="B886" i="1" a="1"/>
  <c r="B886" i="1" s="1"/>
  <c r="B887" i="1" a="1"/>
  <c r="B887" i="1" s="1"/>
  <c r="B888" i="1" a="1"/>
  <c r="B888" i="1" s="1"/>
  <c r="B889" i="1" a="1"/>
  <c r="B889" i="1" s="1"/>
  <c r="B890" i="1" a="1"/>
  <c r="B890" i="1" s="1"/>
  <c r="B891" i="1" a="1"/>
  <c r="B891" i="1" s="1"/>
  <c r="B892" i="1" a="1"/>
  <c r="B892" i="1" s="1"/>
  <c r="B893" i="1" a="1"/>
  <c r="B893" i="1" s="1"/>
  <c r="B894" i="1" a="1"/>
  <c r="B894" i="1" s="1"/>
  <c r="B895" i="1" a="1"/>
  <c r="B895" i="1" s="1"/>
  <c r="B896" i="1" a="1"/>
  <c r="B896" i="1" s="1"/>
  <c r="B897" i="1" a="1"/>
  <c r="B897" i="1" s="1"/>
  <c r="B898" i="1" a="1"/>
  <c r="B898" i="1" s="1"/>
  <c r="B899" i="1" a="1"/>
  <c r="B899" i="1" s="1"/>
  <c r="B900" i="1" a="1"/>
  <c r="B900" i="1" s="1"/>
  <c r="B901" i="1" a="1"/>
  <c r="B901" i="1" s="1"/>
  <c r="B902" i="1" a="1"/>
  <c r="B902" i="1" s="1"/>
  <c r="B903" i="1" a="1"/>
  <c r="B903" i="1" s="1"/>
  <c r="B904" i="1" a="1"/>
  <c r="B904" i="1" s="1"/>
  <c r="B905" i="1" a="1"/>
  <c r="B905" i="1" s="1"/>
  <c r="B906" i="1" a="1"/>
  <c r="B906" i="1" s="1"/>
  <c r="B907" i="1" a="1"/>
  <c r="B907" i="1" s="1"/>
  <c r="B908" i="1" a="1"/>
  <c r="B908" i="1" s="1"/>
  <c r="B909" i="1" a="1"/>
  <c r="B909" i="1" s="1"/>
  <c r="B910" i="1" a="1"/>
  <c r="B910" i="1" s="1"/>
  <c r="B911" i="1" a="1"/>
  <c r="B911" i="1" s="1"/>
  <c r="B912" i="1" a="1"/>
  <c r="B912" i="1" s="1"/>
  <c r="B913" i="1" a="1"/>
  <c r="B913" i="1" s="1"/>
  <c r="B914" i="1" a="1"/>
  <c r="B914" i="1" s="1"/>
  <c r="B915" i="1" a="1"/>
  <c r="B915" i="1" s="1"/>
  <c r="B916" i="1" a="1"/>
  <c r="B916" i="1" s="1"/>
  <c r="B917" i="1" a="1"/>
  <c r="B917" i="1" s="1"/>
  <c r="B918" i="1" a="1"/>
  <c r="B918" i="1" s="1"/>
  <c r="B919" i="1" a="1"/>
  <c r="B919" i="1" s="1"/>
  <c r="B920" i="1" a="1"/>
  <c r="B920" i="1" s="1"/>
  <c r="B921" i="1" a="1"/>
  <c r="B921" i="1" s="1"/>
  <c r="B922" i="1" a="1"/>
  <c r="B922" i="1" s="1"/>
  <c r="B923" i="1" a="1"/>
  <c r="B923" i="1" s="1"/>
  <c r="B924" i="1" a="1"/>
  <c r="B924" i="1" s="1"/>
  <c r="B925" i="1" a="1"/>
  <c r="B925" i="1" s="1"/>
  <c r="B926" i="1" a="1"/>
  <c r="B926" i="1"/>
  <c r="B927" i="1" a="1"/>
  <c r="B927" i="1" s="1"/>
  <c r="B928" i="1" a="1"/>
  <c r="B928" i="1" s="1"/>
  <c r="B929" i="1" a="1"/>
  <c r="B929" i="1" s="1"/>
  <c r="B930" i="1" a="1"/>
  <c r="B930" i="1" s="1"/>
  <c r="B931" i="1" a="1"/>
  <c r="B931" i="1" s="1"/>
  <c r="B932" i="1" a="1"/>
  <c r="B932" i="1" s="1"/>
  <c r="B933" i="1" a="1"/>
  <c r="B933" i="1" s="1"/>
  <c r="B934" i="1" a="1"/>
  <c r="B934" i="1" s="1"/>
  <c r="B935" i="1" a="1"/>
  <c r="B935" i="1" s="1"/>
  <c r="B936" i="1" a="1"/>
  <c r="B936" i="1" s="1"/>
  <c r="B937" i="1" a="1"/>
  <c r="B937" i="1" s="1"/>
  <c r="B938" i="1" a="1"/>
  <c r="B938" i="1" s="1"/>
  <c r="B939" i="1" a="1"/>
  <c r="B939" i="1" s="1"/>
  <c r="B940" i="1" a="1"/>
  <c r="B940" i="1" s="1"/>
  <c r="B941" i="1" a="1"/>
  <c r="B941" i="1" s="1"/>
  <c r="B942" i="1" a="1"/>
  <c r="B942" i="1" s="1"/>
  <c r="B943" i="1" a="1"/>
  <c r="B943" i="1" s="1"/>
  <c r="B944" i="1" a="1"/>
  <c r="B944" i="1" s="1"/>
  <c r="B945" i="1" a="1"/>
  <c r="B945" i="1" s="1"/>
  <c r="B946" i="1" a="1"/>
  <c r="B946" i="1" s="1"/>
  <c r="B947" i="1" a="1"/>
  <c r="B947" i="1" s="1"/>
  <c r="B948" i="1" a="1"/>
  <c r="B948" i="1" s="1"/>
  <c r="B949" i="1" a="1"/>
  <c r="B949" i="1" s="1"/>
  <c r="B950" i="1" a="1"/>
  <c r="B950" i="1" s="1"/>
  <c r="B951" i="1" a="1"/>
  <c r="B951" i="1" s="1"/>
  <c r="B952" i="1" a="1"/>
  <c r="B952" i="1" s="1"/>
  <c r="B953" i="1" a="1"/>
  <c r="B953" i="1" s="1"/>
  <c r="B954" i="1" a="1"/>
  <c r="B954" i="1" s="1"/>
  <c r="B955" i="1" a="1"/>
  <c r="B955" i="1" s="1"/>
  <c r="B956" i="1" a="1"/>
  <c r="B956" i="1" s="1"/>
  <c r="B957" i="1" a="1"/>
  <c r="B957" i="1" s="1"/>
  <c r="B958" i="1" a="1"/>
  <c r="B958" i="1" s="1"/>
  <c r="B959" i="1" a="1"/>
  <c r="B959" i="1" s="1"/>
  <c r="B960" i="1" a="1"/>
  <c r="B960" i="1" s="1"/>
  <c r="B961" i="1" a="1"/>
  <c r="B961" i="1" s="1"/>
  <c r="B962" i="1" a="1"/>
  <c r="B962" i="1" s="1"/>
  <c r="B963" i="1" a="1"/>
  <c r="B963" i="1" s="1"/>
  <c r="B964" i="1" a="1"/>
  <c r="B964" i="1" s="1"/>
  <c r="B965" i="1" a="1"/>
  <c r="B965" i="1" s="1"/>
  <c r="B966" i="1" a="1"/>
  <c r="B966" i="1" s="1"/>
  <c r="B967" i="1" a="1"/>
  <c r="B967" i="1" s="1"/>
  <c r="B968" i="1" a="1"/>
  <c r="B968" i="1" s="1"/>
  <c r="B969" i="1" a="1"/>
  <c r="B969" i="1" s="1"/>
  <c r="B970" i="1" a="1"/>
  <c r="B970" i="1" s="1"/>
  <c r="B971" i="1" a="1"/>
  <c r="B971" i="1" s="1"/>
  <c r="B972" i="1" a="1"/>
  <c r="B972" i="1" s="1"/>
  <c r="B973" i="1" a="1"/>
  <c r="B973" i="1" s="1"/>
  <c r="B974" i="1" a="1"/>
  <c r="B974" i="1" s="1"/>
  <c r="B975" i="1" a="1"/>
  <c r="B975" i="1" s="1"/>
  <c r="B976" i="1" a="1"/>
  <c r="B976" i="1" s="1"/>
  <c r="B977" i="1" a="1"/>
  <c r="B977" i="1" s="1"/>
  <c r="B978" i="1" a="1"/>
  <c r="B978" i="1" s="1"/>
  <c r="B979" i="1" a="1"/>
  <c r="B979" i="1" s="1"/>
  <c r="B980" i="1" a="1"/>
  <c r="B980" i="1" s="1"/>
  <c r="B981" i="1" a="1"/>
  <c r="B981" i="1" s="1"/>
  <c r="B982" i="1" a="1"/>
  <c r="B982" i="1" s="1"/>
  <c r="B983" i="1" a="1"/>
  <c r="B983" i="1" s="1"/>
  <c r="B984" i="1" a="1"/>
  <c r="B984" i="1" s="1"/>
  <c r="B985" i="1" a="1"/>
  <c r="B985" i="1" s="1"/>
  <c r="B986" i="1" a="1"/>
  <c r="B986" i="1" s="1"/>
  <c r="B987" i="1" a="1"/>
  <c r="B987" i="1" s="1"/>
  <c r="B988" i="1" a="1"/>
  <c r="B988" i="1" s="1"/>
  <c r="B989" i="1" a="1"/>
  <c r="B989" i="1" s="1"/>
  <c r="B990" i="1" a="1"/>
  <c r="B990" i="1" s="1"/>
  <c r="B991" i="1" a="1"/>
  <c r="B991" i="1" s="1"/>
  <c r="B992" i="1" a="1"/>
  <c r="B992" i="1" s="1"/>
  <c r="B993" i="1" a="1"/>
  <c r="B993" i="1" s="1"/>
  <c r="B994" i="1" a="1"/>
  <c r="B994" i="1" s="1"/>
  <c r="B995" i="1" a="1"/>
  <c r="B995" i="1" s="1"/>
  <c r="B996" i="1" a="1"/>
  <c r="B996" i="1" s="1"/>
  <c r="B997" i="1" a="1"/>
  <c r="B997" i="1" s="1"/>
  <c r="B998" i="1" a="1"/>
  <c r="B998" i="1" s="1"/>
  <c r="B999" i="1" a="1"/>
  <c r="B999" i="1" s="1"/>
  <c r="B1000" i="1" a="1"/>
  <c r="B1000" i="1" s="1"/>
  <c r="B1001" i="1" a="1"/>
  <c r="B1001" i="1" s="1"/>
  <c r="B1002" i="1" a="1"/>
  <c r="B1002" i="1" s="1"/>
  <c r="B1003" i="1" a="1"/>
  <c r="B1003" i="1" s="1"/>
  <c r="B1004" i="1" a="1"/>
  <c r="B1004" i="1" s="1"/>
  <c r="B1005" i="1" a="1"/>
  <c r="B1005" i="1" s="1"/>
  <c r="B1006" i="1" a="1"/>
  <c r="B1006" i="1" s="1"/>
  <c r="B1007" i="1" a="1"/>
  <c r="B1007" i="1" s="1"/>
  <c r="B1008" i="1" a="1"/>
  <c r="B1008" i="1" s="1"/>
  <c r="B1009" i="1" a="1"/>
  <c r="B1009" i="1" s="1"/>
  <c r="B1010" i="1" a="1"/>
  <c r="B1010" i="1" s="1"/>
  <c r="B1011" i="1" a="1"/>
  <c r="B1011" i="1" s="1"/>
  <c r="B1012" i="1" a="1"/>
  <c r="B1012" i="1" s="1"/>
  <c r="B1013" i="1" a="1"/>
  <c r="B1013" i="1" s="1"/>
  <c r="B1014" i="1" a="1"/>
  <c r="B1014" i="1" s="1"/>
  <c r="B1015" i="1" a="1"/>
  <c r="B1015" i="1" s="1"/>
  <c r="B1016" i="1" a="1"/>
  <c r="B1016" i="1" s="1"/>
  <c r="B1017" i="1" a="1"/>
  <c r="B1017" i="1" s="1"/>
  <c r="B1018" i="1" a="1"/>
  <c r="B1018" i="1" s="1"/>
  <c r="B1019" i="1" a="1"/>
  <c r="B1019" i="1" s="1"/>
  <c r="B1020" i="1" a="1"/>
  <c r="B1020" i="1" s="1"/>
  <c r="B1021" i="1" a="1"/>
  <c r="B1021" i="1" s="1"/>
  <c r="B1022" i="1" a="1"/>
  <c r="B1022" i="1" s="1"/>
  <c r="B1023" i="1" a="1"/>
  <c r="B1023" i="1" s="1"/>
  <c r="B1024" i="1" a="1"/>
  <c r="B1024" i="1" s="1"/>
  <c r="B1025" i="1" a="1"/>
  <c r="B1025" i="1" s="1"/>
  <c r="B1026" i="1" a="1"/>
  <c r="B1026" i="1" s="1"/>
  <c r="B1027" i="1" a="1"/>
  <c r="B1027" i="1" s="1"/>
  <c r="B1028" i="1" a="1"/>
  <c r="B1028" i="1" s="1"/>
  <c r="B1029" i="1" a="1"/>
  <c r="B1029" i="1" s="1"/>
  <c r="B1030" i="1" a="1"/>
  <c r="B1030" i="1" s="1"/>
  <c r="B1031" i="1" a="1"/>
  <c r="B1031" i="1" s="1"/>
  <c r="B1032" i="1" a="1"/>
  <c r="B1032" i="1" s="1"/>
  <c r="B1033" i="1" a="1"/>
  <c r="B1033" i="1" s="1"/>
  <c r="B1034" i="1" a="1"/>
  <c r="B1034" i="1" s="1"/>
  <c r="B1035" i="1" a="1"/>
  <c r="B1035" i="1" s="1"/>
  <c r="B1036" i="1" a="1"/>
  <c r="B1036" i="1" s="1"/>
  <c r="B1037" i="1" a="1"/>
  <c r="B1037" i="1" s="1"/>
  <c r="B1038" i="1" a="1"/>
  <c r="B1038" i="1" s="1"/>
  <c r="B1039" i="1" a="1"/>
  <c r="B1039" i="1" s="1"/>
  <c r="B1040" i="1" a="1"/>
  <c r="B1040" i="1" s="1"/>
  <c r="B1041" i="1" a="1"/>
  <c r="B1041" i="1" s="1"/>
  <c r="B1042" i="1" a="1"/>
  <c r="B1042" i="1" s="1"/>
  <c r="B1043" i="1" a="1"/>
  <c r="B1043" i="1" s="1"/>
  <c r="B1044" i="1" a="1"/>
  <c r="B1044" i="1" s="1"/>
  <c r="B1045" i="1" a="1"/>
  <c r="B1045" i="1" s="1"/>
  <c r="B1046" i="1" a="1"/>
  <c r="B1046" i="1" s="1"/>
  <c r="B1047" i="1" a="1"/>
  <c r="B1047" i="1" s="1"/>
  <c r="B1048" i="1" a="1"/>
  <c r="B1048" i="1" s="1"/>
  <c r="B1049" i="1" a="1"/>
  <c r="B1049" i="1" s="1"/>
  <c r="B1050" i="1" a="1"/>
  <c r="B1050" i="1" s="1"/>
  <c r="B1051" i="1" a="1"/>
  <c r="B1051" i="1" s="1"/>
  <c r="B1052" i="1" a="1"/>
  <c r="B1052" i="1" s="1"/>
  <c r="B1053" i="1" a="1"/>
  <c r="B1053" i="1" s="1"/>
  <c r="B1054" i="1" a="1"/>
  <c r="B1054" i="1" s="1"/>
  <c r="B1055" i="1" a="1"/>
  <c r="B1055" i="1" s="1"/>
  <c r="B1056" i="1" a="1"/>
  <c r="B1056" i="1" s="1"/>
  <c r="B1057" i="1" a="1"/>
  <c r="B1057" i="1" s="1"/>
  <c r="B1058" i="1" a="1"/>
  <c r="B1058" i="1" s="1"/>
  <c r="B1059" i="1" a="1"/>
  <c r="B1059" i="1" s="1"/>
  <c r="B1060" i="1" a="1"/>
  <c r="B1060" i="1" s="1"/>
  <c r="B1061" i="1" a="1"/>
  <c r="B1061" i="1" s="1"/>
  <c r="B1062" i="1" a="1"/>
  <c r="B1062" i="1" s="1"/>
  <c r="B1063" i="1" a="1"/>
  <c r="B1063" i="1" s="1"/>
  <c r="B1064" i="1" a="1"/>
  <c r="B1064" i="1" s="1"/>
  <c r="B1065" i="1" a="1"/>
  <c r="B1065" i="1" s="1"/>
  <c r="B1066" i="1" a="1"/>
  <c r="B1066" i="1" s="1"/>
  <c r="B1067" i="1" a="1"/>
  <c r="B1067" i="1" s="1"/>
  <c r="B1068" i="1" a="1"/>
  <c r="B1068" i="1" s="1"/>
  <c r="B1069" i="1" a="1"/>
  <c r="B1069" i="1" s="1"/>
  <c r="B1070" i="1" a="1"/>
  <c r="B1070" i="1" s="1"/>
  <c r="B1071" i="1" a="1"/>
  <c r="B1071" i="1" s="1"/>
  <c r="B1072" i="1" a="1"/>
  <c r="B1072" i="1" s="1"/>
  <c r="B1073" i="1" a="1"/>
  <c r="B1073" i="1" s="1"/>
  <c r="B1074" i="1" a="1"/>
  <c r="B1074" i="1" s="1"/>
  <c r="B1075" i="1" a="1"/>
  <c r="B1075" i="1" s="1"/>
  <c r="B1076" i="1" a="1"/>
  <c r="B1076" i="1" s="1"/>
  <c r="B1077" i="1" a="1"/>
  <c r="B1077" i="1" s="1"/>
  <c r="B1078" i="1" a="1"/>
  <c r="B1078" i="1" s="1"/>
  <c r="B1079" i="1" a="1"/>
  <c r="B1079" i="1" s="1"/>
  <c r="B2" i="1" a="1"/>
  <c r="B2" i="1" s="1"/>
  <c r="D2" i="1" a="1"/>
  <c r="D2" i="1" s="1"/>
  <c r="C2" i="1" a="1"/>
  <c r="C2" i="1" s="1"/>
  <c r="C3" i="1" a="1"/>
  <c r="C3" i="1" s="1"/>
  <c r="C4" i="1" a="1"/>
  <c r="C4" i="1" s="1"/>
  <c r="C5" i="1" a="1"/>
  <c r="C5" i="1" s="1"/>
  <c r="C6" i="1" a="1"/>
  <c r="C6" i="1" s="1"/>
  <c r="C7" i="1" a="1"/>
  <c r="C7" i="1" s="1"/>
  <c r="C8" i="1" a="1"/>
  <c r="C8" i="1" s="1"/>
  <c r="C9" i="1" a="1"/>
  <c r="C9" i="1" s="1"/>
  <c r="C10" i="1" a="1"/>
  <c r="C10" i="1" s="1"/>
  <c r="C11" i="1" a="1"/>
  <c r="C11" i="1" s="1"/>
  <c r="C12" i="1" a="1"/>
  <c r="C12" i="1" s="1"/>
  <c r="C13" i="1" a="1"/>
  <c r="C13" i="1" s="1"/>
  <c r="C14" i="1" a="1"/>
  <c r="C14" i="1" s="1"/>
  <c r="C15" i="1" a="1"/>
  <c r="C15" i="1" s="1"/>
  <c r="C16" i="1" a="1"/>
  <c r="C16" i="1" s="1"/>
  <c r="C17" i="1" a="1"/>
  <c r="C17" i="1" s="1"/>
  <c r="C18" i="1" a="1"/>
  <c r="C18" i="1" s="1"/>
  <c r="C19" i="1" a="1"/>
  <c r="C19" i="1" s="1"/>
  <c r="C20" i="1" a="1"/>
  <c r="C20" i="1" s="1"/>
  <c r="C21" i="1" a="1"/>
  <c r="C21" i="1" s="1"/>
  <c r="C22" i="1" a="1"/>
  <c r="C22" i="1" s="1"/>
  <c r="C23" i="1" a="1"/>
  <c r="C23" i="1" s="1"/>
  <c r="C24" i="1" a="1"/>
  <c r="C24" i="1" s="1"/>
  <c r="C25" i="1" a="1"/>
  <c r="C25" i="1" s="1"/>
  <c r="C26" i="1" a="1"/>
  <c r="C26" i="1" s="1"/>
  <c r="C27" i="1" a="1"/>
  <c r="C27" i="1" s="1"/>
  <c r="C28" i="1" a="1"/>
  <c r="C28" i="1" s="1"/>
  <c r="C29" i="1" a="1"/>
  <c r="C29" i="1" s="1"/>
  <c r="C30" i="1" a="1"/>
  <c r="C30" i="1" s="1"/>
  <c r="C31" i="1" a="1"/>
  <c r="C31" i="1" s="1"/>
  <c r="C32" i="1" a="1"/>
  <c r="C32" i="1" s="1"/>
  <c r="C33" i="1" a="1"/>
  <c r="C33" i="1" s="1"/>
  <c r="C34" i="1" a="1"/>
  <c r="C34" i="1" s="1"/>
  <c r="C35" i="1" a="1"/>
  <c r="C35" i="1" s="1"/>
  <c r="C36" i="1" a="1"/>
  <c r="C36" i="1" s="1"/>
  <c r="C37" i="1" a="1"/>
  <c r="C37" i="1" s="1"/>
  <c r="C38" i="1" a="1"/>
  <c r="C38" i="1" s="1"/>
  <c r="C39" i="1" a="1"/>
  <c r="C39" i="1" s="1"/>
  <c r="C40" i="1" a="1"/>
  <c r="C40" i="1" s="1"/>
  <c r="C41" i="1" a="1"/>
  <c r="C41" i="1" s="1"/>
  <c r="C42" i="1" a="1"/>
  <c r="C42" i="1" s="1"/>
  <c r="C43" i="1" a="1"/>
  <c r="C43" i="1" s="1"/>
  <c r="C44" i="1" a="1"/>
  <c r="C44" i="1" s="1"/>
  <c r="C45" i="1" a="1"/>
  <c r="C45" i="1" s="1"/>
  <c r="C46" i="1" a="1"/>
  <c r="C46" i="1" s="1"/>
  <c r="C47" i="1" a="1"/>
  <c r="C47" i="1" s="1"/>
  <c r="C48" i="1" a="1"/>
  <c r="C48" i="1" s="1"/>
  <c r="C49" i="1" a="1"/>
  <c r="C49" i="1" s="1"/>
  <c r="C50" i="1" a="1"/>
  <c r="C50" i="1" s="1"/>
  <c r="C51" i="1" a="1"/>
  <c r="C51" i="1" s="1"/>
  <c r="C52" i="1" a="1"/>
  <c r="C52" i="1" s="1"/>
  <c r="C53" i="1" a="1"/>
  <c r="C53" i="1" s="1"/>
  <c r="C54" i="1" a="1"/>
  <c r="C54" i="1" s="1"/>
  <c r="C55" i="1" a="1"/>
  <c r="C55" i="1" s="1"/>
  <c r="C56" i="1" a="1"/>
  <c r="C56" i="1" s="1"/>
  <c r="C57" i="1" a="1"/>
  <c r="C57" i="1" s="1"/>
  <c r="C58" i="1" a="1"/>
  <c r="C58" i="1" s="1"/>
  <c r="C59" i="1" a="1"/>
  <c r="C59" i="1" s="1"/>
  <c r="C60" i="1" a="1"/>
  <c r="C60" i="1" s="1"/>
  <c r="C61" i="1" a="1"/>
  <c r="C61" i="1" s="1"/>
  <c r="C62" i="1" a="1"/>
  <c r="C62" i="1" s="1"/>
  <c r="C63" i="1" a="1"/>
  <c r="C63" i="1" s="1"/>
  <c r="C64" i="1" a="1"/>
  <c r="C64" i="1" s="1"/>
  <c r="C65" i="1" a="1"/>
  <c r="C65" i="1" s="1"/>
  <c r="C66" i="1" a="1"/>
  <c r="C66" i="1" s="1"/>
  <c r="C67" i="1" a="1"/>
  <c r="C67" i="1" s="1"/>
  <c r="C68" i="1" a="1"/>
  <c r="C68" i="1" s="1"/>
  <c r="C69" i="1" a="1"/>
  <c r="C69" i="1" s="1"/>
  <c r="C70" i="1" a="1"/>
  <c r="C70" i="1" s="1"/>
  <c r="C71" i="1" a="1"/>
  <c r="C71" i="1" s="1"/>
  <c r="C72" i="1" a="1"/>
  <c r="C72" i="1" s="1"/>
  <c r="C73" i="1" a="1"/>
  <c r="C73" i="1" s="1"/>
  <c r="C74" i="1" a="1"/>
  <c r="C74" i="1" s="1"/>
  <c r="C75" i="1" a="1"/>
  <c r="C75" i="1" s="1"/>
  <c r="C76" i="1" a="1"/>
  <c r="C76" i="1" s="1"/>
  <c r="C77" i="1" a="1"/>
  <c r="C77" i="1" s="1"/>
  <c r="C78" i="1" a="1"/>
  <c r="C78" i="1" s="1"/>
  <c r="C79" i="1" a="1"/>
  <c r="C79" i="1" s="1"/>
  <c r="C80" i="1" a="1"/>
  <c r="C80" i="1" s="1"/>
  <c r="C81" i="1" a="1"/>
  <c r="C81" i="1" s="1"/>
  <c r="C82" i="1" a="1"/>
  <c r="C82" i="1"/>
  <c r="C83" i="1" a="1"/>
  <c r="C83" i="1" s="1"/>
  <c r="C84" i="1" a="1"/>
  <c r="C84" i="1" s="1"/>
  <c r="C85" i="1" a="1"/>
  <c r="C85" i="1" s="1"/>
  <c r="C86" i="1" a="1"/>
  <c r="C86" i="1" s="1"/>
  <c r="C87" i="1" a="1"/>
  <c r="C87" i="1" s="1"/>
  <c r="C88" i="1" a="1"/>
  <c r="C88" i="1" s="1"/>
  <c r="C89" i="1" a="1"/>
  <c r="C89" i="1" s="1"/>
  <c r="C90" i="1" a="1"/>
  <c r="C90" i="1" s="1"/>
  <c r="C91" i="1" a="1"/>
  <c r="C91" i="1" s="1"/>
  <c r="C92" i="1" a="1"/>
  <c r="C92" i="1" s="1"/>
  <c r="C93" i="1" a="1"/>
  <c r="C93" i="1" s="1"/>
  <c r="C94" i="1" a="1"/>
  <c r="C94" i="1" s="1"/>
  <c r="C95" i="1" a="1"/>
  <c r="C95" i="1" s="1"/>
  <c r="C96" i="1" a="1"/>
  <c r="C96" i="1" s="1"/>
  <c r="C97" i="1" a="1"/>
  <c r="C97" i="1" s="1"/>
  <c r="C98" i="1" a="1"/>
  <c r="C98" i="1" s="1"/>
  <c r="C99" i="1" a="1"/>
  <c r="C99" i="1" s="1"/>
  <c r="C100" i="1" a="1"/>
  <c r="C100" i="1" s="1"/>
  <c r="C101" i="1" a="1"/>
  <c r="C101" i="1" s="1"/>
  <c r="C102" i="1" a="1"/>
  <c r="C102" i="1" s="1"/>
  <c r="C103" i="1" a="1"/>
  <c r="C103" i="1" s="1"/>
  <c r="C104" i="1" a="1"/>
  <c r="C104" i="1" s="1"/>
  <c r="C105" i="1" a="1"/>
  <c r="C105" i="1" s="1"/>
  <c r="C106" i="1" a="1"/>
  <c r="C106" i="1" s="1"/>
  <c r="C107" i="1" a="1"/>
  <c r="C107" i="1" s="1"/>
  <c r="C108" i="1" a="1"/>
  <c r="C108" i="1" s="1"/>
  <c r="C109" i="1" a="1"/>
  <c r="C109" i="1" s="1"/>
  <c r="C110" i="1" a="1"/>
  <c r="C110" i="1" s="1"/>
  <c r="C111" i="1" a="1"/>
  <c r="C111" i="1" s="1"/>
  <c r="C112" i="1" a="1"/>
  <c r="C112" i="1" s="1"/>
  <c r="C113" i="1" a="1"/>
  <c r="C113" i="1" s="1"/>
  <c r="C114" i="1" a="1"/>
  <c r="C114" i="1" s="1"/>
  <c r="C115" i="1" a="1"/>
  <c r="C115" i="1" s="1"/>
  <c r="C116" i="1" a="1"/>
  <c r="C116" i="1" s="1"/>
  <c r="C117" i="1" a="1"/>
  <c r="C117" i="1" s="1"/>
  <c r="C118" i="1" a="1"/>
  <c r="C118" i="1" s="1"/>
  <c r="C119" i="1" a="1"/>
  <c r="C119" i="1" s="1"/>
  <c r="C120" i="1" a="1"/>
  <c r="C120" i="1" s="1"/>
  <c r="C121" i="1" a="1"/>
  <c r="C121" i="1" s="1"/>
  <c r="C122" i="1" a="1"/>
  <c r="C122" i="1" s="1"/>
  <c r="C123" i="1" a="1"/>
  <c r="C123" i="1" s="1"/>
  <c r="C124" i="1" a="1"/>
  <c r="C124" i="1" s="1"/>
  <c r="C125" i="1" a="1"/>
  <c r="C125" i="1" s="1"/>
  <c r="C126" i="1" a="1"/>
  <c r="C126" i="1" s="1"/>
  <c r="C127" i="1" a="1"/>
  <c r="C127" i="1" s="1"/>
  <c r="C128" i="1" a="1"/>
  <c r="C128" i="1" s="1"/>
  <c r="C129" i="1" a="1"/>
  <c r="C129" i="1" s="1"/>
  <c r="C130" i="1" a="1"/>
  <c r="C130" i="1" s="1"/>
  <c r="C131" i="1" a="1"/>
  <c r="C131" i="1" s="1"/>
  <c r="C132" i="1" a="1"/>
  <c r="C132" i="1" s="1"/>
  <c r="C133" i="1" a="1"/>
  <c r="C133" i="1" s="1"/>
  <c r="C134" i="1" a="1"/>
  <c r="C134" i="1" s="1"/>
  <c r="C135" i="1" a="1"/>
  <c r="C135" i="1" s="1"/>
  <c r="C136" i="1" a="1"/>
  <c r="C136" i="1" s="1"/>
  <c r="C137" i="1" a="1"/>
  <c r="C137" i="1" s="1"/>
  <c r="C138" i="1" a="1"/>
  <c r="C138" i="1" s="1"/>
  <c r="C139" i="1" a="1"/>
  <c r="C139" i="1" s="1"/>
  <c r="C140" i="1" a="1"/>
  <c r="C140" i="1" s="1"/>
  <c r="C141" i="1" a="1"/>
  <c r="C141" i="1" s="1"/>
  <c r="C142" i="1" a="1"/>
  <c r="C142" i="1" s="1"/>
  <c r="C143" i="1" a="1"/>
  <c r="C143" i="1" s="1"/>
  <c r="C144" i="1" a="1"/>
  <c r="C144" i="1" s="1"/>
  <c r="C145" i="1" a="1"/>
  <c r="C145" i="1" s="1"/>
  <c r="C146" i="1" a="1"/>
  <c r="C146" i="1" s="1"/>
  <c r="C147" i="1" a="1"/>
  <c r="C147" i="1" s="1"/>
  <c r="C148" i="1" a="1"/>
  <c r="C148" i="1" s="1"/>
  <c r="C149" i="1" a="1"/>
  <c r="C149" i="1" s="1"/>
  <c r="C150" i="1" a="1"/>
  <c r="C150" i="1" s="1"/>
  <c r="C151" i="1" a="1"/>
  <c r="C151" i="1" s="1"/>
  <c r="C152" i="1" a="1"/>
  <c r="C152" i="1" s="1"/>
  <c r="C153" i="1" a="1"/>
  <c r="C153" i="1" s="1"/>
  <c r="C154" i="1" a="1"/>
  <c r="C154" i="1" s="1"/>
  <c r="C155" i="1" a="1"/>
  <c r="C155" i="1" s="1"/>
  <c r="C156" i="1" a="1"/>
  <c r="C156" i="1" s="1"/>
  <c r="C157" i="1" a="1"/>
  <c r="C157" i="1" s="1"/>
  <c r="C158" i="1" a="1"/>
  <c r="C158" i="1" s="1"/>
  <c r="C159" i="1" a="1"/>
  <c r="C159" i="1" s="1"/>
  <c r="C160" i="1" a="1"/>
  <c r="C160" i="1" s="1"/>
  <c r="C161" i="1" a="1"/>
  <c r="C161" i="1" s="1"/>
  <c r="C162" i="1" a="1"/>
  <c r="C162" i="1" s="1"/>
  <c r="C163" i="1" a="1"/>
  <c r="C163" i="1" s="1"/>
  <c r="C164" i="1" a="1"/>
  <c r="C164" i="1" s="1"/>
  <c r="C165" i="1" a="1"/>
  <c r="C165" i="1" s="1"/>
  <c r="C166" i="1" a="1"/>
  <c r="C166" i="1" s="1"/>
  <c r="C167" i="1" a="1"/>
  <c r="C167" i="1" s="1"/>
  <c r="C168" i="1" a="1"/>
  <c r="C168" i="1" s="1"/>
  <c r="C169" i="1" a="1"/>
  <c r="C169" i="1" s="1"/>
  <c r="C170" i="1" a="1"/>
  <c r="C170" i="1" s="1"/>
  <c r="C171" i="1" a="1"/>
  <c r="C171" i="1" s="1"/>
  <c r="C172" i="1" a="1"/>
  <c r="C172" i="1" s="1"/>
  <c r="C173" i="1" a="1"/>
  <c r="C173" i="1" s="1"/>
  <c r="C174" i="1" a="1"/>
  <c r="C174" i="1" s="1"/>
  <c r="C175" i="1" a="1"/>
  <c r="C175" i="1" s="1"/>
  <c r="C176" i="1" a="1"/>
  <c r="C176" i="1" s="1"/>
  <c r="C177" i="1" a="1"/>
  <c r="C177" i="1" s="1"/>
  <c r="C178" i="1" a="1"/>
  <c r="C178" i="1"/>
  <c r="C179" i="1" a="1"/>
  <c r="C179" i="1" s="1"/>
  <c r="C180" i="1" a="1"/>
  <c r="C180" i="1" s="1"/>
  <c r="C181" i="1" a="1"/>
  <c r="C181" i="1" s="1"/>
  <c r="C182" i="1" a="1"/>
  <c r="C182" i="1" s="1"/>
  <c r="C183" i="1" a="1"/>
  <c r="C183" i="1" s="1"/>
  <c r="C184" i="1" a="1"/>
  <c r="C184" i="1" s="1"/>
  <c r="C185" i="1" a="1"/>
  <c r="C185" i="1" s="1"/>
  <c r="C186" i="1" a="1"/>
  <c r="C186" i="1" s="1"/>
  <c r="C187" i="1" a="1"/>
  <c r="C187" i="1" s="1"/>
  <c r="C188" i="1" a="1"/>
  <c r="C188" i="1" s="1"/>
  <c r="C189" i="1" a="1"/>
  <c r="C189" i="1" s="1"/>
  <c r="C190" i="1" a="1"/>
  <c r="C190" i="1" s="1"/>
  <c r="C191" i="1" a="1"/>
  <c r="C191" i="1" s="1"/>
  <c r="C192" i="1" a="1"/>
  <c r="C192" i="1" s="1"/>
  <c r="C193" i="1" a="1"/>
  <c r="C193" i="1" s="1"/>
  <c r="C194" i="1" a="1"/>
  <c r="C194" i="1" s="1"/>
  <c r="C195" i="1" a="1"/>
  <c r="C195" i="1" s="1"/>
  <c r="C196" i="1" a="1"/>
  <c r="C196" i="1" s="1"/>
  <c r="C197" i="1" a="1"/>
  <c r="C197" i="1" s="1"/>
  <c r="C198" i="1" a="1"/>
  <c r="C198" i="1" s="1"/>
  <c r="C199" i="1" a="1"/>
  <c r="C199" i="1" s="1"/>
  <c r="C200" i="1" a="1"/>
  <c r="C200" i="1" s="1"/>
  <c r="C201" i="1" a="1"/>
  <c r="C201" i="1" s="1"/>
  <c r="C202" i="1" a="1"/>
  <c r="C202" i="1" s="1"/>
  <c r="C203" i="1" a="1"/>
  <c r="C203" i="1" s="1"/>
  <c r="C204" i="1" a="1"/>
  <c r="C204" i="1" s="1"/>
  <c r="C205" i="1" a="1"/>
  <c r="C205" i="1" s="1"/>
  <c r="C206" i="1" a="1"/>
  <c r="C206" i="1" s="1"/>
  <c r="C207" i="1" a="1"/>
  <c r="C207" i="1" s="1"/>
  <c r="C208" i="1" a="1"/>
  <c r="C208" i="1" s="1"/>
  <c r="C209" i="1" a="1"/>
  <c r="C209" i="1" s="1"/>
  <c r="C210" i="1" a="1"/>
  <c r="C210" i="1" s="1"/>
  <c r="C211" i="1" a="1"/>
  <c r="C211" i="1" s="1"/>
  <c r="C212" i="1" a="1"/>
  <c r="C212" i="1" s="1"/>
  <c r="C213" i="1" a="1"/>
  <c r="C213" i="1" s="1"/>
  <c r="C214" i="1" a="1"/>
  <c r="C214" i="1" s="1"/>
  <c r="C215" i="1" a="1"/>
  <c r="C215" i="1" s="1"/>
  <c r="C216" i="1" a="1"/>
  <c r="C216" i="1" s="1"/>
  <c r="C217" i="1" a="1"/>
  <c r="C217" i="1" s="1"/>
  <c r="C218" i="1" a="1"/>
  <c r="C218" i="1" s="1"/>
  <c r="C219" i="1" a="1"/>
  <c r="C219" i="1" s="1"/>
  <c r="C220" i="1" a="1"/>
  <c r="C220" i="1" s="1"/>
  <c r="C221" i="1" a="1"/>
  <c r="C221" i="1" s="1"/>
  <c r="C222" i="1" a="1"/>
  <c r="C222" i="1" s="1"/>
  <c r="C223" i="1" a="1"/>
  <c r="C223" i="1" s="1"/>
  <c r="C224" i="1" a="1"/>
  <c r="C224" i="1" s="1"/>
  <c r="C225" i="1" a="1"/>
  <c r="C225" i="1" s="1"/>
  <c r="C226" i="1" a="1"/>
  <c r="C226" i="1" s="1"/>
  <c r="C227" i="1" a="1"/>
  <c r="C227" i="1" s="1"/>
  <c r="C228" i="1" a="1"/>
  <c r="C228" i="1" s="1"/>
  <c r="C229" i="1" a="1"/>
  <c r="C229" i="1" s="1"/>
  <c r="C230" i="1" a="1"/>
  <c r="C230" i="1" s="1"/>
  <c r="C231" i="1" a="1"/>
  <c r="C231" i="1" s="1"/>
  <c r="C232" i="1" a="1"/>
  <c r="C232" i="1" s="1"/>
  <c r="C233" i="1" a="1"/>
  <c r="C233" i="1" s="1"/>
  <c r="C234" i="1" a="1"/>
  <c r="C234" i="1" s="1"/>
  <c r="C235" i="1" a="1"/>
  <c r="C235" i="1" s="1"/>
  <c r="C236" i="1" a="1"/>
  <c r="C236" i="1" s="1"/>
  <c r="C237" i="1" a="1"/>
  <c r="C237" i="1" s="1"/>
  <c r="C238" i="1" a="1"/>
  <c r="C238" i="1" s="1"/>
  <c r="C239" i="1" a="1"/>
  <c r="C239" i="1" s="1"/>
  <c r="C240" i="1" a="1"/>
  <c r="C240" i="1" s="1"/>
  <c r="C241" i="1" a="1"/>
  <c r="C241" i="1" s="1"/>
  <c r="C242" i="1" a="1"/>
  <c r="C242" i="1" s="1"/>
  <c r="C243" i="1" a="1"/>
  <c r="C243" i="1" s="1"/>
  <c r="C244" i="1" a="1"/>
  <c r="C244" i="1" s="1"/>
  <c r="C245" i="1" a="1"/>
  <c r="C245" i="1" s="1"/>
  <c r="C246" i="1" a="1"/>
  <c r="C246" i="1" s="1"/>
  <c r="C247" i="1" a="1"/>
  <c r="C247" i="1" s="1"/>
  <c r="C248" i="1" a="1"/>
  <c r="C248" i="1" s="1"/>
  <c r="C249" i="1" a="1"/>
  <c r="C249" i="1" s="1"/>
  <c r="C250" i="1" a="1"/>
  <c r="C250" i="1" s="1"/>
  <c r="C251" i="1" a="1"/>
  <c r="C251" i="1" s="1"/>
  <c r="C252" i="1" a="1"/>
  <c r="C252" i="1" s="1"/>
  <c r="C253" i="1" a="1"/>
  <c r="C253" i="1" s="1"/>
  <c r="C254" i="1" a="1"/>
  <c r="C254" i="1" s="1"/>
  <c r="C255" i="1" a="1"/>
  <c r="C255" i="1" s="1"/>
  <c r="C256" i="1" a="1"/>
  <c r="C256" i="1" s="1"/>
  <c r="C257" i="1" a="1"/>
  <c r="C257" i="1" s="1"/>
  <c r="C258" i="1" a="1"/>
  <c r="C258" i="1" s="1"/>
  <c r="C259" i="1" a="1"/>
  <c r="C259" i="1" s="1"/>
  <c r="C260" i="1" a="1"/>
  <c r="C260" i="1" s="1"/>
  <c r="C261" i="1" a="1"/>
  <c r="C261" i="1" s="1"/>
  <c r="C262" i="1" a="1"/>
  <c r="C262" i="1" s="1"/>
  <c r="C263" i="1" a="1"/>
  <c r="C263" i="1" s="1"/>
  <c r="C264" i="1" a="1"/>
  <c r="C264" i="1" s="1"/>
  <c r="C265" i="1" a="1"/>
  <c r="C265" i="1" s="1"/>
  <c r="C266" i="1" a="1"/>
  <c r="C266" i="1" s="1"/>
  <c r="C267" i="1" a="1"/>
  <c r="C267" i="1" s="1"/>
  <c r="C268" i="1" a="1"/>
  <c r="C268" i="1" s="1"/>
  <c r="C269" i="1" a="1"/>
  <c r="C269" i="1" s="1"/>
  <c r="C270" i="1" a="1"/>
  <c r="C270" i="1" s="1"/>
  <c r="C271" i="1" a="1"/>
  <c r="C271" i="1" s="1"/>
  <c r="C272" i="1" a="1"/>
  <c r="C272" i="1" s="1"/>
  <c r="C273" i="1" a="1"/>
  <c r="C273" i="1" s="1"/>
  <c r="C274" i="1" a="1"/>
  <c r="C274" i="1" s="1"/>
  <c r="C275" i="1" a="1"/>
  <c r="C275" i="1" s="1"/>
  <c r="C276" i="1" a="1"/>
  <c r="C276" i="1" s="1"/>
  <c r="C277" i="1" a="1"/>
  <c r="C277" i="1" s="1"/>
  <c r="C278" i="1" a="1"/>
  <c r="C278" i="1" s="1"/>
  <c r="C279" i="1" a="1"/>
  <c r="C279" i="1" s="1"/>
  <c r="C280" i="1" a="1"/>
  <c r="C280" i="1" s="1"/>
  <c r="C281" i="1" a="1"/>
  <c r="C281" i="1" s="1"/>
  <c r="C282" i="1" a="1"/>
  <c r="C282" i="1" s="1"/>
  <c r="C283" i="1" a="1"/>
  <c r="C283" i="1" s="1"/>
  <c r="C284" i="1" a="1"/>
  <c r="C284" i="1" s="1"/>
  <c r="C285" i="1" a="1"/>
  <c r="C285" i="1" s="1"/>
  <c r="C286" i="1" a="1"/>
  <c r="C286" i="1"/>
  <c r="C287" i="1" a="1"/>
  <c r="C287" i="1" s="1"/>
  <c r="C288" i="1" a="1"/>
  <c r="C288" i="1" s="1"/>
  <c r="C289" i="1" a="1"/>
  <c r="C289" i="1" s="1"/>
  <c r="C290" i="1" a="1"/>
  <c r="C290" i="1" s="1"/>
  <c r="C291" i="1" a="1"/>
  <c r="C291" i="1" s="1"/>
  <c r="C292" i="1" a="1"/>
  <c r="C292" i="1" s="1"/>
  <c r="C293" i="1" a="1"/>
  <c r="C293" i="1" s="1"/>
  <c r="C294" i="1" a="1"/>
  <c r="C294" i="1" s="1"/>
  <c r="C295" i="1" a="1"/>
  <c r="C295" i="1" s="1"/>
  <c r="C296" i="1" a="1"/>
  <c r="C296" i="1" s="1"/>
  <c r="C297" i="1" a="1"/>
  <c r="C297" i="1" s="1"/>
  <c r="C298" i="1" a="1"/>
  <c r="C298" i="1" s="1"/>
  <c r="C299" i="1" a="1"/>
  <c r="C299" i="1" s="1"/>
  <c r="C300" i="1" a="1"/>
  <c r="C300" i="1" s="1"/>
  <c r="C301" i="1" a="1"/>
  <c r="C301" i="1" s="1"/>
  <c r="C302" i="1" a="1"/>
  <c r="C302" i="1" s="1"/>
  <c r="C303" i="1" a="1"/>
  <c r="C303" i="1" s="1"/>
  <c r="C304" i="1" a="1"/>
  <c r="C304" i="1" s="1"/>
  <c r="C305" i="1" a="1"/>
  <c r="C305" i="1" s="1"/>
  <c r="C306" i="1" a="1"/>
  <c r="C306" i="1" s="1"/>
  <c r="C307" i="1" a="1"/>
  <c r="C307" i="1" s="1"/>
  <c r="C308" i="1" a="1"/>
  <c r="C308" i="1" s="1"/>
  <c r="C309" i="1" a="1"/>
  <c r="C309" i="1" s="1"/>
  <c r="C310" i="1" a="1"/>
  <c r="C310" i="1" s="1"/>
  <c r="C311" i="1" a="1"/>
  <c r="C311" i="1" s="1"/>
  <c r="C312" i="1" a="1"/>
  <c r="C312" i="1" s="1"/>
  <c r="C313" i="1" a="1"/>
  <c r="C313" i="1" s="1"/>
  <c r="C314" i="1" a="1"/>
  <c r="C314" i="1" s="1"/>
  <c r="C315" i="1" a="1"/>
  <c r="C315" i="1" s="1"/>
  <c r="C316" i="1" a="1"/>
  <c r="C316" i="1" s="1"/>
  <c r="C317" i="1" a="1"/>
  <c r="C317" i="1" s="1"/>
  <c r="C318" i="1" a="1"/>
  <c r="C318" i="1" s="1"/>
  <c r="C319" i="1" a="1"/>
  <c r="C319" i="1" s="1"/>
  <c r="C320" i="1" a="1"/>
  <c r="C320" i="1" s="1"/>
  <c r="C321" i="1" a="1"/>
  <c r="C321" i="1" s="1"/>
  <c r="C322" i="1" a="1"/>
  <c r="C322" i="1"/>
  <c r="C323" i="1" a="1"/>
  <c r="C323" i="1" s="1"/>
  <c r="C324" i="1" a="1"/>
  <c r="C324" i="1" s="1"/>
  <c r="C325" i="1" a="1"/>
  <c r="C325" i="1" s="1"/>
  <c r="C326" i="1" a="1"/>
  <c r="C326" i="1" s="1"/>
  <c r="C327" i="1" a="1"/>
  <c r="C327" i="1" s="1"/>
  <c r="C328" i="1" a="1"/>
  <c r="C328" i="1" s="1"/>
  <c r="C329" i="1" a="1"/>
  <c r="C329" i="1" s="1"/>
  <c r="C330" i="1" a="1"/>
  <c r="C330" i="1" s="1"/>
  <c r="C331" i="1" a="1"/>
  <c r="C331" i="1" s="1"/>
  <c r="C332" i="1" a="1"/>
  <c r="C332" i="1" s="1"/>
  <c r="C333" i="1" a="1"/>
  <c r="C333" i="1" s="1"/>
  <c r="C334" i="1" a="1"/>
  <c r="C334" i="1" s="1"/>
  <c r="C335" i="1" a="1"/>
  <c r="C335" i="1" s="1"/>
  <c r="C336" i="1" a="1"/>
  <c r="C336" i="1" s="1"/>
  <c r="C337" i="1" a="1"/>
  <c r="C337" i="1" s="1"/>
  <c r="C338" i="1" a="1"/>
  <c r="C338" i="1" s="1"/>
  <c r="C339" i="1" a="1"/>
  <c r="C339" i="1" s="1"/>
  <c r="C340" i="1" a="1"/>
  <c r="C340" i="1" s="1"/>
  <c r="C341" i="1" a="1"/>
  <c r="C341" i="1" s="1"/>
  <c r="C342" i="1" a="1"/>
  <c r="C342" i="1" s="1"/>
  <c r="C343" i="1" a="1"/>
  <c r="C343" i="1" s="1"/>
  <c r="C344" i="1" a="1"/>
  <c r="C344" i="1" s="1"/>
  <c r="C345" i="1" a="1"/>
  <c r="C345" i="1" s="1"/>
  <c r="C346" i="1" a="1"/>
  <c r="C346" i="1" s="1"/>
  <c r="C347" i="1" a="1"/>
  <c r="C347" i="1" s="1"/>
  <c r="C348" i="1" a="1"/>
  <c r="C348" i="1" s="1"/>
  <c r="C349" i="1" a="1"/>
  <c r="C349" i="1" s="1"/>
  <c r="C350" i="1" a="1"/>
  <c r="C350" i="1" s="1"/>
  <c r="C351" i="1" a="1"/>
  <c r="C351" i="1" s="1"/>
  <c r="C352" i="1" a="1"/>
  <c r="C352" i="1" s="1"/>
  <c r="C353" i="1" a="1"/>
  <c r="C353" i="1" s="1"/>
  <c r="C354" i="1" a="1"/>
  <c r="C354" i="1" s="1"/>
  <c r="C355" i="1" a="1"/>
  <c r="C355" i="1" s="1"/>
  <c r="C356" i="1" a="1"/>
  <c r="C356" i="1" s="1"/>
  <c r="C357" i="1" a="1"/>
  <c r="C357" i="1" s="1"/>
  <c r="C358" i="1" a="1"/>
  <c r="C358" i="1" s="1"/>
  <c r="C359" i="1" a="1"/>
  <c r="C359" i="1" s="1"/>
  <c r="C360" i="1" a="1"/>
  <c r="C360" i="1" s="1"/>
  <c r="C361" i="1" a="1"/>
  <c r="C361" i="1" s="1"/>
  <c r="C362" i="1" a="1"/>
  <c r="C362" i="1" s="1"/>
  <c r="C363" i="1" a="1"/>
  <c r="C363" i="1" s="1"/>
  <c r="C364" i="1" a="1"/>
  <c r="C364" i="1" s="1"/>
  <c r="C365" i="1" a="1"/>
  <c r="C365" i="1" s="1"/>
  <c r="C366" i="1" a="1"/>
  <c r="C366" i="1" s="1"/>
  <c r="C367" i="1" a="1"/>
  <c r="C367" i="1" s="1"/>
  <c r="C368" i="1" a="1"/>
  <c r="C368" i="1" s="1"/>
  <c r="C369" i="1" a="1"/>
  <c r="C369" i="1" s="1"/>
  <c r="C370" i="1" a="1"/>
  <c r="C370" i="1" s="1"/>
  <c r="C371" i="1" a="1"/>
  <c r="C371" i="1" s="1"/>
  <c r="C372" i="1" a="1"/>
  <c r="C372" i="1" s="1"/>
  <c r="C373" i="1" a="1"/>
  <c r="C373" i="1" s="1"/>
  <c r="C374" i="1" a="1"/>
  <c r="C374" i="1" s="1"/>
  <c r="C375" i="1" a="1"/>
  <c r="C375" i="1" s="1"/>
  <c r="C376" i="1" a="1"/>
  <c r="C376" i="1" s="1"/>
  <c r="C377" i="1" a="1"/>
  <c r="C377" i="1" s="1"/>
  <c r="C378" i="1" a="1"/>
  <c r="C378" i="1" s="1"/>
  <c r="C379" i="1" a="1"/>
  <c r="C379" i="1" s="1"/>
  <c r="C380" i="1" a="1"/>
  <c r="C380" i="1" s="1"/>
  <c r="C381" i="1" a="1"/>
  <c r="C381" i="1" s="1"/>
  <c r="C382" i="1" a="1"/>
  <c r="C382" i="1" s="1"/>
  <c r="C383" i="1" a="1"/>
  <c r="C383" i="1" s="1"/>
  <c r="C384" i="1" a="1"/>
  <c r="C384" i="1" s="1"/>
  <c r="C385" i="1" a="1"/>
  <c r="C385" i="1" s="1"/>
  <c r="C386" i="1" a="1"/>
  <c r="C386" i="1" s="1"/>
  <c r="C387" i="1" a="1"/>
  <c r="C387" i="1" s="1"/>
  <c r="C388" i="1" a="1"/>
  <c r="C388" i="1" s="1"/>
  <c r="C389" i="1" a="1"/>
  <c r="C389" i="1" s="1"/>
  <c r="C390" i="1" a="1"/>
  <c r="C390" i="1" s="1"/>
  <c r="C391" i="1" a="1"/>
  <c r="C391" i="1" s="1"/>
  <c r="C392" i="1" a="1"/>
  <c r="C392" i="1" s="1"/>
  <c r="C393" i="1" a="1"/>
  <c r="C393" i="1" s="1"/>
  <c r="C394" i="1" a="1"/>
  <c r="C394" i="1" s="1"/>
  <c r="C395" i="1" a="1"/>
  <c r="C395" i="1" s="1"/>
  <c r="C396" i="1" a="1"/>
  <c r="C396" i="1" s="1"/>
  <c r="C397" i="1" a="1"/>
  <c r="C397" i="1" s="1"/>
  <c r="C398" i="1" a="1"/>
  <c r="C398" i="1" s="1"/>
  <c r="C399" i="1" a="1"/>
  <c r="C399" i="1" s="1"/>
  <c r="C400" i="1" a="1"/>
  <c r="C400" i="1" s="1"/>
  <c r="C401" i="1" a="1"/>
  <c r="C401" i="1" s="1"/>
  <c r="C402" i="1" a="1"/>
  <c r="C402" i="1" s="1"/>
  <c r="C403" i="1" a="1"/>
  <c r="C403" i="1" s="1"/>
  <c r="C404" i="1" a="1"/>
  <c r="C404" i="1" s="1"/>
  <c r="C405" i="1" a="1"/>
  <c r="C405" i="1" s="1"/>
  <c r="C406" i="1" a="1"/>
  <c r="C406" i="1" s="1"/>
  <c r="C407" i="1" a="1"/>
  <c r="C407" i="1" s="1"/>
  <c r="C408" i="1" a="1"/>
  <c r="C408" i="1" s="1"/>
  <c r="C409" i="1" a="1"/>
  <c r="C409" i="1" s="1"/>
  <c r="C410" i="1" a="1"/>
  <c r="C410" i="1" s="1"/>
  <c r="C411" i="1" a="1"/>
  <c r="C411" i="1" s="1"/>
  <c r="C412" i="1" a="1"/>
  <c r="C412" i="1"/>
  <c r="C413" i="1" a="1"/>
  <c r="C413" i="1" s="1"/>
  <c r="C414" i="1" a="1"/>
  <c r="C414" i="1" s="1"/>
  <c r="C415" i="1" a="1"/>
  <c r="C415" i="1" s="1"/>
  <c r="C416" i="1" a="1"/>
  <c r="C416" i="1" s="1"/>
  <c r="C417" i="1" a="1"/>
  <c r="C417" i="1" s="1"/>
  <c r="C418" i="1" a="1"/>
  <c r="C418" i="1" s="1"/>
  <c r="C419" i="1" a="1"/>
  <c r="C419" i="1" s="1"/>
  <c r="C420" i="1" a="1"/>
  <c r="C420" i="1" s="1"/>
  <c r="C421" i="1" a="1"/>
  <c r="C421" i="1" s="1"/>
  <c r="C422" i="1" a="1"/>
  <c r="C422" i="1" s="1"/>
  <c r="C423" i="1" a="1"/>
  <c r="C423" i="1" s="1"/>
  <c r="C424" i="1" a="1"/>
  <c r="C424" i="1" s="1"/>
  <c r="C425" i="1" a="1"/>
  <c r="C425" i="1" s="1"/>
  <c r="C426" i="1" a="1"/>
  <c r="C426" i="1" s="1"/>
  <c r="C427" i="1" a="1"/>
  <c r="C427" i="1" s="1"/>
  <c r="C428" i="1" a="1"/>
  <c r="C428" i="1" s="1"/>
  <c r="C429" i="1" a="1"/>
  <c r="C429" i="1" s="1"/>
  <c r="C430" i="1" a="1"/>
  <c r="C430" i="1" s="1"/>
  <c r="C431" i="1" a="1"/>
  <c r="C431" i="1" s="1"/>
  <c r="C432" i="1" a="1"/>
  <c r="C432" i="1" s="1"/>
  <c r="C433" i="1" a="1"/>
  <c r="C433" i="1" s="1"/>
  <c r="C434" i="1" a="1"/>
  <c r="C434" i="1" s="1"/>
  <c r="C435" i="1" a="1"/>
  <c r="C435" i="1" s="1"/>
  <c r="C436" i="1" a="1"/>
  <c r="C436" i="1" s="1"/>
  <c r="C437" i="1" a="1"/>
  <c r="C437" i="1" s="1"/>
  <c r="C438" i="1" a="1"/>
  <c r="C438" i="1" s="1"/>
  <c r="C439" i="1" a="1"/>
  <c r="C439" i="1" s="1"/>
  <c r="C440" i="1" a="1"/>
  <c r="C440" i="1" s="1"/>
  <c r="C441" i="1" a="1"/>
  <c r="C441" i="1" s="1"/>
  <c r="C442" i="1" a="1"/>
  <c r="C442" i="1" s="1"/>
  <c r="C443" i="1" a="1"/>
  <c r="C443" i="1" s="1"/>
  <c r="C444" i="1" a="1"/>
  <c r="C444" i="1" s="1"/>
  <c r="C445" i="1" a="1"/>
  <c r="C445" i="1" s="1"/>
  <c r="C446" i="1" a="1"/>
  <c r="C446" i="1" s="1"/>
  <c r="C447" i="1" a="1"/>
  <c r="C447" i="1" s="1"/>
  <c r="C448" i="1" a="1"/>
  <c r="C448" i="1" s="1"/>
  <c r="C449" i="1" a="1"/>
  <c r="C449" i="1" s="1"/>
  <c r="C450" i="1" a="1"/>
  <c r="C450" i="1" s="1"/>
  <c r="C451" i="1" a="1"/>
  <c r="C451" i="1" s="1"/>
  <c r="C452" i="1" a="1"/>
  <c r="C452" i="1" s="1"/>
  <c r="C453" i="1" a="1"/>
  <c r="C453" i="1" s="1"/>
  <c r="C454" i="1" a="1"/>
  <c r="C454" i="1" s="1"/>
  <c r="C455" i="1" a="1"/>
  <c r="C455" i="1" s="1"/>
  <c r="C456" i="1" a="1"/>
  <c r="C456" i="1" s="1"/>
  <c r="C457" i="1" a="1"/>
  <c r="C457" i="1" s="1"/>
  <c r="C458" i="1" a="1"/>
  <c r="C458" i="1" s="1"/>
  <c r="C459" i="1" a="1"/>
  <c r="C459" i="1" s="1"/>
  <c r="C460" i="1" a="1"/>
  <c r="C460" i="1" s="1"/>
  <c r="C461" i="1" a="1"/>
  <c r="C461" i="1" s="1"/>
  <c r="C462" i="1" a="1"/>
  <c r="C462" i="1" s="1"/>
  <c r="C463" i="1" a="1"/>
  <c r="C463" i="1" s="1"/>
  <c r="C464" i="1" a="1"/>
  <c r="C464" i="1" s="1"/>
  <c r="C465" i="1" a="1"/>
  <c r="C465" i="1" s="1"/>
  <c r="C466" i="1" a="1"/>
  <c r="C466" i="1" s="1"/>
  <c r="C467" i="1" a="1"/>
  <c r="C467" i="1" s="1"/>
  <c r="C468" i="1" a="1"/>
  <c r="C468" i="1" s="1"/>
  <c r="C469" i="1" a="1"/>
  <c r="C469" i="1" s="1"/>
  <c r="C470" i="1" a="1"/>
  <c r="C470" i="1" s="1"/>
  <c r="C471" i="1" a="1"/>
  <c r="C471" i="1" s="1"/>
  <c r="C472" i="1" a="1"/>
  <c r="C472" i="1" s="1"/>
  <c r="C473" i="1" a="1"/>
  <c r="C473" i="1" s="1"/>
  <c r="C474" i="1" a="1"/>
  <c r="C474" i="1" s="1"/>
  <c r="C475" i="1" a="1"/>
  <c r="C475" i="1" s="1"/>
  <c r="C476" i="1" a="1"/>
  <c r="C476" i="1" s="1"/>
  <c r="C477" i="1" a="1"/>
  <c r="C477" i="1" s="1"/>
  <c r="C478" i="1" a="1"/>
  <c r="C478" i="1" s="1"/>
  <c r="C479" i="1" a="1"/>
  <c r="C479" i="1" s="1"/>
  <c r="C480" i="1" a="1"/>
  <c r="C480" i="1" s="1"/>
  <c r="C481" i="1" a="1"/>
  <c r="C481" i="1" s="1"/>
  <c r="C482" i="1" a="1"/>
  <c r="C482" i="1" s="1"/>
  <c r="C483" i="1" a="1"/>
  <c r="C483" i="1" s="1"/>
  <c r="C484" i="1" a="1"/>
  <c r="C484" i="1" s="1"/>
  <c r="C485" i="1" a="1"/>
  <c r="C485" i="1" s="1"/>
  <c r="C486" i="1" a="1"/>
  <c r="C486" i="1" s="1"/>
  <c r="C487" i="1" a="1"/>
  <c r="C487" i="1" s="1"/>
  <c r="C488" i="1" a="1"/>
  <c r="C488" i="1" s="1"/>
  <c r="C489" i="1" a="1"/>
  <c r="C489" i="1" s="1"/>
  <c r="C490" i="1" a="1"/>
  <c r="C490" i="1" s="1"/>
  <c r="C491" i="1" a="1"/>
  <c r="C491" i="1" s="1"/>
  <c r="C492" i="1" a="1"/>
  <c r="C492" i="1" s="1"/>
  <c r="C493" i="1" a="1"/>
  <c r="C493" i="1" s="1"/>
  <c r="C494" i="1" a="1"/>
  <c r="C494" i="1" s="1"/>
  <c r="C495" i="1" a="1"/>
  <c r="C495" i="1" s="1"/>
  <c r="C496" i="1" a="1"/>
  <c r="C496" i="1" s="1"/>
  <c r="C497" i="1" a="1"/>
  <c r="C497" i="1" s="1"/>
  <c r="C498" i="1" a="1"/>
  <c r="C498" i="1" s="1"/>
  <c r="C499" i="1" a="1"/>
  <c r="C499" i="1" s="1"/>
  <c r="C500" i="1" a="1"/>
  <c r="C500" i="1" s="1"/>
  <c r="C501" i="1" a="1"/>
  <c r="C501" i="1" s="1"/>
  <c r="C502" i="1" a="1"/>
  <c r="C502" i="1" s="1"/>
  <c r="C503" i="1" a="1"/>
  <c r="C503" i="1" s="1"/>
  <c r="C504" i="1" a="1"/>
  <c r="C504" i="1" s="1"/>
  <c r="C505" i="1" a="1"/>
  <c r="C505" i="1" s="1"/>
  <c r="C506" i="1" a="1"/>
  <c r="C506" i="1" s="1"/>
  <c r="C507" i="1" a="1"/>
  <c r="C507" i="1" s="1"/>
  <c r="C508" i="1" a="1"/>
  <c r="C508" i="1"/>
  <c r="C509" i="1" a="1"/>
  <c r="C509" i="1" s="1"/>
  <c r="C510" i="1" a="1"/>
  <c r="C510" i="1" s="1"/>
  <c r="C511" i="1" a="1"/>
  <c r="C511" i="1" s="1"/>
  <c r="C512" i="1" a="1"/>
  <c r="C512" i="1" s="1"/>
  <c r="C513" i="1" a="1"/>
  <c r="C513" i="1" s="1"/>
  <c r="C514" i="1" a="1"/>
  <c r="C514" i="1"/>
  <c r="C515" i="1" a="1"/>
  <c r="C515" i="1" s="1"/>
  <c r="C516" i="1" a="1"/>
  <c r="C516" i="1" s="1"/>
  <c r="C517" i="1" a="1"/>
  <c r="C517" i="1" s="1"/>
  <c r="C518" i="1" a="1"/>
  <c r="C518" i="1" s="1"/>
  <c r="C519" i="1" a="1"/>
  <c r="C519" i="1" s="1"/>
  <c r="C520" i="1" a="1"/>
  <c r="C520" i="1"/>
  <c r="C521" i="1" a="1"/>
  <c r="C521" i="1" s="1"/>
  <c r="C522" i="1" a="1"/>
  <c r="C522" i="1" s="1"/>
  <c r="C523" i="1" a="1"/>
  <c r="C523" i="1" s="1"/>
  <c r="C524" i="1" a="1"/>
  <c r="C524" i="1" s="1"/>
  <c r="C525" i="1" a="1"/>
  <c r="C525" i="1" s="1"/>
  <c r="C526" i="1" a="1"/>
  <c r="C526" i="1" s="1"/>
  <c r="C527" i="1" a="1"/>
  <c r="C527" i="1" s="1"/>
  <c r="C528" i="1" a="1"/>
  <c r="C528" i="1" s="1"/>
  <c r="C529" i="1" a="1"/>
  <c r="C529" i="1" s="1"/>
  <c r="C530" i="1" a="1"/>
  <c r="C530" i="1" s="1"/>
  <c r="C531" i="1" a="1"/>
  <c r="C531" i="1" s="1"/>
  <c r="C532" i="1" a="1"/>
  <c r="C532" i="1" s="1"/>
  <c r="C533" i="1" a="1"/>
  <c r="C533" i="1" s="1"/>
  <c r="C534" i="1" a="1"/>
  <c r="C534" i="1" s="1"/>
  <c r="C535" i="1" a="1"/>
  <c r="C535" i="1" s="1"/>
  <c r="C536" i="1" a="1"/>
  <c r="C536" i="1" s="1"/>
  <c r="C537" i="1" a="1"/>
  <c r="C537" i="1" s="1"/>
  <c r="C538" i="1" a="1"/>
  <c r="C538" i="1" s="1"/>
  <c r="C539" i="1" a="1"/>
  <c r="C539" i="1" s="1"/>
  <c r="C540" i="1" a="1"/>
  <c r="C540" i="1" s="1"/>
  <c r="C541" i="1" a="1"/>
  <c r="C541" i="1" s="1"/>
  <c r="C542" i="1" a="1"/>
  <c r="C542" i="1" s="1"/>
  <c r="C543" i="1" a="1"/>
  <c r="C543" i="1" s="1"/>
  <c r="C544" i="1" a="1"/>
  <c r="C544" i="1" s="1"/>
  <c r="C545" i="1" a="1"/>
  <c r="C545" i="1" s="1"/>
  <c r="C546" i="1" a="1"/>
  <c r="C546" i="1" s="1"/>
  <c r="C547" i="1" a="1"/>
  <c r="C547" i="1" s="1"/>
  <c r="C548" i="1" a="1"/>
  <c r="C548" i="1" s="1"/>
  <c r="C549" i="1" a="1"/>
  <c r="C549" i="1" s="1"/>
  <c r="C550" i="1" a="1"/>
  <c r="C550" i="1" s="1"/>
  <c r="C551" i="1" a="1"/>
  <c r="C551" i="1" s="1"/>
  <c r="C552" i="1" a="1"/>
  <c r="C552" i="1" s="1"/>
  <c r="C553" i="1" a="1"/>
  <c r="C553" i="1" s="1"/>
  <c r="C554" i="1" a="1"/>
  <c r="C554" i="1" s="1"/>
  <c r="C555" i="1" a="1"/>
  <c r="C555" i="1" s="1"/>
  <c r="C556" i="1" a="1"/>
  <c r="C556" i="1" s="1"/>
  <c r="C557" i="1" a="1"/>
  <c r="C557" i="1" s="1"/>
  <c r="C558" i="1" a="1"/>
  <c r="C558" i="1" s="1"/>
  <c r="C559" i="1" a="1"/>
  <c r="C559" i="1" s="1"/>
  <c r="C560" i="1" a="1"/>
  <c r="C560" i="1" s="1"/>
  <c r="C561" i="1" a="1"/>
  <c r="C561" i="1" s="1"/>
  <c r="C562" i="1" a="1"/>
  <c r="C562" i="1" s="1"/>
  <c r="C563" i="1" a="1"/>
  <c r="C563" i="1" s="1"/>
  <c r="C564" i="1" a="1"/>
  <c r="C564" i="1" s="1"/>
  <c r="C565" i="1" a="1"/>
  <c r="C565" i="1" s="1"/>
  <c r="C566" i="1" a="1"/>
  <c r="C566" i="1" s="1"/>
  <c r="C567" i="1" a="1"/>
  <c r="C567" i="1" s="1"/>
  <c r="C568" i="1" a="1"/>
  <c r="C568" i="1" s="1"/>
  <c r="C569" i="1" a="1"/>
  <c r="C569" i="1" s="1"/>
  <c r="C570" i="1" a="1"/>
  <c r="C570" i="1" s="1"/>
  <c r="C571" i="1" a="1"/>
  <c r="C571" i="1" s="1"/>
  <c r="C572" i="1" a="1"/>
  <c r="C572" i="1"/>
  <c r="C573" i="1" a="1"/>
  <c r="C573" i="1" s="1"/>
  <c r="C574" i="1" a="1"/>
  <c r="C574" i="1" s="1"/>
  <c r="C575" i="1" a="1"/>
  <c r="C575" i="1" s="1"/>
  <c r="C576" i="1" a="1"/>
  <c r="C576" i="1" s="1"/>
  <c r="C577" i="1" a="1"/>
  <c r="C577" i="1" s="1"/>
  <c r="C578" i="1" a="1"/>
  <c r="C578" i="1" s="1"/>
  <c r="C579" i="1" a="1"/>
  <c r="C579" i="1" s="1"/>
  <c r="C580" i="1" a="1"/>
  <c r="C580" i="1" s="1"/>
  <c r="C581" i="1" a="1"/>
  <c r="C581" i="1" s="1"/>
  <c r="C582" i="1" a="1"/>
  <c r="C582" i="1" s="1"/>
  <c r="C583" i="1" a="1"/>
  <c r="C583" i="1" s="1"/>
  <c r="C584" i="1" a="1"/>
  <c r="C584" i="1" s="1"/>
  <c r="C585" i="1" a="1"/>
  <c r="C585" i="1" s="1"/>
  <c r="C586" i="1" a="1"/>
  <c r="C586" i="1" s="1"/>
  <c r="C587" i="1" a="1"/>
  <c r="C587" i="1" s="1"/>
  <c r="C588" i="1" a="1"/>
  <c r="C588" i="1" s="1"/>
  <c r="C589" i="1" a="1"/>
  <c r="C589" i="1" s="1"/>
  <c r="C590" i="1" a="1"/>
  <c r="C590" i="1" s="1"/>
  <c r="C591" i="1" a="1"/>
  <c r="C591" i="1" s="1"/>
  <c r="C592" i="1" a="1"/>
  <c r="C592" i="1" s="1"/>
  <c r="C593" i="1" a="1"/>
  <c r="C593" i="1" s="1"/>
  <c r="C594" i="1" a="1"/>
  <c r="C594" i="1" s="1"/>
  <c r="C595" i="1" a="1"/>
  <c r="C595" i="1" s="1"/>
  <c r="C596" i="1" a="1"/>
  <c r="C596" i="1" s="1"/>
  <c r="C597" i="1" a="1"/>
  <c r="C597" i="1" s="1"/>
  <c r="C598" i="1" a="1"/>
  <c r="C598" i="1" s="1"/>
  <c r="C599" i="1" a="1"/>
  <c r="C599" i="1" s="1"/>
  <c r="C600" i="1" a="1"/>
  <c r="C600" i="1" s="1"/>
  <c r="C601" i="1" a="1"/>
  <c r="C601" i="1" s="1"/>
  <c r="C602" i="1" a="1"/>
  <c r="C602" i="1" s="1"/>
  <c r="C603" i="1" a="1"/>
  <c r="C603" i="1" s="1"/>
  <c r="C604" i="1" a="1"/>
  <c r="C604" i="1" s="1"/>
  <c r="C605" i="1" a="1"/>
  <c r="C605" i="1" s="1"/>
  <c r="C606" i="1" a="1"/>
  <c r="C606" i="1" s="1"/>
  <c r="C607" i="1" a="1"/>
  <c r="C607" i="1" s="1"/>
  <c r="C608" i="1" a="1"/>
  <c r="C608" i="1" s="1"/>
  <c r="C609" i="1" a="1"/>
  <c r="C609" i="1" s="1"/>
  <c r="C610" i="1" a="1"/>
  <c r="C610" i="1" s="1"/>
  <c r="C611" i="1" a="1"/>
  <c r="C611" i="1" s="1"/>
  <c r="C612" i="1" a="1"/>
  <c r="C612" i="1" s="1"/>
  <c r="C613" i="1" a="1"/>
  <c r="C613" i="1" s="1"/>
  <c r="C614" i="1" a="1"/>
  <c r="C614" i="1" s="1"/>
  <c r="C615" i="1" a="1"/>
  <c r="C615" i="1" s="1"/>
  <c r="C616" i="1" a="1"/>
  <c r="C616" i="1" s="1"/>
  <c r="C617" i="1" a="1"/>
  <c r="C617" i="1" s="1"/>
  <c r="C618" i="1" a="1"/>
  <c r="C618" i="1" s="1"/>
  <c r="C619" i="1" a="1"/>
  <c r="C619" i="1" s="1"/>
  <c r="C620" i="1" a="1"/>
  <c r="C620" i="1" s="1"/>
  <c r="C621" i="1" a="1"/>
  <c r="C621" i="1" s="1"/>
  <c r="C622" i="1" a="1"/>
  <c r="C622" i="1" s="1"/>
  <c r="C623" i="1" a="1"/>
  <c r="C623" i="1" s="1"/>
  <c r="C624" i="1" a="1"/>
  <c r="C624" i="1" s="1"/>
  <c r="C625" i="1" a="1"/>
  <c r="C625" i="1" s="1"/>
  <c r="C626" i="1" a="1"/>
  <c r="C626" i="1" s="1"/>
  <c r="C627" i="1" a="1"/>
  <c r="C627" i="1" s="1"/>
  <c r="C628" i="1" a="1"/>
  <c r="C628" i="1" s="1"/>
  <c r="C629" i="1" a="1"/>
  <c r="C629" i="1" s="1"/>
  <c r="C630" i="1" a="1"/>
  <c r="C630" i="1" s="1"/>
  <c r="C631" i="1" a="1"/>
  <c r="C631" i="1" s="1"/>
  <c r="C632" i="1" a="1"/>
  <c r="C632" i="1" s="1"/>
  <c r="C633" i="1" a="1"/>
  <c r="C633" i="1" s="1"/>
  <c r="C634" i="1" a="1"/>
  <c r="C634" i="1" s="1"/>
  <c r="C635" i="1" a="1"/>
  <c r="C635" i="1" s="1"/>
  <c r="C636" i="1" a="1"/>
  <c r="C636" i="1" s="1"/>
  <c r="C637" i="1" a="1"/>
  <c r="C637" i="1" s="1"/>
  <c r="C638" i="1" a="1"/>
  <c r="C638" i="1" s="1"/>
  <c r="C639" i="1" a="1"/>
  <c r="C639" i="1" s="1"/>
  <c r="C640" i="1" a="1"/>
  <c r="C640" i="1" s="1"/>
  <c r="C641" i="1" a="1"/>
  <c r="C641" i="1" s="1"/>
  <c r="C642" i="1" a="1"/>
  <c r="C642" i="1" s="1"/>
  <c r="C643" i="1" a="1"/>
  <c r="C643" i="1" s="1"/>
  <c r="C644" i="1" a="1"/>
  <c r="C644" i="1" s="1"/>
  <c r="C645" i="1" a="1"/>
  <c r="C645" i="1" s="1"/>
  <c r="C646" i="1" a="1"/>
  <c r="C646" i="1" s="1"/>
  <c r="C647" i="1" a="1"/>
  <c r="C647" i="1" s="1"/>
  <c r="C648" i="1" a="1"/>
  <c r="C648" i="1" s="1"/>
  <c r="C649" i="1" a="1"/>
  <c r="C649" i="1" s="1"/>
  <c r="C650" i="1" a="1"/>
  <c r="C650" i="1" s="1"/>
  <c r="C651" i="1" a="1"/>
  <c r="C651" i="1" s="1"/>
  <c r="C652" i="1" a="1"/>
  <c r="C652" i="1" s="1"/>
  <c r="C653" i="1" a="1"/>
  <c r="C653" i="1" s="1"/>
  <c r="C654" i="1" a="1"/>
  <c r="C654" i="1" s="1"/>
  <c r="C655" i="1" a="1"/>
  <c r="C655" i="1" s="1"/>
  <c r="C656" i="1" a="1"/>
  <c r="C656" i="1" s="1"/>
  <c r="C657" i="1" a="1"/>
  <c r="C657" i="1" s="1"/>
  <c r="C658" i="1" a="1"/>
  <c r="C658" i="1" s="1"/>
  <c r="C659" i="1" a="1"/>
  <c r="C659" i="1" s="1"/>
  <c r="C660" i="1" a="1"/>
  <c r="C660" i="1" s="1"/>
  <c r="C661" i="1" a="1"/>
  <c r="C661" i="1" s="1"/>
  <c r="C662" i="1" a="1"/>
  <c r="C662" i="1" s="1"/>
  <c r="C663" i="1" a="1"/>
  <c r="C663" i="1" s="1"/>
  <c r="C664" i="1" a="1"/>
  <c r="C664" i="1" s="1"/>
  <c r="C665" i="1" a="1"/>
  <c r="C665" i="1" s="1"/>
  <c r="C666" i="1" a="1"/>
  <c r="C666" i="1" s="1"/>
  <c r="C667" i="1" a="1"/>
  <c r="C667" i="1" s="1"/>
  <c r="C668" i="1" a="1"/>
  <c r="C668" i="1" s="1"/>
  <c r="C669" i="1" a="1"/>
  <c r="C669" i="1" s="1"/>
  <c r="C670" i="1" a="1"/>
  <c r="C670" i="1" s="1"/>
  <c r="C671" i="1" a="1"/>
  <c r="C671" i="1" s="1"/>
  <c r="C672" i="1" a="1"/>
  <c r="C672" i="1" s="1"/>
  <c r="C673" i="1" a="1"/>
  <c r="C673" i="1" s="1"/>
  <c r="C674" i="1" a="1"/>
  <c r="C674" i="1" s="1"/>
  <c r="C675" i="1" a="1"/>
  <c r="C675" i="1" s="1"/>
  <c r="C676" i="1" a="1"/>
  <c r="C676" i="1" s="1"/>
  <c r="C677" i="1" a="1"/>
  <c r="C677" i="1" s="1"/>
  <c r="C678" i="1" a="1"/>
  <c r="C678" i="1" s="1"/>
  <c r="C679" i="1" a="1"/>
  <c r="C679" i="1" s="1"/>
  <c r="C680" i="1" a="1"/>
  <c r="C680" i="1" s="1"/>
  <c r="C681" i="1" a="1"/>
  <c r="C681" i="1"/>
  <c r="C682" i="1" a="1"/>
  <c r="C682" i="1" s="1"/>
  <c r="C683" i="1" a="1"/>
  <c r="C683" i="1" s="1"/>
  <c r="C684" i="1" a="1"/>
  <c r="C684" i="1" s="1"/>
  <c r="C685" i="1" a="1"/>
  <c r="C685" i="1" s="1"/>
  <c r="C686" i="1" a="1"/>
  <c r="C686" i="1" s="1"/>
  <c r="C687" i="1" a="1"/>
  <c r="C687" i="1" s="1"/>
  <c r="C688" i="1" a="1"/>
  <c r="C688" i="1" s="1"/>
  <c r="C689" i="1" a="1"/>
  <c r="C689" i="1" s="1"/>
  <c r="C690" i="1" a="1"/>
  <c r="C690" i="1" s="1"/>
  <c r="C691" i="1" a="1"/>
  <c r="C691" i="1" s="1"/>
  <c r="C692" i="1" a="1"/>
  <c r="C692" i="1" s="1"/>
  <c r="C693" i="1" a="1"/>
  <c r="C693" i="1" s="1"/>
  <c r="C694" i="1" a="1"/>
  <c r="C694" i="1" s="1"/>
  <c r="C695" i="1" a="1"/>
  <c r="C695" i="1" s="1"/>
  <c r="C696" i="1" a="1"/>
  <c r="C696" i="1" s="1"/>
  <c r="C697" i="1" a="1"/>
  <c r="C697" i="1" s="1"/>
  <c r="C698" i="1" a="1"/>
  <c r="C698" i="1" s="1"/>
  <c r="C699" i="1" a="1"/>
  <c r="C699" i="1" s="1"/>
  <c r="C700" i="1" a="1"/>
  <c r="C700" i="1" s="1"/>
  <c r="C701" i="1" a="1"/>
  <c r="C701" i="1" s="1"/>
  <c r="C702" i="1" a="1"/>
  <c r="C702" i="1" s="1"/>
  <c r="C703" i="1" a="1"/>
  <c r="C703" i="1" s="1"/>
  <c r="C704" i="1" a="1"/>
  <c r="C704" i="1" s="1"/>
  <c r="C705" i="1" a="1"/>
  <c r="C705" i="1" s="1"/>
  <c r="C706" i="1" a="1"/>
  <c r="C706" i="1" s="1"/>
  <c r="C707" i="1" a="1"/>
  <c r="C707" i="1" s="1"/>
  <c r="C708" i="1" a="1"/>
  <c r="C708" i="1" s="1"/>
  <c r="C709" i="1" a="1"/>
  <c r="C709" i="1" s="1"/>
  <c r="C710" i="1" a="1"/>
  <c r="C710" i="1" s="1"/>
  <c r="C711" i="1" a="1"/>
  <c r="C711" i="1" s="1"/>
  <c r="C712" i="1" a="1"/>
  <c r="C712" i="1" s="1"/>
  <c r="C713" i="1" a="1"/>
  <c r="C713" i="1" s="1"/>
  <c r="C714" i="1" a="1"/>
  <c r="C714" i="1" s="1"/>
  <c r="C715" i="1" a="1"/>
  <c r="C715" i="1" s="1"/>
  <c r="C716" i="1" a="1"/>
  <c r="C716" i="1" s="1"/>
  <c r="C717" i="1" a="1"/>
  <c r="C717" i="1" s="1"/>
  <c r="C718" i="1" a="1"/>
  <c r="C718" i="1" s="1"/>
  <c r="C719" i="1" a="1"/>
  <c r="C719" i="1" s="1"/>
  <c r="C720" i="1" a="1"/>
  <c r="C720" i="1" s="1"/>
  <c r="C721" i="1" a="1"/>
  <c r="C721" i="1" s="1"/>
  <c r="C722" i="1" a="1"/>
  <c r="C722" i="1" s="1"/>
  <c r="C723" i="1" a="1"/>
  <c r="C723" i="1" s="1"/>
  <c r="C724" i="1" a="1"/>
  <c r="C724" i="1" s="1"/>
  <c r="C725" i="1" a="1"/>
  <c r="C725" i="1" s="1"/>
  <c r="C726" i="1" a="1"/>
  <c r="C726" i="1" s="1"/>
  <c r="C727" i="1" a="1"/>
  <c r="C727" i="1" s="1"/>
  <c r="C728" i="1" a="1"/>
  <c r="C728" i="1" s="1"/>
  <c r="C729" i="1" a="1"/>
  <c r="C729" i="1" s="1"/>
  <c r="C730" i="1" a="1"/>
  <c r="C730" i="1" s="1"/>
  <c r="C731" i="1" a="1"/>
  <c r="C731" i="1" s="1"/>
  <c r="C732" i="1" a="1"/>
  <c r="C732" i="1" s="1"/>
  <c r="C733" i="1" a="1"/>
  <c r="C733" i="1" s="1"/>
  <c r="C734" i="1" a="1"/>
  <c r="C734" i="1" s="1"/>
  <c r="C735" i="1" a="1"/>
  <c r="C735" i="1" s="1"/>
  <c r="C736" i="1" a="1"/>
  <c r="C736" i="1" s="1"/>
  <c r="C737" i="1" a="1"/>
  <c r="C737" i="1" s="1"/>
  <c r="C738" i="1" a="1"/>
  <c r="C738" i="1" s="1"/>
  <c r="C739" i="1" a="1"/>
  <c r="C739" i="1" s="1"/>
  <c r="C740" i="1" a="1"/>
  <c r="C740" i="1" s="1"/>
  <c r="C741" i="1" a="1"/>
  <c r="C741" i="1" s="1"/>
  <c r="C742" i="1" a="1"/>
  <c r="C742" i="1" s="1"/>
  <c r="C743" i="1" a="1"/>
  <c r="C743" i="1" s="1"/>
  <c r="C744" i="1" a="1"/>
  <c r="C744" i="1" s="1"/>
  <c r="C745" i="1" a="1"/>
  <c r="C745" i="1" s="1"/>
  <c r="C746" i="1" a="1"/>
  <c r="C746" i="1" s="1"/>
  <c r="C747" i="1" a="1"/>
  <c r="C747" i="1" s="1"/>
  <c r="C748" i="1" a="1"/>
  <c r="C748" i="1" s="1"/>
  <c r="C749" i="1" a="1"/>
  <c r="C749" i="1" s="1"/>
  <c r="C750" i="1" a="1"/>
  <c r="C750" i="1" s="1"/>
  <c r="C751" i="1" a="1"/>
  <c r="C751" i="1" s="1"/>
  <c r="C752" i="1" a="1"/>
  <c r="C752" i="1" s="1"/>
  <c r="C753" i="1" a="1"/>
  <c r="C753" i="1" s="1"/>
  <c r="C754" i="1" a="1"/>
  <c r="C754" i="1" s="1"/>
  <c r="C755" i="1" a="1"/>
  <c r="C755" i="1" s="1"/>
  <c r="C756" i="1" a="1"/>
  <c r="C756" i="1" s="1"/>
  <c r="C757" i="1" a="1"/>
  <c r="C757" i="1" s="1"/>
  <c r="C758" i="1" a="1"/>
  <c r="C758" i="1" s="1"/>
  <c r="C759" i="1" a="1"/>
  <c r="C759" i="1" s="1"/>
  <c r="C760" i="1" a="1"/>
  <c r="C760" i="1" s="1"/>
  <c r="C761" i="1" a="1"/>
  <c r="C761" i="1" s="1"/>
  <c r="C762" i="1" a="1"/>
  <c r="C762" i="1" s="1"/>
  <c r="C763" i="1" a="1"/>
  <c r="C763" i="1" s="1"/>
  <c r="C764" i="1" a="1"/>
  <c r="C764" i="1" s="1"/>
  <c r="C765" i="1" a="1"/>
  <c r="C765" i="1" s="1"/>
  <c r="C766" i="1" a="1"/>
  <c r="C766" i="1" s="1"/>
  <c r="C767" i="1" a="1"/>
  <c r="C767" i="1" s="1"/>
  <c r="C768" i="1" a="1"/>
  <c r="C768" i="1" s="1"/>
  <c r="C769" i="1" a="1"/>
  <c r="C769" i="1" s="1"/>
  <c r="C770" i="1" a="1"/>
  <c r="C770" i="1" s="1"/>
  <c r="C771" i="1" a="1"/>
  <c r="C771" i="1" s="1"/>
  <c r="C772" i="1" a="1"/>
  <c r="C772" i="1" s="1"/>
  <c r="C773" i="1" a="1"/>
  <c r="C773" i="1" s="1"/>
  <c r="C774" i="1" a="1"/>
  <c r="C774" i="1" s="1"/>
  <c r="C775" i="1" a="1"/>
  <c r="C775" i="1" s="1"/>
  <c r="C776" i="1" a="1"/>
  <c r="C776" i="1" s="1"/>
  <c r="C777" i="1" a="1"/>
  <c r="C777" i="1" s="1"/>
  <c r="C778" i="1" a="1"/>
  <c r="C778" i="1" s="1"/>
  <c r="C779" i="1" a="1"/>
  <c r="C779" i="1" s="1"/>
  <c r="C780" i="1" a="1"/>
  <c r="C780" i="1" s="1"/>
  <c r="C781" i="1" a="1"/>
  <c r="C781" i="1" s="1"/>
  <c r="C782" i="1" a="1"/>
  <c r="C782" i="1" s="1"/>
  <c r="C783" i="1" a="1"/>
  <c r="C783" i="1" s="1"/>
  <c r="C784" i="1" a="1"/>
  <c r="C784" i="1" s="1"/>
  <c r="C785" i="1" a="1"/>
  <c r="C785" i="1" s="1"/>
  <c r="C786" i="1" a="1"/>
  <c r="C786" i="1" s="1"/>
  <c r="C787" i="1" a="1"/>
  <c r="C787" i="1" s="1"/>
  <c r="C788" i="1" a="1"/>
  <c r="C788" i="1" s="1"/>
  <c r="C789" i="1" a="1"/>
  <c r="C789" i="1" s="1"/>
  <c r="C790" i="1" a="1"/>
  <c r="C790" i="1" s="1"/>
  <c r="C791" i="1" a="1"/>
  <c r="C791" i="1" s="1"/>
  <c r="C792" i="1" a="1"/>
  <c r="C792" i="1" s="1"/>
  <c r="C793" i="1" a="1"/>
  <c r="C793" i="1" s="1"/>
  <c r="C794" i="1" a="1"/>
  <c r="C794" i="1" s="1"/>
  <c r="C795" i="1" a="1"/>
  <c r="C795" i="1" s="1"/>
  <c r="C796" i="1" a="1"/>
  <c r="C796" i="1" s="1"/>
  <c r="C797" i="1" a="1"/>
  <c r="C797" i="1" s="1"/>
  <c r="C798" i="1" a="1"/>
  <c r="C798" i="1" s="1"/>
  <c r="C799" i="1" a="1"/>
  <c r="C799" i="1" s="1"/>
  <c r="C800" i="1" a="1"/>
  <c r="C800" i="1" s="1"/>
  <c r="C801" i="1" a="1"/>
  <c r="C801" i="1" s="1"/>
  <c r="C802" i="1" a="1"/>
  <c r="C802" i="1" s="1"/>
  <c r="C803" i="1" a="1"/>
  <c r="C803" i="1" s="1"/>
  <c r="C804" i="1" a="1"/>
  <c r="C804" i="1" s="1"/>
  <c r="C805" i="1" a="1"/>
  <c r="C805" i="1" s="1"/>
  <c r="C806" i="1" a="1"/>
  <c r="C806" i="1" s="1"/>
  <c r="C807" i="1" a="1"/>
  <c r="C807" i="1" s="1"/>
  <c r="C808" i="1" a="1"/>
  <c r="C808" i="1" s="1"/>
  <c r="C809" i="1" a="1"/>
  <c r="C809" i="1" s="1"/>
  <c r="C810" i="1" a="1"/>
  <c r="C810" i="1" s="1"/>
  <c r="C811" i="1" a="1"/>
  <c r="C811" i="1" s="1"/>
  <c r="C812" i="1" a="1"/>
  <c r="C812" i="1" s="1"/>
  <c r="C813" i="1" a="1"/>
  <c r="C813" i="1" s="1"/>
  <c r="C814" i="1" a="1"/>
  <c r="C814" i="1" s="1"/>
  <c r="C815" i="1" a="1"/>
  <c r="C815" i="1" s="1"/>
  <c r="C816" i="1" a="1"/>
  <c r="C816" i="1" s="1"/>
  <c r="C817" i="1" a="1"/>
  <c r="C817" i="1" s="1"/>
  <c r="C818" i="1" a="1"/>
  <c r="C818" i="1" s="1"/>
  <c r="C819" i="1" a="1"/>
  <c r="C819" i="1" s="1"/>
  <c r="C820" i="1" a="1"/>
  <c r="C820" i="1" s="1"/>
  <c r="C821" i="1" a="1"/>
  <c r="C821" i="1" s="1"/>
  <c r="C822" i="1" a="1"/>
  <c r="C822" i="1" s="1"/>
  <c r="C823" i="1" a="1"/>
  <c r="C823" i="1" s="1"/>
  <c r="C824" i="1" a="1"/>
  <c r="C824" i="1" s="1"/>
  <c r="C825" i="1" a="1"/>
  <c r="C825" i="1" s="1"/>
  <c r="C826" i="1" a="1"/>
  <c r="C826" i="1" s="1"/>
  <c r="C827" i="1" a="1"/>
  <c r="C827" i="1" s="1"/>
  <c r="C828" i="1" a="1"/>
  <c r="C828" i="1" s="1"/>
  <c r="C829" i="1" a="1"/>
  <c r="C829" i="1" s="1"/>
  <c r="C830" i="1" a="1"/>
  <c r="C830" i="1" s="1"/>
  <c r="C831" i="1" a="1"/>
  <c r="C831" i="1" s="1"/>
  <c r="C832" i="1" a="1"/>
  <c r="C832" i="1" s="1"/>
  <c r="C833" i="1" a="1"/>
  <c r="C833" i="1" s="1"/>
  <c r="C834" i="1" a="1"/>
  <c r="C834" i="1" s="1"/>
  <c r="C835" i="1" a="1"/>
  <c r="C835" i="1" s="1"/>
  <c r="C836" i="1" a="1"/>
  <c r="C836" i="1" s="1"/>
  <c r="C837" i="1" a="1"/>
  <c r="C837" i="1" s="1"/>
  <c r="C838" i="1" a="1"/>
  <c r="C838" i="1" s="1"/>
  <c r="C839" i="1" a="1"/>
  <c r="C839" i="1" s="1"/>
  <c r="C840" i="1" a="1"/>
  <c r="C840" i="1" s="1"/>
  <c r="C841" i="1" a="1"/>
  <c r="C841" i="1" s="1"/>
  <c r="C842" i="1" a="1"/>
  <c r="C842" i="1" s="1"/>
  <c r="C843" i="1" a="1"/>
  <c r="C843" i="1" s="1"/>
  <c r="C844" i="1" a="1"/>
  <c r="C844" i="1" s="1"/>
  <c r="C845" i="1" a="1"/>
  <c r="C845" i="1" s="1"/>
  <c r="C846" i="1" a="1"/>
  <c r="C846" i="1" s="1"/>
  <c r="C847" i="1" a="1"/>
  <c r="C847" i="1" s="1"/>
  <c r="C848" i="1" a="1"/>
  <c r="C848" i="1" s="1"/>
  <c r="C849" i="1" a="1"/>
  <c r="C849" i="1" s="1"/>
  <c r="C850" i="1" a="1"/>
  <c r="C850" i="1" s="1"/>
  <c r="C851" i="1" a="1"/>
  <c r="C851" i="1"/>
  <c r="C852" i="1" a="1"/>
  <c r="C852" i="1" s="1"/>
  <c r="C853" i="1" a="1"/>
  <c r="C853" i="1" s="1"/>
  <c r="C854" i="1" a="1"/>
  <c r="C854" i="1"/>
  <c r="C855" i="1" a="1"/>
  <c r="C855" i="1" s="1"/>
  <c r="C856" i="1" a="1"/>
  <c r="C856" i="1" s="1"/>
  <c r="C857" i="1" a="1"/>
  <c r="C857" i="1" s="1"/>
  <c r="C858" i="1" a="1"/>
  <c r="C858" i="1" s="1"/>
  <c r="C859" i="1" a="1"/>
  <c r="C859" i="1" s="1"/>
  <c r="C860" i="1" a="1"/>
  <c r="C860" i="1" s="1"/>
  <c r="C861" i="1" a="1"/>
  <c r="C861" i="1" s="1"/>
  <c r="C862" i="1" a="1"/>
  <c r="C862" i="1" s="1"/>
  <c r="C863" i="1" a="1"/>
  <c r="C863" i="1"/>
  <c r="C864" i="1" a="1"/>
  <c r="C864" i="1" s="1"/>
  <c r="C865" i="1" a="1"/>
  <c r="C865" i="1" s="1"/>
  <c r="C866" i="1" a="1"/>
  <c r="C866" i="1" s="1"/>
  <c r="C867" i="1" a="1"/>
  <c r="C867" i="1" s="1"/>
  <c r="C868" i="1" a="1"/>
  <c r="C868" i="1" s="1"/>
  <c r="C869" i="1" a="1"/>
  <c r="C869" i="1" s="1"/>
  <c r="C870" i="1" a="1"/>
  <c r="C870" i="1" s="1"/>
  <c r="C871" i="1" a="1"/>
  <c r="C871" i="1" s="1"/>
  <c r="C872" i="1" a="1"/>
  <c r="C872" i="1" s="1"/>
  <c r="C873" i="1" a="1"/>
  <c r="C873" i="1" s="1"/>
  <c r="C874" i="1" a="1"/>
  <c r="C874" i="1" s="1"/>
  <c r="C875" i="1" a="1"/>
  <c r="C875" i="1" s="1"/>
  <c r="C876" i="1" a="1"/>
  <c r="C876" i="1" s="1"/>
  <c r="C877" i="1" a="1"/>
  <c r="C877" i="1" s="1"/>
  <c r="C878" i="1" a="1"/>
  <c r="C878" i="1" s="1"/>
  <c r="C879" i="1" a="1"/>
  <c r="C879" i="1" s="1"/>
  <c r="C880" i="1" a="1"/>
  <c r="C880" i="1" s="1"/>
  <c r="C881" i="1" a="1"/>
  <c r="C881" i="1" s="1"/>
  <c r="C882" i="1" a="1"/>
  <c r="C882" i="1" s="1"/>
  <c r="C883" i="1" a="1"/>
  <c r="C883" i="1" s="1"/>
  <c r="C884" i="1" a="1"/>
  <c r="C884" i="1" s="1"/>
  <c r="C885" i="1" a="1"/>
  <c r="C885" i="1" s="1"/>
  <c r="C886" i="1" a="1"/>
  <c r="C886" i="1" s="1"/>
  <c r="C887" i="1" a="1"/>
  <c r="C887" i="1" s="1"/>
  <c r="C888" i="1" a="1"/>
  <c r="C888" i="1" s="1"/>
  <c r="C889" i="1" a="1"/>
  <c r="C889" i="1" s="1"/>
  <c r="C890" i="1" a="1"/>
  <c r="C890" i="1" s="1"/>
  <c r="C891" i="1" a="1"/>
  <c r="C891" i="1" s="1"/>
  <c r="C892" i="1" a="1"/>
  <c r="C892" i="1" s="1"/>
  <c r="C893" i="1" a="1"/>
  <c r="C893" i="1" s="1"/>
  <c r="C894" i="1" a="1"/>
  <c r="C894" i="1" s="1"/>
  <c r="C895" i="1" a="1"/>
  <c r="C895" i="1" s="1"/>
  <c r="C896" i="1" a="1"/>
  <c r="C896" i="1" s="1"/>
  <c r="C897" i="1" a="1"/>
  <c r="C897" i="1" s="1"/>
  <c r="C898" i="1" a="1"/>
  <c r="C898" i="1" s="1"/>
  <c r="C899" i="1" a="1"/>
  <c r="C899" i="1" s="1"/>
  <c r="C900" i="1" a="1"/>
  <c r="C900" i="1" s="1"/>
  <c r="C901" i="1" a="1"/>
  <c r="C901" i="1" s="1"/>
  <c r="C902" i="1" a="1"/>
  <c r="C902" i="1" s="1"/>
  <c r="C903" i="1" a="1"/>
  <c r="C903" i="1" s="1"/>
  <c r="C904" i="1" a="1"/>
  <c r="C904" i="1" s="1"/>
  <c r="C905" i="1" a="1"/>
  <c r="C905" i="1" s="1"/>
  <c r="C906" i="1" a="1"/>
  <c r="C906" i="1" s="1"/>
  <c r="C907" i="1" a="1"/>
  <c r="C907" i="1" s="1"/>
  <c r="C908" i="1" a="1"/>
  <c r="C908" i="1" s="1"/>
  <c r="C909" i="1" a="1"/>
  <c r="C909" i="1" s="1"/>
  <c r="C910" i="1" a="1"/>
  <c r="C910" i="1" s="1"/>
  <c r="C911" i="1" a="1"/>
  <c r="C911" i="1" s="1"/>
  <c r="C912" i="1" a="1"/>
  <c r="C912" i="1" s="1"/>
  <c r="C913" i="1" a="1"/>
  <c r="C913" i="1" s="1"/>
  <c r="C914" i="1" a="1"/>
  <c r="C914" i="1"/>
  <c r="C915" i="1" a="1"/>
  <c r="C915" i="1" s="1"/>
  <c r="C916" i="1" a="1"/>
  <c r="C916" i="1" s="1"/>
  <c r="C917" i="1" a="1"/>
  <c r="C917" i="1" s="1"/>
  <c r="C918" i="1" a="1"/>
  <c r="C918" i="1" s="1"/>
  <c r="C919" i="1" a="1"/>
  <c r="C919" i="1" s="1"/>
  <c r="C920" i="1" a="1"/>
  <c r="C920" i="1" s="1"/>
  <c r="C921" i="1" a="1"/>
  <c r="C921" i="1" s="1"/>
  <c r="C922" i="1" a="1"/>
  <c r="C922" i="1" s="1"/>
  <c r="C923" i="1" a="1"/>
  <c r="C923" i="1" s="1"/>
  <c r="C924" i="1" a="1"/>
  <c r="C924" i="1" s="1"/>
  <c r="C925" i="1" a="1"/>
  <c r="C925" i="1" s="1"/>
  <c r="C926" i="1" a="1"/>
  <c r="C926" i="1" s="1"/>
  <c r="C927" i="1" a="1"/>
  <c r="C927" i="1" s="1"/>
  <c r="C928" i="1" a="1"/>
  <c r="C928" i="1" s="1"/>
  <c r="C929" i="1" a="1"/>
  <c r="C929" i="1" s="1"/>
  <c r="C930" i="1" a="1"/>
  <c r="C930" i="1" s="1"/>
  <c r="C931" i="1" a="1"/>
  <c r="C931" i="1" s="1"/>
  <c r="C932" i="1" a="1"/>
  <c r="C932" i="1" s="1"/>
  <c r="C933" i="1" a="1"/>
  <c r="C933" i="1" s="1"/>
  <c r="C934" i="1" a="1"/>
  <c r="C934" i="1" s="1"/>
  <c r="C935" i="1" a="1"/>
  <c r="C935" i="1" s="1"/>
  <c r="C936" i="1" a="1"/>
  <c r="C936" i="1" s="1"/>
  <c r="C937" i="1" a="1"/>
  <c r="C937" i="1" s="1"/>
  <c r="C938" i="1" a="1"/>
  <c r="C938" i="1" s="1"/>
  <c r="C939" i="1" a="1"/>
  <c r="C939" i="1" s="1"/>
  <c r="C940" i="1" a="1"/>
  <c r="C940" i="1" s="1"/>
  <c r="C941" i="1" a="1"/>
  <c r="C941" i="1" s="1"/>
  <c r="C942" i="1" a="1"/>
  <c r="C942" i="1" s="1"/>
  <c r="C943" i="1" a="1"/>
  <c r="C943" i="1" s="1"/>
  <c r="C944" i="1" a="1"/>
  <c r="C944" i="1" s="1"/>
  <c r="C945" i="1" a="1"/>
  <c r="C945" i="1"/>
  <c r="C946" i="1" a="1"/>
  <c r="C946" i="1" s="1"/>
  <c r="C947" i="1" a="1"/>
  <c r="C947" i="1" s="1"/>
  <c r="C948" i="1" a="1"/>
  <c r="C948" i="1" s="1"/>
  <c r="C949" i="1" a="1"/>
  <c r="C949" i="1" s="1"/>
  <c r="C950" i="1" a="1"/>
  <c r="C950" i="1" s="1"/>
  <c r="C951" i="1" a="1"/>
  <c r="C951" i="1" s="1"/>
  <c r="C952" i="1" a="1"/>
  <c r="C952" i="1" s="1"/>
  <c r="C953" i="1" a="1"/>
  <c r="C953" i="1" s="1"/>
  <c r="C954" i="1" a="1"/>
  <c r="C954" i="1" s="1"/>
  <c r="C955" i="1" a="1"/>
  <c r="C955" i="1" s="1"/>
  <c r="C956" i="1" a="1"/>
  <c r="C956" i="1" s="1"/>
  <c r="C957" i="1" a="1"/>
  <c r="C957" i="1" s="1"/>
  <c r="C958" i="1" a="1"/>
  <c r="C958" i="1" s="1"/>
  <c r="C959" i="1" a="1"/>
  <c r="C959" i="1" s="1"/>
  <c r="C960" i="1" a="1"/>
  <c r="C960" i="1" s="1"/>
  <c r="C961" i="1" a="1"/>
  <c r="C961" i="1" s="1"/>
  <c r="C962" i="1" a="1"/>
  <c r="C962" i="1" s="1"/>
  <c r="C963" i="1" a="1"/>
  <c r="C963" i="1" s="1"/>
  <c r="C964" i="1" a="1"/>
  <c r="C964" i="1" s="1"/>
  <c r="C965" i="1" a="1"/>
  <c r="C965" i="1" s="1"/>
  <c r="C966" i="1" a="1"/>
  <c r="C966" i="1"/>
  <c r="C967" i="1" a="1"/>
  <c r="C967" i="1" s="1"/>
  <c r="C968" i="1" a="1"/>
  <c r="C968" i="1" s="1"/>
  <c r="C969" i="1" a="1"/>
  <c r="C969" i="1" s="1"/>
  <c r="C970" i="1" a="1"/>
  <c r="C970" i="1" s="1"/>
  <c r="C971" i="1" a="1"/>
  <c r="C971" i="1" s="1"/>
  <c r="C972" i="1" a="1"/>
  <c r="C972" i="1" s="1"/>
  <c r="C973" i="1" a="1"/>
  <c r="C973" i="1" s="1"/>
  <c r="C974" i="1" a="1"/>
  <c r="C974" i="1" s="1"/>
  <c r="C975" i="1" a="1"/>
  <c r="C975" i="1" s="1"/>
  <c r="C976" i="1" a="1"/>
  <c r="C976" i="1" s="1"/>
  <c r="C977" i="1" a="1"/>
  <c r="C977" i="1" s="1"/>
  <c r="C978" i="1" a="1"/>
  <c r="C978" i="1" s="1"/>
  <c r="C979" i="1" a="1"/>
  <c r="C979" i="1"/>
  <c r="C980" i="1" a="1"/>
  <c r="C980" i="1" s="1"/>
  <c r="C981" i="1" a="1"/>
  <c r="C981" i="1" s="1"/>
  <c r="C982" i="1" a="1"/>
  <c r="C982" i="1" s="1"/>
  <c r="C983" i="1" a="1"/>
  <c r="C983" i="1" s="1"/>
  <c r="C984" i="1" a="1"/>
  <c r="C984" i="1" s="1"/>
  <c r="C985" i="1" a="1"/>
  <c r="C985" i="1"/>
  <c r="C986" i="1" a="1"/>
  <c r="C986" i="1" s="1"/>
  <c r="C987" i="1" a="1"/>
  <c r="C987" i="1" s="1"/>
  <c r="C988" i="1" a="1"/>
  <c r="C988" i="1" s="1"/>
  <c r="C989" i="1" a="1"/>
  <c r="C989" i="1" s="1"/>
  <c r="C990" i="1" a="1"/>
  <c r="C990" i="1" s="1"/>
  <c r="C991" i="1" a="1"/>
  <c r="C991" i="1" s="1"/>
  <c r="C992" i="1" a="1"/>
  <c r="C992" i="1" s="1"/>
  <c r="C993" i="1" a="1"/>
  <c r="C993" i="1" s="1"/>
  <c r="C994" i="1" a="1"/>
  <c r="C994" i="1" s="1"/>
  <c r="C995" i="1" a="1"/>
  <c r="C995" i="1" s="1"/>
  <c r="C996" i="1" a="1"/>
  <c r="C996" i="1" s="1"/>
  <c r="C997" i="1" a="1"/>
  <c r="C997" i="1" s="1"/>
  <c r="C998" i="1" a="1"/>
  <c r="C998" i="1" s="1"/>
  <c r="C999" i="1" a="1"/>
  <c r="C999" i="1" s="1"/>
  <c r="C1000" i="1" a="1"/>
  <c r="C1000" i="1" s="1"/>
  <c r="C1001" i="1" a="1"/>
  <c r="C1001" i="1" s="1"/>
  <c r="C1002" i="1" a="1"/>
  <c r="C1002" i="1" s="1"/>
  <c r="C1003" i="1" a="1"/>
  <c r="C1003" i="1" s="1"/>
  <c r="C1004" i="1" a="1"/>
  <c r="C1004" i="1" s="1"/>
  <c r="C1005" i="1" a="1"/>
  <c r="C1005" i="1" s="1"/>
  <c r="C1006" i="1" a="1"/>
  <c r="C1006" i="1" s="1"/>
  <c r="C1007" i="1" a="1"/>
  <c r="C1007" i="1" s="1"/>
  <c r="C1008" i="1" a="1"/>
  <c r="C1008" i="1" s="1"/>
  <c r="C1009" i="1" a="1"/>
  <c r="C1009" i="1" s="1"/>
  <c r="C1010" i="1" a="1"/>
  <c r="C1010" i="1" s="1"/>
  <c r="C1011" i="1" a="1"/>
  <c r="C1011" i="1" s="1"/>
  <c r="C1012" i="1" a="1"/>
  <c r="C1012" i="1" s="1"/>
  <c r="C1013" i="1" a="1"/>
  <c r="C1013" i="1" s="1"/>
  <c r="C1014" i="1" a="1"/>
  <c r="C1014" i="1" s="1"/>
  <c r="C1015" i="1" a="1"/>
  <c r="C1015" i="1" s="1"/>
  <c r="C1016" i="1" a="1"/>
  <c r="C1016" i="1" s="1"/>
  <c r="C1017" i="1" a="1"/>
  <c r="C1017" i="1" s="1"/>
  <c r="C1018" i="1" a="1"/>
  <c r="C1018" i="1" s="1"/>
  <c r="C1019" i="1" a="1"/>
  <c r="C1019" i="1" s="1"/>
  <c r="C1020" i="1" a="1"/>
  <c r="C1020" i="1" s="1"/>
  <c r="C1021" i="1" a="1"/>
  <c r="C1021" i="1" s="1"/>
  <c r="C1022" i="1" a="1"/>
  <c r="C1022" i="1" s="1"/>
  <c r="C1023" i="1" a="1"/>
  <c r="C1023" i="1" s="1"/>
  <c r="C1024" i="1" a="1"/>
  <c r="C1024" i="1" s="1"/>
  <c r="C1025" i="1" a="1"/>
  <c r="C1025" i="1" s="1"/>
  <c r="C1026" i="1" a="1"/>
  <c r="C1026" i="1" s="1"/>
  <c r="C1027" i="1" a="1"/>
  <c r="C1027" i="1" s="1"/>
  <c r="C1028" i="1" a="1"/>
  <c r="C1028" i="1" s="1"/>
  <c r="C1029" i="1" a="1"/>
  <c r="C1029" i="1" s="1"/>
  <c r="C1030" i="1" a="1"/>
  <c r="C1030" i="1" s="1"/>
  <c r="C1031" i="1" a="1"/>
  <c r="C1031" i="1" s="1"/>
  <c r="C1032" i="1" a="1"/>
  <c r="C1032" i="1" s="1"/>
  <c r="C1033" i="1" a="1"/>
  <c r="C1033" i="1" s="1"/>
  <c r="C1034" i="1" a="1"/>
  <c r="C1034" i="1" s="1"/>
  <c r="C1035" i="1" a="1"/>
  <c r="C1035" i="1" s="1"/>
  <c r="C1036" i="1" a="1"/>
  <c r="C1036" i="1" s="1"/>
  <c r="C1037" i="1" a="1"/>
  <c r="C1037" i="1" s="1"/>
  <c r="C1038" i="1" a="1"/>
  <c r="C1038" i="1" s="1"/>
  <c r="C1039" i="1" a="1"/>
  <c r="C1039" i="1" s="1"/>
  <c r="C1040" i="1" a="1"/>
  <c r="C1040" i="1" s="1"/>
  <c r="C1041" i="1" a="1"/>
  <c r="C1041" i="1" s="1"/>
  <c r="C1042" i="1" a="1"/>
  <c r="C1042" i="1" s="1"/>
  <c r="C1043" i="1" a="1"/>
  <c r="C1043" i="1" s="1"/>
  <c r="C1044" i="1" a="1"/>
  <c r="C1044" i="1" s="1"/>
  <c r="C1045" i="1" a="1"/>
  <c r="C1045" i="1" s="1"/>
  <c r="C1046" i="1" a="1"/>
  <c r="C1046" i="1" s="1"/>
  <c r="C1047" i="1" a="1"/>
  <c r="C1047" i="1" s="1"/>
  <c r="C1048" i="1" a="1"/>
  <c r="C1048" i="1" s="1"/>
  <c r="C1049" i="1" a="1"/>
  <c r="C1049" i="1" s="1"/>
  <c r="C1050" i="1" a="1"/>
  <c r="C1050" i="1" s="1"/>
  <c r="C1051" i="1" a="1"/>
  <c r="C1051" i="1" s="1"/>
  <c r="C1052" i="1" a="1"/>
  <c r="C1052" i="1" s="1"/>
  <c r="C1053" i="1" a="1"/>
  <c r="C1053" i="1" s="1"/>
  <c r="C1054" i="1" a="1"/>
  <c r="C1054" i="1" s="1"/>
  <c r="C1055" i="1" a="1"/>
  <c r="C1055" i="1" s="1"/>
  <c r="C1056" i="1" a="1"/>
  <c r="C1056" i="1" s="1"/>
  <c r="C1057" i="1" a="1"/>
  <c r="C1057" i="1" s="1"/>
  <c r="C1058" i="1" a="1"/>
  <c r="C1058" i="1"/>
  <c r="C1059" i="1" a="1"/>
  <c r="C1059" i="1" s="1"/>
  <c r="C1060" i="1" a="1"/>
  <c r="C1060" i="1" s="1"/>
  <c r="C1061" i="1" a="1"/>
  <c r="C1061" i="1" s="1"/>
  <c r="C1062" i="1" a="1"/>
  <c r="C1062" i="1" s="1"/>
  <c r="C1063" i="1" a="1"/>
  <c r="C1063" i="1" s="1"/>
  <c r="C1064" i="1" a="1"/>
  <c r="C1064" i="1" s="1"/>
  <c r="C1065" i="1" a="1"/>
  <c r="C1065" i="1" s="1"/>
  <c r="C1066" i="1" a="1"/>
  <c r="C1066" i="1" s="1"/>
  <c r="C1067" i="1" a="1"/>
  <c r="C1067" i="1" s="1"/>
  <c r="C1068" i="1" a="1"/>
  <c r="C1068" i="1" s="1"/>
  <c r="C1069" i="1" a="1"/>
  <c r="C1069" i="1" s="1"/>
  <c r="C1070" i="1" a="1"/>
  <c r="C1070" i="1" s="1"/>
  <c r="C1071" i="1" a="1"/>
  <c r="C1071" i="1" s="1"/>
  <c r="C1072" i="1" a="1"/>
  <c r="C1072" i="1" s="1"/>
  <c r="C1073" i="1" a="1"/>
  <c r="C1073" i="1" s="1"/>
  <c r="C1074" i="1" a="1"/>
  <c r="C1074" i="1" s="1"/>
  <c r="C1075" i="1" a="1"/>
  <c r="C1075" i="1" s="1"/>
  <c r="C1076" i="1" a="1"/>
  <c r="C1076" i="1" s="1"/>
  <c r="C1077" i="1" a="1"/>
  <c r="C1077" i="1" s="1"/>
  <c r="C1078" i="1" a="1"/>
  <c r="C1078" i="1" s="1"/>
  <c r="C1079" i="1" a="1"/>
  <c r="C1079" i="1" s="1"/>
  <c r="C1080" i="1" a="1"/>
  <c r="C1080" i="1" s="1"/>
  <c r="C1081" i="1" a="1"/>
  <c r="C1081" i="1" s="1"/>
  <c r="C1082" i="1" a="1"/>
  <c r="C1082" i="1" s="1"/>
  <c r="C1083" i="1" a="1"/>
  <c r="C1083" i="1" s="1"/>
  <c r="C1084" i="1" a="1"/>
  <c r="C1084" i="1" s="1"/>
  <c r="C1085" i="1" a="1"/>
  <c r="C1085" i="1" s="1"/>
  <c r="C1086" i="1" a="1"/>
  <c r="C1086" i="1" s="1"/>
  <c r="C1087" i="1" a="1"/>
  <c r="C1087" i="1" s="1"/>
  <c r="C1088" i="1" a="1"/>
  <c r="C1088" i="1" s="1"/>
  <c r="C1089" i="1" a="1"/>
  <c r="C1089" i="1" s="1"/>
  <c r="C1090" i="1" a="1"/>
  <c r="C1090" i="1" s="1"/>
  <c r="C1091" i="1" a="1"/>
  <c r="C1091" i="1" s="1"/>
  <c r="C1092" i="1" a="1"/>
  <c r="C1092" i="1" s="1"/>
  <c r="C1093" i="1" a="1"/>
  <c r="C1093" i="1" s="1"/>
  <c r="C1094" i="1" a="1"/>
  <c r="C1094" i="1" s="1"/>
  <c r="C1095" i="1" a="1"/>
  <c r="C1095" i="1" s="1"/>
  <c r="C1096" i="1" a="1"/>
  <c r="C1096" i="1" s="1"/>
  <c r="C1097" i="1" a="1"/>
  <c r="C1097" i="1" s="1"/>
  <c r="C1098" i="1" a="1"/>
  <c r="C1098" i="1" s="1"/>
  <c r="C1099" i="1" a="1"/>
  <c r="C1099" i="1" s="1"/>
  <c r="C1100" i="1" a="1"/>
  <c r="C1100" i="1" s="1"/>
  <c r="C1101" i="1" a="1"/>
  <c r="C1101" i="1" s="1"/>
  <c r="C1102" i="1" a="1"/>
  <c r="C1102" i="1" s="1"/>
  <c r="C1103" i="1" a="1"/>
  <c r="C1103" i="1" s="1"/>
  <c r="C1104" i="1" a="1"/>
  <c r="C1104" i="1" s="1"/>
  <c r="C1105" i="1" a="1"/>
  <c r="C1105" i="1" s="1"/>
  <c r="C1106" i="1" a="1"/>
  <c r="C1106" i="1" s="1"/>
  <c r="C1107" i="1" a="1"/>
  <c r="C1107" i="1" s="1"/>
  <c r="C1108" i="1" a="1"/>
  <c r="C1108" i="1" s="1"/>
  <c r="C1109" i="1" a="1"/>
  <c r="C1109" i="1" s="1"/>
  <c r="C1110" i="1" a="1"/>
  <c r="C1110" i="1" s="1"/>
  <c r="C1111" i="1" a="1"/>
  <c r="C1111" i="1" s="1"/>
  <c r="C1112" i="1" a="1"/>
  <c r="C1112" i="1" s="1"/>
  <c r="C1113" i="1" a="1"/>
  <c r="C1113" i="1" s="1"/>
  <c r="C1114" i="1" a="1"/>
  <c r="C1114" i="1" s="1"/>
  <c r="C1115" i="1" a="1"/>
  <c r="C1115" i="1" s="1"/>
  <c r="C1116" i="1" a="1"/>
  <c r="C1116" i="1" s="1"/>
  <c r="C1117" i="1" a="1"/>
  <c r="C1117" i="1" s="1"/>
  <c r="C1118" i="1" a="1"/>
  <c r="C1118" i="1" s="1"/>
  <c r="C1119" i="1" a="1"/>
  <c r="C1119" i="1" s="1"/>
  <c r="C1120" i="1" a="1"/>
  <c r="C1120" i="1" s="1"/>
  <c r="C1121" i="1" a="1"/>
  <c r="C1121" i="1" s="1"/>
  <c r="C1122" i="1" a="1"/>
  <c r="C1122" i="1" s="1"/>
  <c r="C1123" i="1" a="1"/>
  <c r="C1123" i="1" s="1"/>
  <c r="C1124" i="1" a="1"/>
  <c r="C1124" i="1" s="1"/>
  <c r="C1125" i="1" a="1"/>
  <c r="C1125" i="1" s="1"/>
  <c r="C1126" i="1" a="1"/>
  <c r="C1126" i="1" s="1"/>
  <c r="C1127" i="1" a="1"/>
  <c r="C1127" i="1" s="1"/>
  <c r="C1128" i="1" a="1"/>
  <c r="C1128" i="1" s="1"/>
  <c r="C1129" i="1" a="1"/>
  <c r="C1129" i="1" s="1"/>
  <c r="C1130" i="1" a="1"/>
  <c r="C1130" i="1" s="1"/>
  <c r="C1131" i="1" a="1"/>
  <c r="C1131" i="1" s="1"/>
  <c r="C1132" i="1" a="1"/>
  <c r="C1132" i="1"/>
  <c r="C1133" i="1" a="1"/>
  <c r="C1133" i="1" s="1"/>
  <c r="C1134" i="1" a="1"/>
  <c r="C1134" i="1" s="1"/>
  <c r="C1135" i="1" a="1"/>
  <c r="C1135" i="1" s="1"/>
  <c r="C1136" i="1" a="1"/>
  <c r="C1136" i="1" s="1"/>
  <c r="C1137" i="1" a="1"/>
  <c r="C1137" i="1" s="1"/>
  <c r="C1138" i="1" a="1"/>
  <c r="C1138" i="1" s="1"/>
  <c r="C1139" i="1" a="1"/>
  <c r="C1139" i="1" s="1"/>
  <c r="C1140" i="1" a="1"/>
  <c r="C1140" i="1" s="1"/>
  <c r="C1141" i="1" a="1"/>
  <c r="C1141" i="1" s="1"/>
  <c r="C1142" i="1" a="1"/>
  <c r="C1142" i="1" s="1"/>
  <c r="C1143" i="1" a="1"/>
  <c r="C1143" i="1" s="1"/>
  <c r="C1144" i="1" a="1"/>
  <c r="C1144" i="1" s="1"/>
  <c r="C1145" i="1" a="1"/>
  <c r="C1145" i="1" s="1"/>
  <c r="C1146" i="1" a="1"/>
  <c r="C1146" i="1" s="1"/>
  <c r="C1147" i="1" a="1"/>
  <c r="C1147" i="1" s="1"/>
  <c r="C1148" i="1" a="1"/>
  <c r="C1148" i="1"/>
  <c r="C1149" i="1" a="1"/>
  <c r="C1149" i="1" s="1"/>
  <c r="C1150" i="1" a="1"/>
  <c r="C1150" i="1" s="1"/>
  <c r="C1151" i="1" a="1"/>
  <c r="C1151" i="1" s="1"/>
  <c r="C1152" i="1" a="1"/>
  <c r="C1152" i="1" s="1"/>
  <c r="C1153" i="1" a="1"/>
  <c r="C1153" i="1" s="1"/>
  <c r="C1154" i="1" a="1"/>
  <c r="C1154" i="1" s="1"/>
  <c r="C1155" i="1" a="1"/>
  <c r="C1155" i="1" s="1"/>
  <c r="C1156" i="1" a="1"/>
  <c r="C1156" i="1" s="1"/>
  <c r="C1157" i="1" a="1"/>
  <c r="C1157" i="1" s="1"/>
  <c r="C1158" i="1" a="1"/>
  <c r="C1158" i="1" s="1"/>
  <c r="C1159" i="1" a="1"/>
  <c r="C1159" i="1" s="1"/>
  <c r="C1160" i="1" a="1"/>
  <c r="C1160" i="1" s="1"/>
  <c r="C1161" i="1" a="1"/>
  <c r="C1161" i="1" s="1"/>
  <c r="C1162" i="1" a="1"/>
  <c r="C1162" i="1" s="1"/>
  <c r="C1163" i="1" a="1"/>
  <c r="C1163" i="1" s="1"/>
  <c r="C1164" i="1" a="1"/>
  <c r="C1164" i="1" s="1"/>
  <c r="C1165" i="1" a="1"/>
  <c r="C1165" i="1" s="1"/>
  <c r="C1166" i="1" a="1"/>
  <c r="C1166" i="1"/>
  <c r="C1167" i="1" a="1"/>
  <c r="C1167" i="1" s="1"/>
  <c r="C1168" i="1" a="1"/>
  <c r="C1168" i="1" s="1"/>
  <c r="C1169" i="1" a="1"/>
  <c r="C1169" i="1" s="1"/>
  <c r="C1170" i="1" a="1"/>
  <c r="C1170" i="1" s="1"/>
  <c r="C1171" i="1" a="1"/>
  <c r="C1171" i="1" s="1"/>
  <c r="C1172" i="1" a="1"/>
  <c r="C1172" i="1" s="1"/>
  <c r="C1173" i="1" a="1"/>
  <c r="C1173" i="1" s="1"/>
  <c r="C1174" i="1" a="1"/>
  <c r="C1174" i="1" s="1"/>
  <c r="C1175" i="1" a="1"/>
  <c r="C1175" i="1" s="1"/>
  <c r="C1176" i="1" a="1"/>
  <c r="C1176" i="1" s="1"/>
  <c r="C1177" i="1" a="1"/>
  <c r="C1177" i="1" s="1"/>
  <c r="C1178" i="1" a="1"/>
  <c r="C1178" i="1" s="1"/>
  <c r="C1179" i="1" a="1"/>
  <c r="C1179" i="1" s="1"/>
  <c r="C1180" i="1" a="1"/>
  <c r="C1180" i="1"/>
  <c r="C1181" i="1" a="1"/>
  <c r="C1181" i="1" s="1"/>
  <c r="C1182" i="1" a="1"/>
  <c r="C1182" i="1" s="1"/>
  <c r="C1183" i="1" a="1"/>
  <c r="C1183" i="1" s="1"/>
  <c r="C1184" i="1" a="1"/>
  <c r="C1184" i="1" s="1"/>
  <c r="C1185" i="1" a="1"/>
  <c r="C1185" i="1" s="1"/>
  <c r="C1186" i="1" a="1"/>
  <c r="C1186" i="1" s="1"/>
  <c r="C1187" i="1" a="1"/>
  <c r="C1187" i="1" s="1"/>
  <c r="C1188" i="1" a="1"/>
  <c r="C1188" i="1" s="1"/>
  <c r="C1189" i="1" a="1"/>
  <c r="C1189" i="1" s="1"/>
  <c r="C1190" i="1" a="1"/>
  <c r="C1190" i="1" s="1"/>
  <c r="C1191" i="1" a="1"/>
  <c r="C1191" i="1" s="1"/>
  <c r="C1192" i="1" a="1"/>
  <c r="C1192" i="1" s="1"/>
  <c r="C1193" i="1" a="1"/>
  <c r="C1193" i="1" s="1"/>
  <c r="C1194" i="1" a="1"/>
  <c r="C1194" i="1" s="1"/>
  <c r="C1195" i="1" a="1"/>
  <c r="C1195" i="1" s="1"/>
  <c r="C1196" i="1" a="1"/>
  <c r="C1196" i="1" s="1"/>
  <c r="C1197" i="1" a="1"/>
  <c r="C1197" i="1" s="1"/>
  <c r="C1198" i="1" a="1"/>
  <c r="C1198" i="1" s="1"/>
  <c r="C1199" i="1" a="1"/>
  <c r="C1199" i="1" s="1"/>
  <c r="C1200" i="1" a="1"/>
  <c r="C1200" i="1" s="1"/>
  <c r="C1201" i="1" a="1"/>
  <c r="C1201" i="1" s="1"/>
  <c r="C1202" i="1" a="1"/>
  <c r="C1202" i="1" s="1"/>
  <c r="C1203" i="1" a="1"/>
  <c r="C1203" i="1" s="1"/>
  <c r="C1204" i="1" a="1"/>
  <c r="C1204" i="1" s="1"/>
  <c r="C1205" i="1" a="1"/>
  <c r="C1205" i="1" s="1"/>
  <c r="C1206" i="1" a="1"/>
  <c r="C1206" i="1" s="1"/>
  <c r="C1207" i="1" a="1"/>
  <c r="C1207" i="1" s="1"/>
  <c r="C1208" i="1" a="1"/>
  <c r="C1208" i="1" s="1"/>
  <c r="C1209" i="1" a="1"/>
  <c r="C1209" i="1" s="1"/>
  <c r="C1210" i="1" a="1"/>
  <c r="C1210" i="1" s="1"/>
  <c r="C1211" i="1" a="1"/>
  <c r="C1211" i="1" s="1"/>
  <c r="C1212" i="1" a="1"/>
  <c r="C1212" i="1" s="1"/>
  <c r="C1213" i="1" a="1"/>
  <c r="C1213" i="1" s="1"/>
  <c r="C1214" i="1" a="1"/>
  <c r="C1214" i="1" s="1"/>
  <c r="C1215" i="1" a="1"/>
  <c r="C1215" i="1" s="1"/>
  <c r="C1216" i="1" a="1"/>
  <c r="C1216" i="1" s="1"/>
  <c r="C1217" i="1" a="1"/>
  <c r="C1217" i="1" s="1"/>
  <c r="C1218" i="1" a="1"/>
  <c r="C1218" i="1" s="1"/>
  <c r="C1219" i="1" a="1"/>
  <c r="C1219" i="1" s="1"/>
  <c r="C1220" i="1" a="1"/>
  <c r="C1220" i="1" s="1"/>
  <c r="C1221" i="1" a="1"/>
  <c r="C1221" i="1" s="1"/>
  <c r="C1222" i="1" a="1"/>
  <c r="C1222" i="1" s="1"/>
  <c r="C1223" i="1" a="1"/>
  <c r="C1223" i="1" s="1"/>
  <c r="C1224" i="1" a="1"/>
  <c r="C1224" i="1" s="1"/>
  <c r="C1225" i="1" a="1"/>
  <c r="C1225" i="1" s="1"/>
  <c r="C1226" i="1" a="1"/>
  <c r="C1226" i="1" s="1"/>
  <c r="C1227" i="1" a="1"/>
  <c r="C1227" i="1" s="1"/>
  <c r="C1228" i="1" a="1"/>
  <c r="C1228" i="1" s="1"/>
  <c r="C1229" i="1" a="1"/>
  <c r="C1229" i="1" s="1"/>
  <c r="C1230" i="1" a="1"/>
  <c r="C1230" i="1" s="1"/>
  <c r="C1231" i="1" a="1"/>
  <c r="C1231" i="1" s="1"/>
  <c r="C1232" i="1" a="1"/>
  <c r="C1232" i="1" s="1"/>
  <c r="C1233" i="1" a="1"/>
  <c r="C1233" i="1" s="1"/>
  <c r="C1234" i="1" a="1"/>
  <c r="C1234" i="1" s="1"/>
  <c r="C1235" i="1" a="1"/>
  <c r="C1235" i="1" s="1"/>
  <c r="C1236" i="1" a="1"/>
  <c r="C1236" i="1" s="1"/>
  <c r="C1237" i="1" a="1"/>
  <c r="C1237" i="1" s="1"/>
  <c r="C1238" i="1" a="1"/>
  <c r="C1238" i="1" s="1"/>
  <c r="C1239" i="1" a="1"/>
  <c r="C1239" i="1" s="1"/>
  <c r="C1240" i="1" a="1"/>
  <c r="C1240" i="1" s="1"/>
  <c r="C1241" i="1" a="1"/>
  <c r="C1241" i="1" s="1"/>
  <c r="C1242" i="1" a="1"/>
  <c r="C1242" i="1" s="1"/>
  <c r="C1243" i="1" a="1"/>
  <c r="C1243" i="1" s="1"/>
  <c r="C1244" i="1" a="1"/>
  <c r="C1244" i="1" s="1"/>
  <c r="C1245" i="1" a="1"/>
  <c r="C1245" i="1" s="1"/>
  <c r="C1246" i="1" a="1"/>
  <c r="C1246" i="1" s="1"/>
  <c r="C1247" i="1" a="1"/>
  <c r="C1247" i="1" s="1"/>
  <c r="C1248" i="1" a="1"/>
  <c r="C1248" i="1" s="1"/>
  <c r="C1249" i="1" a="1"/>
  <c r="C1249" i="1" s="1"/>
  <c r="C1250" i="1" a="1"/>
  <c r="C1250" i="1" s="1"/>
  <c r="C1251" i="1" a="1"/>
  <c r="C1251" i="1" s="1"/>
  <c r="C1252" i="1" a="1"/>
  <c r="C1252" i="1"/>
  <c r="C1253" i="1" a="1"/>
  <c r="C1253" i="1" s="1"/>
  <c r="C1254" i="1" a="1"/>
  <c r="C1254" i="1" s="1"/>
  <c r="C1255" i="1" a="1"/>
  <c r="C1255" i="1" s="1"/>
  <c r="C1256" i="1" a="1"/>
  <c r="C1256" i="1" s="1"/>
  <c r="C1257" i="1" a="1"/>
  <c r="C1257" i="1" s="1"/>
  <c r="C1258" i="1" a="1"/>
  <c r="C1258" i="1" s="1"/>
  <c r="C1259" i="1" a="1"/>
  <c r="C1259" i="1" s="1"/>
  <c r="C1260" i="1" a="1"/>
  <c r="C1260" i="1" s="1"/>
  <c r="C1261" i="1" a="1"/>
  <c r="C1261" i="1" s="1"/>
  <c r="C1262" i="1" a="1"/>
  <c r="C1262" i="1" s="1"/>
  <c r="C1263" i="1" a="1"/>
  <c r="C1263" i="1" s="1"/>
  <c r="C1264" i="1" a="1"/>
  <c r="C1264" i="1" s="1"/>
  <c r="C1265" i="1" a="1"/>
  <c r="C1265" i="1" s="1"/>
  <c r="C1266" i="1" a="1"/>
  <c r="C1266" i="1" s="1"/>
  <c r="C1267" i="1" a="1"/>
  <c r="C1267" i="1" s="1"/>
  <c r="C1268" i="1" a="1"/>
  <c r="C1268" i="1" s="1"/>
  <c r="C1269" i="1" a="1"/>
  <c r="C1269" i="1" s="1"/>
  <c r="C1270" i="1" a="1"/>
  <c r="C1270" i="1" s="1"/>
  <c r="C1271" i="1" a="1"/>
  <c r="C1271" i="1" s="1"/>
  <c r="C1272" i="1" a="1"/>
  <c r="C1272" i="1" s="1"/>
  <c r="C1273" i="1" a="1"/>
  <c r="C1273" i="1" s="1"/>
  <c r="C1274" i="1" a="1"/>
  <c r="C1274" i="1" s="1"/>
  <c r="C1275" i="1" a="1"/>
  <c r="C1275" i="1" s="1"/>
  <c r="C1276" i="1" a="1"/>
  <c r="C1276" i="1" s="1"/>
  <c r="C1277" i="1" a="1"/>
  <c r="C1277" i="1" s="1"/>
  <c r="C1278" i="1" a="1"/>
  <c r="C1278" i="1" s="1"/>
  <c r="C1279" i="1" a="1"/>
  <c r="C1279" i="1" s="1"/>
  <c r="C1280" i="1" a="1"/>
  <c r="C1280" i="1" s="1"/>
  <c r="C1281" i="1" a="1"/>
  <c r="C1281" i="1" s="1"/>
  <c r="C1282" i="1" a="1"/>
  <c r="C1282" i="1" s="1"/>
  <c r="C1283" i="1" a="1"/>
  <c r="C1283" i="1" s="1"/>
  <c r="C1284" i="1" a="1"/>
  <c r="C1284" i="1" s="1"/>
  <c r="C1285" i="1" a="1"/>
  <c r="C1285" i="1" s="1"/>
  <c r="C1286" i="1" a="1"/>
  <c r="C1286" i="1" s="1"/>
  <c r="C1287" i="1" a="1"/>
  <c r="C1287" i="1" s="1"/>
  <c r="C1288" i="1" a="1"/>
  <c r="C1288" i="1" s="1"/>
  <c r="C1289" i="1" a="1"/>
  <c r="C1289" i="1" s="1"/>
  <c r="C1290" i="1" a="1"/>
  <c r="C1290" i="1" s="1"/>
  <c r="C1291" i="1" a="1"/>
  <c r="C1291" i="1" s="1"/>
  <c r="C1292" i="1" a="1"/>
  <c r="C1292" i="1" s="1"/>
  <c r="C1293" i="1" a="1"/>
  <c r="C1293" i="1" s="1"/>
  <c r="C1294" i="1" a="1"/>
  <c r="C1294" i="1" s="1"/>
  <c r="C1295" i="1" a="1"/>
  <c r="C1295" i="1" s="1"/>
  <c r="C1296" i="1" a="1"/>
  <c r="C1296" i="1" s="1"/>
  <c r="C1297" i="1" a="1"/>
  <c r="C1297" i="1" s="1"/>
  <c r="C1298" i="1" a="1"/>
  <c r="C1298" i="1" s="1"/>
  <c r="C1299" i="1" a="1"/>
  <c r="C1299" i="1" s="1"/>
  <c r="C1300" i="1" a="1"/>
  <c r="C1300" i="1" s="1"/>
  <c r="C1301" i="1" a="1"/>
  <c r="C1301" i="1" s="1"/>
  <c r="C1302" i="1" a="1"/>
  <c r="C1302" i="1" s="1"/>
  <c r="C1303" i="1" a="1"/>
  <c r="C1303" i="1" s="1"/>
  <c r="C1304" i="1" a="1"/>
  <c r="C1304" i="1" s="1"/>
  <c r="C1305" i="1" a="1"/>
  <c r="C1305" i="1" s="1"/>
  <c r="C1306" i="1" a="1"/>
  <c r="C1306" i="1" s="1"/>
  <c r="C1307" i="1" a="1"/>
  <c r="C1307" i="1" s="1"/>
  <c r="C1308" i="1" a="1"/>
  <c r="C1308" i="1" s="1"/>
  <c r="C1309" i="1" a="1"/>
  <c r="C1309" i="1" s="1"/>
  <c r="C1310" i="1" a="1"/>
  <c r="C1310" i="1" s="1"/>
  <c r="C1311" i="1" a="1"/>
  <c r="C1311" i="1" s="1"/>
  <c r="C1312" i="1" a="1"/>
  <c r="C1312" i="1" s="1"/>
  <c r="C1313" i="1" a="1"/>
  <c r="C1313" i="1" s="1"/>
  <c r="C1314" i="1" a="1"/>
  <c r="C1314" i="1" s="1"/>
  <c r="C1315" i="1" a="1"/>
  <c r="C1315" i="1" s="1"/>
  <c r="C1316" i="1" a="1"/>
  <c r="C1316" i="1"/>
  <c r="C1317" i="1" a="1"/>
  <c r="C1317" i="1" s="1"/>
  <c r="C1318" i="1" a="1"/>
  <c r="C1318" i="1" s="1"/>
  <c r="C1319" i="1" a="1"/>
  <c r="C1319" i="1" s="1"/>
  <c r="C1320" i="1" a="1"/>
  <c r="C1320" i="1" s="1"/>
  <c r="C1321" i="1" a="1"/>
  <c r="C1321" i="1" s="1"/>
  <c r="C1322" i="1" a="1"/>
  <c r="C1322" i="1" s="1"/>
  <c r="C1323" i="1" a="1"/>
  <c r="C1323" i="1" s="1"/>
  <c r="C1324" i="1" a="1"/>
  <c r="C1324" i="1"/>
  <c r="C1325" i="1" a="1"/>
  <c r="C1325" i="1" s="1"/>
  <c r="C1326" i="1" a="1"/>
  <c r="C1326" i="1" s="1"/>
  <c r="C1327" i="1" a="1"/>
  <c r="C1327" i="1" s="1"/>
  <c r="C1328" i="1" a="1"/>
  <c r="C1328" i="1" s="1"/>
  <c r="C1329" i="1" a="1"/>
  <c r="C1329" i="1" s="1"/>
  <c r="C1330" i="1" a="1"/>
  <c r="C1330" i="1" s="1"/>
  <c r="C1331" i="1" a="1"/>
  <c r="C1331" i="1" s="1"/>
  <c r="C1332" i="1" a="1"/>
  <c r="C1332" i="1" s="1"/>
  <c r="C1333" i="1" a="1"/>
  <c r="C1333" i="1" s="1"/>
  <c r="C1334" i="1" a="1"/>
  <c r="C1334" i="1" s="1"/>
  <c r="C1335" i="1" a="1"/>
  <c r="C1335" i="1" s="1"/>
  <c r="C1336" i="1" a="1"/>
  <c r="C1336" i="1" s="1"/>
  <c r="C1337" i="1" a="1"/>
  <c r="C1337" i="1" s="1"/>
  <c r="C1338" i="1" a="1"/>
  <c r="C1338" i="1" s="1"/>
  <c r="C1339" i="1" a="1"/>
  <c r="C1339" i="1" s="1"/>
  <c r="C1340" i="1" a="1"/>
  <c r="C1340" i="1" s="1"/>
  <c r="C1341" i="1" a="1"/>
  <c r="C1341" i="1" s="1"/>
  <c r="C1342" i="1" a="1"/>
  <c r="C1342" i="1" s="1"/>
  <c r="C1343" i="1" a="1"/>
  <c r="C1343" i="1" s="1"/>
  <c r="C1344" i="1" a="1"/>
  <c r="C1344" i="1" s="1"/>
  <c r="C1345" i="1" a="1"/>
  <c r="C1345" i="1" s="1"/>
  <c r="C1346" i="1" a="1"/>
  <c r="C1346" i="1" s="1"/>
  <c r="C1347" i="1" a="1"/>
  <c r="C1347" i="1" s="1"/>
  <c r="C1348" i="1" a="1"/>
  <c r="C1348" i="1" s="1"/>
  <c r="C1349" i="1" a="1"/>
  <c r="C1349" i="1" s="1"/>
  <c r="C1350" i="1" a="1"/>
  <c r="C1350" i="1" s="1"/>
  <c r="C1351" i="1" a="1"/>
  <c r="C1351" i="1" s="1"/>
  <c r="C1352" i="1" a="1"/>
  <c r="C1352" i="1" s="1"/>
  <c r="C1353" i="1" a="1"/>
  <c r="C1353" i="1" s="1"/>
  <c r="C1354" i="1" a="1"/>
  <c r="C1354" i="1" s="1"/>
  <c r="C1355" i="1" a="1"/>
  <c r="C1355" i="1" s="1"/>
  <c r="C1356" i="1" a="1"/>
  <c r="C1356" i="1" s="1"/>
  <c r="C1357" i="1" a="1"/>
  <c r="C1357" i="1" s="1"/>
  <c r="C1358" i="1" a="1"/>
  <c r="C1358" i="1" s="1"/>
  <c r="C1359" i="1" a="1"/>
  <c r="C1359" i="1" s="1"/>
  <c r="C1360" i="1" a="1"/>
  <c r="C1360" i="1" s="1"/>
  <c r="C1361" i="1" a="1"/>
  <c r="C1361" i="1" s="1"/>
  <c r="C1362" i="1" a="1"/>
  <c r="C1362" i="1" s="1"/>
  <c r="C1363" i="1" a="1"/>
  <c r="C1363" i="1" s="1"/>
  <c r="C1364" i="1" a="1"/>
  <c r="C1364" i="1" s="1"/>
  <c r="C1365" i="1" a="1"/>
  <c r="C1365" i="1" s="1"/>
  <c r="C1366" i="1" a="1"/>
  <c r="C1366" i="1" s="1"/>
  <c r="C1367" i="1" a="1"/>
  <c r="C1367" i="1" s="1"/>
  <c r="C1368" i="1" a="1"/>
  <c r="C1368" i="1" s="1"/>
  <c r="C1369" i="1" a="1"/>
  <c r="C1369" i="1" s="1"/>
  <c r="C1370" i="1" a="1"/>
  <c r="C1370" i="1" s="1"/>
  <c r="C1371" i="1" a="1"/>
  <c r="C1371" i="1" s="1"/>
  <c r="C1372" i="1" a="1"/>
  <c r="C1372" i="1" s="1"/>
  <c r="C1373" i="1" a="1"/>
  <c r="C1373" i="1" s="1"/>
  <c r="C1374" i="1" a="1"/>
  <c r="C1374" i="1" s="1"/>
  <c r="C1375" i="1" a="1"/>
  <c r="C1375" i="1" s="1"/>
  <c r="C1376" i="1" a="1"/>
  <c r="C1376" i="1" s="1"/>
  <c r="C1377" i="1" a="1"/>
  <c r="C1377" i="1" s="1"/>
  <c r="C1378" i="1" a="1"/>
  <c r="C1378" i="1" s="1"/>
  <c r="C1379" i="1" a="1"/>
  <c r="C1379" i="1" s="1"/>
  <c r="C1380" i="1" a="1"/>
  <c r="C1380" i="1" s="1"/>
  <c r="C1381" i="1" a="1"/>
  <c r="C1381" i="1" s="1"/>
  <c r="C1382" i="1" a="1"/>
  <c r="C1382" i="1" s="1"/>
  <c r="C1383" i="1" a="1"/>
  <c r="C1383" i="1" s="1"/>
  <c r="C1384" i="1" a="1"/>
  <c r="C1384" i="1" s="1"/>
  <c r="C1385" i="1" a="1"/>
  <c r="C1385" i="1" s="1"/>
  <c r="C1386" i="1" a="1"/>
  <c r="C1386" i="1" s="1"/>
  <c r="C1387" i="1" a="1"/>
  <c r="C1387" i="1" s="1"/>
  <c r="C1388" i="1" a="1"/>
  <c r="C1388" i="1" s="1"/>
  <c r="C1389" i="1" a="1"/>
  <c r="C1389" i="1" s="1"/>
  <c r="C1390" i="1" a="1"/>
  <c r="C1390" i="1" s="1"/>
  <c r="C1391" i="1" a="1"/>
  <c r="C1391" i="1" s="1"/>
  <c r="C1392" i="1" a="1"/>
  <c r="C1392" i="1" s="1"/>
  <c r="C1393" i="1" a="1"/>
  <c r="C1393" i="1" s="1"/>
  <c r="C1394" i="1" a="1"/>
  <c r="C1394" i="1" s="1"/>
  <c r="C1395" i="1" a="1"/>
  <c r="C1395" i="1" s="1"/>
  <c r="C1396" i="1" a="1"/>
  <c r="C1396" i="1" s="1"/>
  <c r="C1397" i="1" a="1"/>
  <c r="C1397" i="1" s="1"/>
  <c r="C1398" i="1" a="1"/>
  <c r="C1398" i="1" s="1"/>
  <c r="C1399" i="1" a="1"/>
  <c r="C1399" i="1" s="1"/>
  <c r="C1400" i="1" a="1"/>
  <c r="C1400" i="1" s="1"/>
  <c r="C1401" i="1" a="1"/>
  <c r="C1401" i="1" s="1"/>
  <c r="C1402" i="1" a="1"/>
  <c r="C1402" i="1" s="1"/>
  <c r="C1403" i="1" a="1"/>
  <c r="C1403" i="1" s="1"/>
  <c r="C1404" i="1" a="1"/>
  <c r="C1404" i="1" s="1"/>
  <c r="C1405" i="1" a="1"/>
  <c r="C1405" i="1" s="1"/>
  <c r="C1406" i="1" a="1"/>
  <c r="C1406" i="1" s="1"/>
  <c r="C1407" i="1" a="1"/>
  <c r="C1407" i="1" s="1"/>
  <c r="C1408" i="1" a="1"/>
  <c r="C1408" i="1" s="1"/>
  <c r="C1409" i="1" a="1"/>
  <c r="C1409" i="1" s="1"/>
  <c r="C1410" i="1" a="1"/>
  <c r="C1410" i="1" s="1"/>
  <c r="C1411" i="1" a="1"/>
  <c r="C1411" i="1" s="1"/>
  <c r="C1412" i="1" a="1"/>
  <c r="C1412" i="1" s="1"/>
  <c r="C1413" i="1" a="1"/>
  <c r="C1413" i="1" s="1"/>
  <c r="C1414" i="1" a="1"/>
  <c r="C1414" i="1" s="1"/>
  <c r="C1415" i="1" a="1"/>
  <c r="C1415" i="1" s="1"/>
  <c r="C1416" i="1" a="1"/>
  <c r="C1416" i="1" s="1"/>
  <c r="C1417" i="1" a="1"/>
  <c r="C1417" i="1" s="1"/>
  <c r="C1418" i="1" a="1"/>
  <c r="C1418" i="1" s="1"/>
  <c r="C1419" i="1" a="1"/>
  <c r="C1419" i="1" s="1"/>
  <c r="C1420" i="1" a="1"/>
  <c r="C1420" i="1" s="1"/>
  <c r="C1421" i="1" a="1"/>
  <c r="C1421" i="1" s="1"/>
  <c r="C1422" i="1" a="1"/>
  <c r="C1422" i="1" s="1"/>
  <c r="C1423" i="1" a="1"/>
  <c r="C1423" i="1" s="1"/>
  <c r="C1424" i="1" a="1"/>
  <c r="C1424" i="1" s="1"/>
  <c r="C1425" i="1" a="1"/>
  <c r="C1425" i="1" s="1"/>
  <c r="C1426" i="1" a="1"/>
  <c r="C1426" i="1" s="1"/>
  <c r="C1427" i="1" a="1"/>
  <c r="C1427" i="1" s="1"/>
  <c r="C1428" i="1" a="1"/>
  <c r="C1428" i="1" s="1"/>
  <c r="C1429" i="1" a="1"/>
  <c r="C1429" i="1" s="1"/>
  <c r="C1430" i="1" a="1"/>
  <c r="C1430" i="1" s="1"/>
  <c r="C1431" i="1" a="1"/>
  <c r="C1431" i="1" s="1"/>
  <c r="C1432" i="1" a="1"/>
  <c r="C1432" i="1" s="1"/>
  <c r="C1433" i="1" a="1"/>
  <c r="C1433" i="1" s="1"/>
  <c r="C1434" i="1" a="1"/>
  <c r="C1434" i="1" s="1"/>
  <c r="C1435" i="1" a="1"/>
  <c r="C1435" i="1" s="1"/>
  <c r="C1436" i="1" a="1"/>
  <c r="C1436" i="1" s="1"/>
  <c r="C1437" i="1" a="1"/>
  <c r="C1437" i="1" s="1"/>
  <c r="C1438" i="1" a="1"/>
  <c r="C1438" i="1"/>
  <c r="C1439" i="1" a="1"/>
  <c r="C1439" i="1" s="1"/>
  <c r="C1440" i="1" a="1"/>
  <c r="C1440" i="1" s="1"/>
  <c r="C1441" i="1" a="1"/>
  <c r="C1441" i="1" s="1"/>
  <c r="C1442" i="1" a="1"/>
  <c r="C1442" i="1" s="1"/>
  <c r="C1443" i="1" a="1"/>
  <c r="C1443" i="1" s="1"/>
  <c r="C1444" i="1" a="1"/>
  <c r="C1444" i="1" s="1"/>
  <c r="C1445" i="1" a="1"/>
  <c r="C1445" i="1" s="1"/>
  <c r="C1446" i="1" a="1"/>
  <c r="C1446" i="1" s="1"/>
  <c r="C1447" i="1" a="1"/>
  <c r="C1447" i="1" s="1"/>
  <c r="C1448" i="1" a="1"/>
  <c r="C1448" i="1" s="1"/>
  <c r="C1449" i="1" a="1"/>
  <c r="C1449" i="1" s="1"/>
  <c r="C1450" i="1" a="1"/>
  <c r="C1450" i="1" s="1"/>
  <c r="C1451" i="1" a="1"/>
  <c r="C1451" i="1" s="1"/>
  <c r="C1452" i="1" a="1"/>
  <c r="C1452" i="1" s="1"/>
  <c r="C1453" i="1" a="1"/>
  <c r="C1453" i="1" s="1"/>
  <c r="C1454" i="1" a="1"/>
  <c r="C1454" i="1" s="1"/>
  <c r="C1455" i="1" a="1"/>
  <c r="C1455" i="1" s="1"/>
  <c r="C1456" i="1" a="1"/>
  <c r="C1456" i="1" s="1"/>
  <c r="C1457" i="1" a="1"/>
  <c r="C1457" i="1" s="1"/>
  <c r="C1458" i="1" a="1"/>
  <c r="C1458" i="1" s="1"/>
  <c r="C1459" i="1" a="1"/>
  <c r="C1459" i="1" s="1"/>
  <c r="C1460" i="1" a="1"/>
  <c r="C1460" i="1" s="1"/>
  <c r="C1461" i="1" a="1"/>
  <c r="C1461" i="1" s="1"/>
  <c r="C1462" i="1" a="1"/>
  <c r="C1462" i="1" s="1"/>
  <c r="C1463" i="1" a="1"/>
  <c r="C1463" i="1" s="1"/>
  <c r="C1464" i="1" a="1"/>
  <c r="C1464" i="1" s="1"/>
  <c r="C1465" i="1" a="1"/>
  <c r="C1465" i="1"/>
  <c r="C1466" i="1" a="1"/>
  <c r="C1466" i="1" s="1"/>
  <c r="C1467" i="1" a="1"/>
  <c r="C1467" i="1" s="1"/>
  <c r="C1468" i="1" a="1"/>
  <c r="C1468" i="1" s="1"/>
  <c r="C1469" i="1" a="1"/>
  <c r="C1469" i="1" s="1"/>
  <c r="C1470" i="1" a="1"/>
  <c r="C1470" i="1" s="1"/>
  <c r="C1471" i="1" a="1"/>
  <c r="C1471" i="1" s="1"/>
  <c r="C1472" i="1" a="1"/>
  <c r="C1472" i="1"/>
  <c r="C1473" i="1" a="1"/>
  <c r="C1473" i="1" s="1"/>
  <c r="C1474" i="1" a="1"/>
  <c r="C1474" i="1" s="1"/>
  <c r="C1475" i="1" a="1"/>
  <c r="C1475" i="1" s="1"/>
  <c r="C1476" i="1" a="1"/>
  <c r="C1476" i="1" s="1"/>
  <c r="C1477" i="1" a="1"/>
  <c r="C1477" i="1" s="1"/>
  <c r="C1478" i="1" a="1"/>
  <c r="C1478" i="1" s="1"/>
  <c r="C1479" i="1" a="1"/>
  <c r="C1479" i="1" s="1"/>
  <c r="C1480" i="1" a="1"/>
  <c r="C1480" i="1" s="1"/>
  <c r="C1481" i="1" a="1"/>
  <c r="C1481" i="1" s="1"/>
  <c r="C1482" i="1" a="1"/>
  <c r="C1482" i="1" s="1"/>
  <c r="C1483" i="1" a="1"/>
  <c r="C1483" i="1" s="1"/>
  <c r="C1484" i="1" a="1"/>
  <c r="C1484" i="1" s="1"/>
  <c r="C1485" i="1" a="1"/>
  <c r="C1485" i="1" s="1"/>
  <c r="C1486" i="1" a="1"/>
  <c r="C1486" i="1" s="1"/>
  <c r="C1487" i="1" a="1"/>
  <c r="C1487" i="1" s="1"/>
  <c r="C1488" i="1" a="1"/>
  <c r="C1488" i="1" s="1"/>
  <c r="C1489" i="1" a="1"/>
  <c r="C1489" i="1" s="1"/>
  <c r="C1490" i="1" a="1"/>
  <c r="C1490" i="1" s="1"/>
  <c r="C1491" i="1" a="1"/>
  <c r="C1491" i="1" s="1"/>
  <c r="C1492" i="1" a="1"/>
  <c r="C1492" i="1" s="1"/>
  <c r="C1493" i="1" a="1"/>
  <c r="C1493" i="1" s="1"/>
  <c r="C1494" i="1" a="1"/>
  <c r="C1494" i="1" s="1"/>
  <c r="C1495" i="1" a="1"/>
  <c r="C1495" i="1"/>
  <c r="C1496" i="1" a="1"/>
  <c r="C1496" i="1" s="1"/>
  <c r="C1497" i="1" a="1"/>
  <c r="C1497" i="1" s="1"/>
  <c r="C1498" i="1" a="1"/>
  <c r="C1498" i="1" s="1"/>
  <c r="C1499" i="1" a="1"/>
  <c r="C1499" i="1" s="1"/>
  <c r="C1500" i="1" a="1"/>
  <c r="C1500" i="1" s="1"/>
  <c r="C1501" i="1" a="1"/>
  <c r="C1501" i="1"/>
  <c r="C1502" i="1" a="1"/>
  <c r="C1502" i="1" s="1"/>
  <c r="C1503" i="1" a="1"/>
  <c r="C1503" i="1" s="1"/>
  <c r="C1504" i="1" a="1"/>
  <c r="C1504" i="1" s="1"/>
  <c r="C1505" i="1" a="1"/>
  <c r="C1505" i="1" s="1"/>
  <c r="C1506" i="1" a="1"/>
  <c r="C1506" i="1" s="1"/>
  <c r="C1507" i="1" a="1"/>
  <c r="C1507" i="1" s="1"/>
  <c r="C1508" i="1" a="1"/>
  <c r="C1508" i="1" s="1"/>
  <c r="C1509" i="1" a="1"/>
  <c r="C1509" i="1" s="1"/>
  <c r="C1510" i="1" a="1"/>
  <c r="C1510" i="1" s="1"/>
  <c r="C1511" i="1" a="1"/>
  <c r="C1511" i="1" s="1"/>
  <c r="C1512" i="1" a="1"/>
  <c r="C1512" i="1" s="1"/>
  <c r="C1513" i="1" a="1"/>
  <c r="C1513" i="1" s="1"/>
  <c r="C1514" i="1" a="1"/>
  <c r="C1514" i="1" s="1"/>
  <c r="C1515" i="1" a="1"/>
  <c r="C1515" i="1" s="1"/>
  <c r="C1516" i="1" a="1"/>
  <c r="C1516" i="1" s="1"/>
  <c r="C1517" i="1" a="1"/>
  <c r="C1517" i="1" s="1"/>
  <c r="C1518" i="1" a="1"/>
  <c r="C1518" i="1" s="1"/>
  <c r="C1519" i="1" a="1"/>
  <c r="C1519" i="1" s="1"/>
  <c r="C1520" i="1" a="1"/>
  <c r="C1520" i="1" s="1"/>
  <c r="C1521" i="1" a="1"/>
  <c r="C1521" i="1" s="1"/>
  <c r="C1522" i="1" a="1"/>
  <c r="C1522" i="1" s="1"/>
  <c r="C1523" i="1" a="1"/>
  <c r="C1523" i="1" s="1"/>
  <c r="C1524" i="1" a="1"/>
  <c r="C1524" i="1" s="1"/>
  <c r="C1525" i="1" a="1"/>
  <c r="C1525" i="1" s="1"/>
  <c r="C1526" i="1" a="1"/>
  <c r="C1526" i="1" s="1"/>
  <c r="C1527" i="1" a="1"/>
  <c r="C1527" i="1" s="1"/>
  <c r="C1528" i="1" a="1"/>
  <c r="C1528" i="1" s="1"/>
  <c r="C1529" i="1" a="1"/>
  <c r="C1529" i="1" s="1"/>
  <c r="C1530" i="1" a="1"/>
  <c r="C1530" i="1" s="1"/>
  <c r="C1531" i="1" a="1"/>
  <c r="C1531" i="1" s="1"/>
  <c r="C1532" i="1" a="1"/>
  <c r="C1532" i="1" s="1"/>
  <c r="C1533" i="1" a="1"/>
  <c r="C1533" i="1" s="1"/>
  <c r="C1534" i="1" a="1"/>
  <c r="C1534" i="1" s="1"/>
  <c r="C1535" i="1" a="1"/>
  <c r="C1535" i="1"/>
  <c r="C1536" i="1" a="1"/>
  <c r="C1536" i="1" s="1"/>
  <c r="C1537" i="1" a="1"/>
  <c r="C1537" i="1" s="1"/>
  <c r="C1538" i="1" a="1"/>
  <c r="C1538" i="1" s="1"/>
  <c r="C1539" i="1" a="1"/>
  <c r="C1539" i="1" s="1"/>
  <c r="C1540" i="1" a="1"/>
  <c r="C1540" i="1" s="1"/>
  <c r="C1541" i="1" a="1"/>
  <c r="C1541" i="1" s="1"/>
  <c r="C1542" i="1" a="1"/>
  <c r="C1542" i="1" s="1"/>
  <c r="C1543" i="1" a="1"/>
  <c r="C1543" i="1" s="1"/>
  <c r="C1544" i="1" a="1"/>
  <c r="C1544" i="1" s="1"/>
  <c r="C1545" i="1" a="1"/>
  <c r="C1545" i="1" s="1"/>
  <c r="C1546" i="1" a="1"/>
  <c r="C1546" i="1"/>
  <c r="C1547" i="1" a="1"/>
  <c r="C1547" i="1" s="1"/>
  <c r="C1548" i="1" a="1"/>
  <c r="C1548" i="1" s="1"/>
  <c r="C1549" i="1" a="1"/>
  <c r="C1549" i="1" s="1"/>
  <c r="C1550" i="1" a="1"/>
  <c r="C1550" i="1" s="1"/>
  <c r="C1551" i="1" a="1"/>
  <c r="C1551" i="1" s="1"/>
  <c r="C1552" i="1" a="1"/>
  <c r="C1552" i="1" s="1"/>
  <c r="C1553" i="1" a="1"/>
  <c r="C1553" i="1" s="1"/>
  <c r="C1554" i="1" a="1"/>
  <c r="C1554" i="1" s="1"/>
  <c r="C1555" i="1" a="1"/>
  <c r="C1555" i="1" s="1"/>
  <c r="C1556" i="1" a="1"/>
  <c r="C1556" i="1" s="1"/>
  <c r="C1557" i="1" a="1"/>
  <c r="C1557" i="1" s="1"/>
  <c r="C1558" i="1" a="1"/>
  <c r="C1558" i="1" s="1"/>
  <c r="C1559" i="1" a="1"/>
  <c r="C1559" i="1" s="1"/>
  <c r="C1560" i="1" a="1"/>
  <c r="C1560" i="1" s="1"/>
  <c r="C1561" i="1" a="1"/>
  <c r="C1561" i="1" s="1"/>
  <c r="C1562" i="1" a="1"/>
  <c r="C1562" i="1" s="1"/>
  <c r="C1563" i="1" a="1"/>
  <c r="C1563" i="1" s="1"/>
  <c r="C1564" i="1" a="1"/>
  <c r="C1564" i="1" s="1"/>
  <c r="C1565" i="1" a="1"/>
  <c r="C1565" i="1" s="1"/>
  <c r="C1566" i="1" a="1"/>
  <c r="C1566" i="1" s="1"/>
  <c r="C1567" i="1" a="1"/>
  <c r="C1567" i="1" s="1"/>
  <c r="C1568" i="1" a="1"/>
  <c r="C1568" i="1" s="1"/>
  <c r="C1569" i="1" a="1"/>
  <c r="C1569" i="1" s="1"/>
  <c r="C1570" i="1" a="1"/>
  <c r="C1570" i="1" s="1"/>
  <c r="C1571" i="1" a="1"/>
  <c r="C1571" i="1" s="1"/>
  <c r="C1572" i="1" a="1"/>
  <c r="C1572" i="1" s="1"/>
  <c r="C1573" i="1" a="1"/>
  <c r="C1573" i="1" s="1"/>
  <c r="C1574" i="1" a="1"/>
  <c r="C1574" i="1" s="1"/>
  <c r="C1575" i="1" a="1"/>
  <c r="C1575" i="1" s="1"/>
  <c r="C1576" i="1" a="1"/>
  <c r="C1576" i="1"/>
  <c r="C1577" i="1" a="1"/>
  <c r="C1577" i="1" s="1"/>
  <c r="C1578" i="1" a="1"/>
  <c r="C1578" i="1" s="1"/>
  <c r="C1579" i="1" a="1"/>
  <c r="C1579" i="1" s="1"/>
  <c r="C1580" i="1" a="1"/>
  <c r="C1580" i="1" s="1"/>
  <c r="C1581" i="1" a="1"/>
  <c r="C1581" i="1" s="1"/>
  <c r="C1582" i="1" a="1"/>
  <c r="C1582" i="1" s="1"/>
  <c r="C1583" i="1" a="1"/>
  <c r="C1583" i="1"/>
  <c r="C1584" i="1" a="1"/>
  <c r="C1584" i="1" s="1"/>
  <c r="C1585" i="1" a="1"/>
  <c r="C1585" i="1" s="1"/>
  <c r="C1586" i="1" a="1"/>
  <c r="C1586" i="1" s="1"/>
  <c r="C1587" i="1" a="1"/>
  <c r="C1587" i="1" s="1"/>
  <c r="C1588" i="1" a="1"/>
  <c r="C1588" i="1" s="1"/>
  <c r="C1589" i="1" a="1"/>
  <c r="C1589" i="1" s="1"/>
  <c r="C1590" i="1" a="1"/>
  <c r="C1590" i="1" s="1"/>
  <c r="C1591" i="1" a="1"/>
  <c r="C1591" i="1" s="1"/>
  <c r="C1592" i="1" a="1"/>
  <c r="C1592" i="1" s="1"/>
  <c r="C1593" i="1" a="1"/>
  <c r="C1593" i="1" s="1"/>
  <c r="C1594" i="1" a="1"/>
  <c r="C1594" i="1" s="1"/>
  <c r="C1595" i="1" a="1"/>
  <c r="C1595" i="1" s="1"/>
  <c r="C1596" i="1" a="1"/>
  <c r="C1596" i="1" s="1"/>
  <c r="C1597" i="1" a="1"/>
  <c r="C1597" i="1" s="1"/>
  <c r="C1598" i="1" a="1"/>
  <c r="C1598" i="1"/>
  <c r="C1599" i="1" a="1"/>
  <c r="C1599" i="1" s="1"/>
  <c r="C1600" i="1" a="1"/>
  <c r="C1600" i="1" s="1"/>
  <c r="C1601" i="1" a="1"/>
  <c r="C1601" i="1" s="1"/>
  <c r="C1602" i="1" a="1"/>
  <c r="C1602" i="1" s="1"/>
  <c r="C1603" i="1" a="1"/>
  <c r="C1603" i="1" s="1"/>
  <c r="C1604" i="1" a="1"/>
  <c r="C1604" i="1" s="1"/>
  <c r="C1605" i="1" a="1"/>
  <c r="C1605" i="1" s="1"/>
  <c r="C1606" i="1" a="1"/>
  <c r="C1606" i="1" s="1"/>
  <c r="C1607" i="1" a="1"/>
  <c r="C1607" i="1" s="1"/>
  <c r="C1608" i="1" a="1"/>
  <c r="C1608" i="1" s="1"/>
  <c r="C1609" i="1" a="1"/>
  <c r="C1609" i="1" s="1"/>
  <c r="C1610" i="1" a="1"/>
  <c r="C1610" i="1" s="1"/>
  <c r="C1611" i="1" a="1"/>
  <c r="C1611" i="1" s="1"/>
  <c r="C1612" i="1" a="1"/>
  <c r="C1612" i="1"/>
  <c r="C1613" i="1" a="1"/>
  <c r="C1613" i="1" s="1"/>
  <c r="C1614" i="1" a="1"/>
  <c r="C1614" i="1" s="1"/>
  <c r="C1615" i="1" a="1"/>
  <c r="C1615" i="1" s="1"/>
  <c r="C1616" i="1" a="1"/>
  <c r="C1616" i="1" s="1"/>
  <c r="C1617" i="1" a="1"/>
  <c r="C1617" i="1" s="1"/>
  <c r="C1618" i="1" a="1"/>
  <c r="C1618" i="1" s="1"/>
  <c r="C1619" i="1" a="1"/>
  <c r="C1619" i="1" s="1"/>
  <c r="C1620" i="1" a="1"/>
  <c r="C1620" i="1" s="1"/>
  <c r="C1621" i="1" a="1"/>
  <c r="C1621" i="1" s="1"/>
  <c r="C1622" i="1" a="1"/>
  <c r="C1622" i="1" s="1"/>
  <c r="C1623" i="1" a="1"/>
  <c r="C1623" i="1" s="1"/>
  <c r="C1624" i="1" a="1"/>
  <c r="C1624" i="1" s="1"/>
  <c r="C1625" i="1" a="1"/>
  <c r="C1625" i="1" s="1"/>
  <c r="C1626" i="1" a="1"/>
  <c r="C1626" i="1" s="1"/>
  <c r="C1627" i="1" a="1"/>
  <c r="C1627" i="1" s="1"/>
  <c r="C1628" i="1" a="1"/>
  <c r="C1628" i="1" s="1"/>
  <c r="C1629" i="1" a="1"/>
  <c r="C1629" i="1" s="1"/>
  <c r="C1630" i="1" a="1"/>
  <c r="C1630" i="1" s="1"/>
  <c r="C1631" i="1" a="1"/>
  <c r="C1631" i="1" s="1"/>
  <c r="C1632" i="1" a="1"/>
  <c r="C1632" i="1" s="1"/>
  <c r="C1633" i="1" a="1"/>
  <c r="C1633" i="1" s="1"/>
  <c r="C1634" i="1" a="1"/>
  <c r="C1634" i="1" s="1"/>
  <c r="C1635" i="1" a="1"/>
  <c r="C1635" i="1" s="1"/>
  <c r="C1636" i="1" a="1"/>
  <c r="C1636" i="1" s="1"/>
  <c r="C1637" i="1" a="1"/>
  <c r="C1637" i="1" s="1"/>
  <c r="C1638" i="1" a="1"/>
  <c r="C1638" i="1" s="1"/>
  <c r="C1639" i="1" a="1"/>
  <c r="C1639" i="1" s="1"/>
  <c r="C1640" i="1" a="1"/>
  <c r="C1640" i="1" s="1"/>
  <c r="C1641" i="1" a="1"/>
  <c r="C1641" i="1" s="1"/>
  <c r="C1642" i="1" a="1"/>
  <c r="C1642" i="1" s="1"/>
  <c r="C1643" i="1" a="1"/>
  <c r="C1643" i="1" s="1"/>
  <c r="C1644" i="1" a="1"/>
  <c r="C1644" i="1" s="1"/>
  <c r="C1645" i="1" a="1"/>
  <c r="C1645" i="1" s="1"/>
  <c r="C1646" i="1" a="1"/>
  <c r="C1646" i="1" s="1"/>
  <c r="C1647" i="1" a="1"/>
  <c r="C1647" i="1" s="1"/>
  <c r="C1648" i="1" a="1"/>
  <c r="C1648" i="1" s="1"/>
  <c r="C1649" i="1" a="1"/>
  <c r="C1649" i="1" s="1"/>
  <c r="C1650" i="1" a="1"/>
  <c r="C1650" i="1" s="1"/>
  <c r="C1651" i="1" a="1"/>
  <c r="C1651" i="1" s="1"/>
  <c r="C1652" i="1" a="1"/>
  <c r="C1652" i="1" s="1"/>
  <c r="C1653" i="1" a="1"/>
  <c r="C1653" i="1" s="1"/>
  <c r="C1654" i="1" a="1"/>
  <c r="C1654" i="1" s="1"/>
  <c r="C1655" i="1" a="1"/>
  <c r="C1655" i="1" s="1"/>
  <c r="C1656" i="1" a="1"/>
  <c r="C1656" i="1" s="1"/>
  <c r="C1657" i="1" a="1"/>
  <c r="C1657" i="1" s="1"/>
  <c r="C1658" i="1" a="1"/>
  <c r="C1658" i="1" s="1"/>
  <c r="C1659" i="1" a="1"/>
  <c r="C1659" i="1" s="1"/>
  <c r="C1660" i="1" a="1"/>
  <c r="C1660" i="1" s="1"/>
  <c r="C1661" i="1" a="1"/>
  <c r="C1661" i="1" s="1"/>
  <c r="C1662" i="1" a="1"/>
  <c r="C1662" i="1" s="1"/>
  <c r="C1663" i="1" a="1"/>
  <c r="C1663" i="1" s="1"/>
  <c r="C1664" i="1" a="1"/>
  <c r="C1664" i="1" s="1"/>
  <c r="C1665" i="1" a="1"/>
  <c r="C1665" i="1" s="1"/>
  <c r="C1666" i="1" a="1"/>
  <c r="C1666" i="1" s="1"/>
  <c r="C1667" i="1" a="1"/>
  <c r="C1667" i="1" s="1"/>
  <c r="C1668" i="1" a="1"/>
  <c r="C1668" i="1" s="1"/>
  <c r="C1669" i="1" a="1"/>
  <c r="C1669" i="1" s="1"/>
  <c r="C1670" i="1" a="1"/>
  <c r="C1670" i="1" s="1"/>
  <c r="C1671" i="1" a="1"/>
  <c r="C1671" i="1" s="1"/>
  <c r="C1672" i="1" a="1"/>
  <c r="C1672" i="1" s="1"/>
  <c r="C1673" i="1" a="1"/>
  <c r="C1673" i="1" s="1"/>
  <c r="C1674" i="1" a="1"/>
  <c r="C1674" i="1" s="1"/>
  <c r="C1675" i="1" a="1"/>
  <c r="C1675" i="1" s="1"/>
  <c r="C1676" i="1" a="1"/>
  <c r="C1676" i="1" s="1"/>
  <c r="C1677" i="1" a="1"/>
  <c r="C1677" i="1" s="1"/>
  <c r="C1678" i="1" a="1"/>
  <c r="C1678" i="1" s="1"/>
  <c r="C1679" i="1" a="1"/>
  <c r="C1679" i="1"/>
  <c r="C1680" i="1" a="1"/>
  <c r="C1680" i="1" s="1"/>
  <c r="C1681" i="1" a="1"/>
  <c r="C1681" i="1" s="1"/>
  <c r="C1682" i="1" a="1"/>
  <c r="C1682" i="1" s="1"/>
  <c r="C1683" i="1" a="1"/>
  <c r="C1683" i="1" s="1"/>
  <c r="C1684" i="1" a="1"/>
  <c r="C1684" i="1"/>
  <c r="C1685" i="1" a="1"/>
  <c r="C1685" i="1" s="1"/>
  <c r="C1686" i="1" a="1"/>
  <c r="C1686" i="1" s="1"/>
  <c r="C1687" i="1" a="1"/>
  <c r="C1687" i="1" s="1"/>
  <c r="C1688" i="1" a="1"/>
  <c r="C1688" i="1" s="1"/>
  <c r="C1689" i="1" a="1"/>
  <c r="C1689" i="1" s="1"/>
  <c r="C1690" i="1" a="1"/>
  <c r="C1690" i="1" s="1"/>
  <c r="C1691" i="1" a="1"/>
  <c r="C1691" i="1" s="1"/>
  <c r="C1692" i="1" a="1"/>
  <c r="C1692" i="1" s="1"/>
  <c r="C1693" i="1" a="1"/>
  <c r="C1693" i="1" s="1"/>
  <c r="C1694" i="1" a="1"/>
  <c r="C1694" i="1" s="1"/>
  <c r="C1695" i="1" a="1"/>
  <c r="C1695" i="1" s="1"/>
  <c r="C1696" i="1" a="1"/>
  <c r="C1696" i="1" s="1"/>
  <c r="C1697" i="1" a="1"/>
  <c r="C1697" i="1" s="1"/>
  <c r="C1698" i="1" a="1"/>
  <c r="C1698" i="1" s="1"/>
  <c r="C1699" i="1" a="1"/>
  <c r="C1699" i="1" s="1"/>
  <c r="C1700" i="1" a="1"/>
  <c r="C1700" i="1" s="1"/>
  <c r="C1701" i="1" a="1"/>
  <c r="C1701" i="1" s="1"/>
  <c r="C1702" i="1" a="1"/>
  <c r="C1702" i="1" s="1"/>
  <c r="C1703" i="1" a="1"/>
  <c r="C1703" i="1" s="1"/>
  <c r="C1704" i="1" a="1"/>
  <c r="C1704" i="1" s="1"/>
  <c r="C1705" i="1" a="1"/>
  <c r="C1705" i="1" s="1"/>
  <c r="C1706" i="1" a="1"/>
  <c r="C1706" i="1" s="1"/>
  <c r="C1707" i="1" a="1"/>
  <c r="C1707" i="1" s="1"/>
  <c r="C1708" i="1" a="1"/>
  <c r="C1708" i="1" s="1"/>
  <c r="C1709" i="1" a="1"/>
  <c r="C1709" i="1" s="1"/>
  <c r="C1710" i="1" a="1"/>
  <c r="C1710" i="1" s="1"/>
  <c r="C1711" i="1" a="1"/>
  <c r="C1711" i="1" s="1"/>
  <c r="C1712" i="1" a="1"/>
  <c r="C1712" i="1" s="1"/>
  <c r="C1713" i="1" a="1"/>
  <c r="C1713" i="1" s="1"/>
  <c r="C1714" i="1" a="1"/>
  <c r="C1714" i="1" s="1"/>
  <c r="C1715" i="1" a="1"/>
  <c r="C1715" i="1" s="1"/>
  <c r="C1716" i="1" a="1"/>
  <c r="C1716" i="1" s="1"/>
  <c r="C1717" i="1" a="1"/>
  <c r="C1717" i="1"/>
  <c r="C1718" i="1" a="1"/>
  <c r="C1718" i="1" s="1"/>
  <c r="C1719" i="1" a="1"/>
  <c r="C1719" i="1" s="1"/>
  <c r="C1720" i="1" a="1"/>
  <c r="C1720" i="1" s="1"/>
  <c r="C1721" i="1" a="1"/>
  <c r="C1721" i="1" s="1"/>
  <c r="C1722" i="1" a="1"/>
  <c r="C1722" i="1" s="1"/>
  <c r="C1723" i="1" a="1"/>
  <c r="C1723" i="1" s="1"/>
  <c r="C1724" i="1" a="1"/>
  <c r="C1724" i="1" s="1"/>
  <c r="C1725" i="1" a="1"/>
  <c r="C1725" i="1" s="1"/>
  <c r="C1726" i="1" a="1"/>
  <c r="C1726" i="1" s="1"/>
  <c r="C1727" i="1" a="1"/>
  <c r="C1727" i="1" s="1"/>
  <c r="C1728" i="1" a="1"/>
  <c r="C1728" i="1" s="1"/>
  <c r="C1729" i="1" a="1"/>
  <c r="C1729" i="1" s="1"/>
  <c r="C1730" i="1" a="1"/>
  <c r="C1730" i="1" s="1"/>
  <c r="C1731" i="1" a="1"/>
  <c r="C1731" i="1" s="1"/>
  <c r="C1732" i="1" a="1"/>
  <c r="C1732" i="1" s="1"/>
  <c r="C1733" i="1" a="1"/>
  <c r="C1733" i="1" s="1"/>
  <c r="C1734" i="1" a="1"/>
  <c r="C1734" i="1" s="1"/>
  <c r="C1735" i="1" a="1"/>
  <c r="C1735" i="1" s="1"/>
  <c r="C1736" i="1" a="1"/>
  <c r="C1736" i="1" s="1"/>
  <c r="C1737" i="1" a="1"/>
  <c r="C1737" i="1" s="1"/>
  <c r="C1738" i="1" a="1"/>
  <c r="C1738" i="1" s="1"/>
  <c r="C1739" i="1" a="1"/>
  <c r="C1739" i="1" s="1"/>
  <c r="C1740" i="1" a="1"/>
  <c r="C1740" i="1" s="1"/>
  <c r="C1741" i="1" a="1"/>
  <c r="C1741" i="1" s="1"/>
  <c r="C1742" i="1" a="1"/>
  <c r="C1742" i="1" s="1"/>
  <c r="C1743" i="1" a="1"/>
  <c r="C1743" i="1" s="1"/>
  <c r="C1744" i="1" a="1"/>
  <c r="C1744" i="1" s="1"/>
  <c r="C1745" i="1" a="1"/>
  <c r="C1745" i="1" s="1"/>
  <c r="C1746" i="1" a="1"/>
  <c r="C1746" i="1" s="1"/>
  <c r="C1747" i="1" a="1"/>
  <c r="C1747" i="1" s="1"/>
  <c r="C1748" i="1" a="1"/>
  <c r="C1748" i="1" s="1"/>
  <c r="C1749" i="1" a="1"/>
  <c r="C1749" i="1" s="1"/>
  <c r="C1750" i="1" a="1"/>
  <c r="C1750" i="1" s="1"/>
  <c r="C1751" i="1" a="1"/>
  <c r="C1751" i="1" s="1"/>
  <c r="C1752" i="1" a="1"/>
  <c r="C1752" i="1" s="1"/>
  <c r="C1753" i="1" a="1"/>
  <c r="C1753" i="1" s="1"/>
  <c r="C1754" i="1" a="1"/>
  <c r="C1754" i="1" s="1"/>
  <c r="C1755" i="1" a="1"/>
  <c r="C1755" i="1" s="1"/>
  <c r="C1756" i="1" a="1"/>
  <c r="C1756" i="1" s="1"/>
  <c r="C1757" i="1" a="1"/>
  <c r="C1757" i="1" s="1"/>
  <c r="C1758" i="1" a="1"/>
  <c r="C1758" i="1" s="1"/>
  <c r="C1759" i="1" a="1"/>
  <c r="C1759" i="1" s="1"/>
  <c r="C1760" i="1" a="1"/>
  <c r="C1760" i="1"/>
  <c r="C1761" i="1" a="1"/>
  <c r="C1761" i="1" s="1"/>
  <c r="C1762" i="1" a="1"/>
  <c r="C1762" i="1" s="1"/>
  <c r="C1763" i="1" a="1"/>
  <c r="C1763" i="1" s="1"/>
  <c r="C1764" i="1" a="1"/>
  <c r="C1764" i="1" s="1"/>
  <c r="C1765" i="1" a="1"/>
  <c r="C1765" i="1" s="1"/>
  <c r="C1766" i="1" a="1"/>
  <c r="C1766" i="1" s="1"/>
  <c r="C1767" i="1" a="1"/>
  <c r="C1767" i="1" s="1"/>
  <c r="C1768" i="1" a="1"/>
  <c r="C1768" i="1" s="1"/>
  <c r="C1769" i="1" a="1"/>
  <c r="C1769" i="1" s="1"/>
  <c r="C1770" i="1" a="1"/>
  <c r="C1770" i="1" s="1"/>
  <c r="C1771" i="1" a="1"/>
  <c r="C1771" i="1" s="1"/>
  <c r="C1772" i="1" a="1"/>
  <c r="C1772" i="1" s="1"/>
  <c r="C1773" i="1" a="1"/>
  <c r="C1773" i="1" s="1"/>
  <c r="C1774" i="1" a="1"/>
  <c r="C1774" i="1" s="1"/>
  <c r="C1775" i="1" a="1"/>
  <c r="C1775" i="1" s="1"/>
  <c r="C1776" i="1" a="1"/>
  <c r="C1776" i="1" s="1"/>
  <c r="C1777" i="1" a="1"/>
  <c r="C1777" i="1" s="1"/>
  <c r="C1778" i="1" a="1"/>
  <c r="C1778" i="1"/>
  <c r="C1779" i="1" a="1"/>
  <c r="C1779" i="1" s="1"/>
  <c r="C1780" i="1" a="1"/>
  <c r="C1780" i="1" s="1"/>
  <c r="C1781" i="1" a="1"/>
  <c r="C1781" i="1" s="1"/>
  <c r="C1782" i="1" a="1"/>
  <c r="C1782" i="1" s="1"/>
  <c r="C1783" i="1" a="1"/>
  <c r="C1783" i="1" s="1"/>
  <c r="C1784" i="1" a="1"/>
  <c r="C1784" i="1" s="1"/>
  <c r="C1785" i="1" a="1"/>
  <c r="C1785" i="1" s="1"/>
  <c r="C1786" i="1" a="1"/>
  <c r="C1786" i="1" s="1"/>
  <c r="C1787" i="1" a="1"/>
  <c r="C1787" i="1" s="1"/>
  <c r="C1788" i="1" a="1"/>
  <c r="C1788" i="1" s="1"/>
  <c r="C1789" i="1" a="1"/>
  <c r="C1789" i="1"/>
  <c r="C1790" i="1" a="1"/>
  <c r="C1790" i="1" s="1"/>
  <c r="C1791" i="1" a="1"/>
  <c r="C1791" i="1" s="1"/>
  <c r="C1792" i="1" a="1"/>
  <c r="C1792" i="1" s="1"/>
  <c r="C1793" i="1" a="1"/>
  <c r="C1793" i="1" s="1"/>
  <c r="C1794" i="1" a="1"/>
  <c r="C1794" i="1" s="1"/>
  <c r="C1795" i="1" a="1"/>
  <c r="C1795" i="1" s="1"/>
  <c r="C1796" i="1" a="1"/>
  <c r="C1796" i="1" s="1"/>
  <c r="C1797" i="1" a="1"/>
  <c r="C1797" i="1" s="1"/>
  <c r="C1798" i="1" a="1"/>
  <c r="C1798" i="1" s="1"/>
  <c r="C1799" i="1" a="1"/>
  <c r="C1799" i="1" s="1"/>
  <c r="C1800" i="1" a="1"/>
  <c r="C1800" i="1" s="1"/>
  <c r="C1801" i="1" a="1"/>
  <c r="C1801" i="1" s="1"/>
  <c r="C1802" i="1" a="1"/>
  <c r="C1802" i="1" s="1"/>
  <c r="C1803" i="1" a="1"/>
  <c r="C1803" i="1" s="1"/>
  <c r="C1804" i="1" a="1"/>
  <c r="C1804" i="1" s="1"/>
  <c r="C1805" i="1" a="1"/>
  <c r="C1805" i="1" s="1"/>
  <c r="C1806" i="1" a="1"/>
  <c r="C1806" i="1" s="1"/>
  <c r="C1807" i="1" a="1"/>
  <c r="C1807" i="1" s="1"/>
  <c r="C1808" i="1" a="1"/>
  <c r="C1808" i="1" s="1"/>
  <c r="C1809" i="1" a="1"/>
  <c r="C1809" i="1" s="1"/>
  <c r="C1810" i="1" a="1"/>
  <c r="C1810" i="1" s="1"/>
  <c r="C1811" i="1" a="1"/>
  <c r="C1811" i="1" s="1"/>
  <c r="C1812" i="1" a="1"/>
  <c r="C1812" i="1" s="1"/>
  <c r="C1813" i="1" a="1"/>
  <c r="C1813" i="1" s="1"/>
  <c r="C1814" i="1" a="1"/>
  <c r="C1814" i="1" s="1"/>
  <c r="C1815" i="1" a="1"/>
  <c r="C1815" i="1" s="1"/>
  <c r="C1816" i="1" a="1"/>
  <c r="C1816" i="1" s="1"/>
  <c r="C1817" i="1" a="1"/>
  <c r="C1817" i="1" s="1"/>
  <c r="C1818" i="1" a="1"/>
  <c r="C1818" i="1" s="1"/>
  <c r="C1819" i="1" a="1"/>
  <c r="C1819" i="1" s="1"/>
  <c r="C1820" i="1" a="1"/>
  <c r="C1820" i="1"/>
  <c r="C1821" i="1" a="1"/>
  <c r="C1821" i="1" s="1"/>
  <c r="C1822" i="1" a="1"/>
  <c r="C1822" i="1" s="1"/>
  <c r="C1823" i="1" a="1"/>
  <c r="C1823" i="1" s="1"/>
  <c r="C1824" i="1" a="1"/>
  <c r="C1824" i="1" s="1"/>
  <c r="C1825" i="1" a="1"/>
  <c r="C1825" i="1" s="1"/>
  <c r="C1826" i="1" a="1"/>
  <c r="C1826" i="1"/>
  <c r="C1827" i="1" a="1"/>
  <c r="C1827" i="1" s="1"/>
  <c r="C1828" i="1" a="1"/>
  <c r="C1828" i="1" s="1"/>
  <c r="C1829" i="1" a="1"/>
  <c r="C1829" i="1" s="1"/>
  <c r="C1830" i="1" a="1"/>
  <c r="C1830" i="1" s="1"/>
  <c r="C1831" i="1" a="1"/>
  <c r="C1831" i="1" s="1"/>
  <c r="C1832" i="1" a="1"/>
  <c r="C1832" i="1" s="1"/>
  <c r="C1833" i="1" a="1"/>
  <c r="C1833" i="1" s="1"/>
  <c r="C1834" i="1" a="1"/>
  <c r="C1834" i="1" s="1"/>
  <c r="C1835" i="1" a="1"/>
  <c r="C1835" i="1" s="1"/>
  <c r="C1836" i="1" a="1"/>
  <c r="C1836" i="1" s="1"/>
  <c r="C1837" i="1" a="1"/>
  <c r="C1837" i="1" s="1"/>
  <c r="C1838" i="1" a="1"/>
  <c r="C1838" i="1" s="1"/>
  <c r="C1839" i="1" a="1"/>
  <c r="C1839" i="1" s="1"/>
  <c r="C1840" i="1" a="1"/>
  <c r="C1840" i="1" s="1"/>
  <c r="C1841" i="1" a="1"/>
  <c r="C1841" i="1" s="1"/>
  <c r="C1842" i="1" a="1"/>
  <c r="C1842" i="1" s="1"/>
  <c r="C1843" i="1" a="1"/>
  <c r="C1843" i="1" s="1"/>
  <c r="C1844" i="1" a="1"/>
  <c r="C1844" i="1"/>
  <c r="C1845" i="1" a="1"/>
  <c r="C1845" i="1" s="1"/>
  <c r="C1846" i="1" a="1"/>
  <c r="C1846" i="1" s="1"/>
  <c r="C1847" i="1" a="1"/>
  <c r="C1847" i="1" s="1"/>
  <c r="C1848" i="1" a="1"/>
  <c r="C1848" i="1" s="1"/>
  <c r="C1849" i="1" a="1"/>
  <c r="C1849" i="1" s="1"/>
  <c r="C1850" i="1" a="1"/>
  <c r="C1850" i="1" s="1"/>
  <c r="C1851" i="1" a="1"/>
  <c r="C1851" i="1" s="1"/>
  <c r="C1852" i="1" a="1"/>
  <c r="C1852" i="1" s="1"/>
  <c r="C1853" i="1" a="1"/>
  <c r="C1853" i="1"/>
  <c r="C1854" i="1" a="1"/>
  <c r="C1854" i="1" s="1"/>
  <c r="C1855" i="1" a="1"/>
  <c r="C1855" i="1" s="1"/>
  <c r="C1856" i="1" a="1"/>
  <c r="C1856" i="1" s="1"/>
  <c r="C1857" i="1" a="1"/>
  <c r="C1857" i="1" s="1"/>
  <c r="C1858" i="1" a="1"/>
  <c r="C1858" i="1" s="1"/>
  <c r="C1859" i="1" a="1"/>
  <c r="C1859" i="1" s="1"/>
  <c r="C1860" i="1" a="1"/>
  <c r="C1860" i="1" s="1"/>
  <c r="C1861" i="1" a="1"/>
  <c r="C1861" i="1" s="1"/>
  <c r="C1862" i="1" a="1"/>
  <c r="C1862" i="1"/>
  <c r="C1863" i="1" a="1"/>
  <c r="C1863" i="1" s="1"/>
  <c r="C1864" i="1" a="1"/>
  <c r="C1864" i="1" s="1"/>
  <c r="C1865" i="1" a="1"/>
  <c r="C1865" i="1"/>
  <c r="C1866" i="1" a="1"/>
  <c r="C1866" i="1" s="1"/>
  <c r="C1867" i="1" a="1"/>
  <c r="C1867" i="1" s="1"/>
  <c r="C1868" i="1" a="1"/>
  <c r="C1868" i="1" s="1"/>
  <c r="C1869" i="1" a="1"/>
  <c r="C1869" i="1" s="1"/>
  <c r="C1870" i="1" a="1"/>
  <c r="C1870" i="1" s="1"/>
  <c r="C1871" i="1" a="1"/>
  <c r="C1871" i="1" s="1"/>
  <c r="C1872" i="1" a="1"/>
  <c r="C1872" i="1" s="1"/>
  <c r="C1873" i="1" a="1"/>
  <c r="C1873" i="1" s="1"/>
  <c r="C1874" i="1" a="1"/>
  <c r="C1874" i="1" s="1"/>
  <c r="C1875" i="1" a="1"/>
  <c r="C1875" i="1" s="1"/>
  <c r="C1876" i="1" a="1"/>
  <c r="C1876" i="1" s="1"/>
  <c r="C1877" i="1" a="1"/>
  <c r="C1877" i="1" s="1"/>
  <c r="C1878" i="1" a="1"/>
  <c r="C1878" i="1" s="1"/>
  <c r="C1879" i="1" a="1"/>
  <c r="C1879" i="1" s="1"/>
  <c r="C1880" i="1" a="1"/>
  <c r="C1880" i="1" s="1"/>
  <c r="C1881" i="1" a="1"/>
  <c r="C1881" i="1" s="1"/>
  <c r="C1882" i="1" a="1"/>
  <c r="C1882" i="1" s="1"/>
  <c r="C1883" i="1" a="1"/>
  <c r="C1883" i="1" s="1"/>
  <c r="C1884" i="1" a="1"/>
  <c r="C1884" i="1" s="1"/>
  <c r="C1885" i="1" a="1"/>
  <c r="C1885" i="1" s="1"/>
  <c r="C1886" i="1" a="1"/>
  <c r="C1886" i="1" s="1"/>
  <c r="C1887" i="1" a="1"/>
  <c r="C1887" i="1" s="1"/>
  <c r="C1888" i="1" a="1"/>
  <c r="C1888" i="1" s="1"/>
  <c r="C1889" i="1" a="1"/>
  <c r="C1889" i="1" s="1"/>
  <c r="C1890" i="1" a="1"/>
  <c r="C1890" i="1" s="1"/>
  <c r="C1891" i="1" a="1"/>
  <c r="C1891" i="1" s="1"/>
  <c r="C1892" i="1" a="1"/>
  <c r="C1892" i="1" s="1"/>
  <c r="C1893" i="1" a="1"/>
  <c r="C1893" i="1" s="1"/>
  <c r="C1894" i="1" a="1"/>
  <c r="C1894" i="1" s="1"/>
  <c r="C1895" i="1" a="1"/>
  <c r="C1895" i="1" s="1"/>
  <c r="C1896" i="1" a="1"/>
  <c r="C1896" i="1" s="1"/>
  <c r="C1897" i="1" a="1"/>
  <c r="C1897" i="1" s="1"/>
  <c r="C1898" i="1" a="1"/>
  <c r="C1898" i="1" s="1"/>
  <c r="C1899" i="1" a="1"/>
  <c r="C1899" i="1" s="1"/>
  <c r="C1900" i="1" a="1"/>
  <c r="C1900" i="1" s="1"/>
  <c r="C1901" i="1" a="1"/>
  <c r="C1901" i="1" s="1"/>
  <c r="C1902" i="1" a="1"/>
  <c r="C1902" i="1" s="1"/>
  <c r="C1903" i="1" a="1"/>
  <c r="C1903" i="1" s="1"/>
  <c r="C1904" i="1" a="1"/>
  <c r="C1904" i="1" s="1"/>
  <c r="C1905" i="1" a="1"/>
  <c r="C1905" i="1" s="1"/>
  <c r="C1906" i="1" a="1"/>
  <c r="C1906" i="1" s="1"/>
  <c r="C1907" i="1" a="1"/>
  <c r="C1907" i="1" s="1"/>
  <c r="C1908" i="1" a="1"/>
  <c r="C1908" i="1" s="1"/>
  <c r="C1909" i="1" a="1"/>
  <c r="C1909" i="1" s="1"/>
  <c r="C1910" i="1" a="1"/>
  <c r="C1910" i="1" s="1"/>
  <c r="C1911" i="1" a="1"/>
  <c r="C1911" i="1" s="1"/>
  <c r="C1912" i="1" a="1"/>
  <c r="C1912" i="1" s="1"/>
  <c r="C1913" i="1" a="1"/>
  <c r="C1913" i="1" s="1"/>
  <c r="C1914" i="1" a="1"/>
  <c r="C1914" i="1" s="1"/>
  <c r="C1915" i="1" a="1"/>
  <c r="C1915" i="1" s="1"/>
  <c r="C1916" i="1" a="1"/>
  <c r="C1916" i="1"/>
  <c r="C1917" i="1" a="1"/>
  <c r="C1917" i="1" s="1"/>
  <c r="C1918" i="1" a="1"/>
  <c r="C1918" i="1" s="1"/>
  <c r="C1919" i="1" a="1"/>
  <c r="C1919" i="1" s="1"/>
  <c r="C1920" i="1" a="1"/>
  <c r="C1920" i="1" s="1"/>
  <c r="C1921" i="1" a="1"/>
  <c r="C1921" i="1" s="1"/>
  <c r="C1922" i="1" a="1"/>
  <c r="C1922" i="1" s="1"/>
  <c r="C1923" i="1" a="1"/>
  <c r="C1923" i="1" s="1"/>
  <c r="C1924" i="1" a="1"/>
  <c r="C1924" i="1" s="1"/>
  <c r="C1925" i="1" a="1"/>
  <c r="C1925" i="1" s="1"/>
  <c r="C1926" i="1" a="1"/>
  <c r="C1926" i="1" s="1"/>
  <c r="C1927" i="1" a="1"/>
  <c r="C1927" i="1" s="1"/>
  <c r="C1928" i="1" a="1"/>
  <c r="C1928" i="1" s="1"/>
  <c r="C1929" i="1" a="1"/>
  <c r="C1929" i="1" s="1"/>
  <c r="C1930" i="1" a="1"/>
  <c r="C1930" i="1" s="1"/>
  <c r="C1931" i="1" a="1"/>
  <c r="C1931" i="1" s="1"/>
  <c r="C1932" i="1" a="1"/>
  <c r="C1932" i="1" s="1"/>
  <c r="C1933" i="1" a="1"/>
  <c r="C1933" i="1" s="1"/>
  <c r="C1934" i="1" a="1"/>
  <c r="C1934" i="1" s="1"/>
  <c r="C1935" i="1" a="1"/>
  <c r="C1935" i="1" s="1"/>
  <c r="C1936" i="1" a="1"/>
  <c r="C1936" i="1" s="1"/>
  <c r="C1937" i="1" a="1"/>
  <c r="C1937" i="1" s="1"/>
  <c r="C1938" i="1" a="1"/>
  <c r="C1938" i="1" s="1"/>
  <c r="C1939" i="1" a="1"/>
  <c r="C1939" i="1" s="1"/>
  <c r="C1940" i="1" a="1"/>
  <c r="C1940" i="1" s="1"/>
  <c r="C1941" i="1" a="1"/>
  <c r="C1941" i="1" s="1"/>
  <c r="C1942" i="1" a="1"/>
  <c r="C1942" i="1" s="1"/>
  <c r="C1943" i="1" a="1"/>
  <c r="C1943" i="1" s="1"/>
  <c r="C1944" i="1" a="1"/>
  <c r="C1944" i="1" s="1"/>
  <c r="C1945" i="1" a="1"/>
  <c r="C1945" i="1" s="1"/>
  <c r="C1946" i="1" a="1"/>
  <c r="C1946" i="1" s="1"/>
  <c r="C1947" i="1" a="1"/>
  <c r="C1947" i="1" s="1"/>
  <c r="C1948" i="1" a="1"/>
  <c r="C1948" i="1" s="1"/>
  <c r="C1949" i="1" a="1"/>
  <c r="C1949" i="1" s="1"/>
  <c r="C1950" i="1" a="1"/>
  <c r="C1950" i="1" s="1"/>
  <c r="C1951" i="1" a="1"/>
  <c r="C1951" i="1" s="1"/>
  <c r="C1952" i="1" a="1"/>
  <c r="C1952" i="1" s="1"/>
  <c r="C1953" i="1" a="1"/>
  <c r="C1953" i="1" s="1"/>
  <c r="C1954" i="1" a="1"/>
  <c r="C1954" i="1" s="1"/>
  <c r="C1955" i="1" a="1"/>
  <c r="C1955" i="1" s="1"/>
  <c r="C1956" i="1" a="1"/>
  <c r="C1956" i="1" s="1"/>
  <c r="C1957" i="1" a="1"/>
  <c r="C1957" i="1" s="1"/>
  <c r="C1958" i="1" a="1"/>
  <c r="C1958" i="1" s="1"/>
  <c r="C1959" i="1" a="1"/>
  <c r="C1959" i="1" s="1"/>
  <c r="C1960" i="1" a="1"/>
  <c r="C1960" i="1" s="1"/>
  <c r="C1961" i="1" a="1"/>
  <c r="C1961" i="1"/>
  <c r="C1962" i="1" a="1"/>
  <c r="C1962" i="1" s="1"/>
  <c r="C1963" i="1" a="1"/>
  <c r="C1963" i="1" s="1"/>
  <c r="C1964" i="1" a="1"/>
  <c r="C1964" i="1" s="1"/>
  <c r="C1965" i="1" a="1"/>
  <c r="C1965" i="1" s="1"/>
  <c r="C1966" i="1" a="1"/>
  <c r="C1966" i="1" s="1"/>
  <c r="C1967" i="1" a="1"/>
  <c r="C1967" i="1" s="1"/>
  <c r="C1968" i="1" a="1"/>
  <c r="C1968" i="1" s="1"/>
  <c r="C1969" i="1" a="1"/>
  <c r="C1969" i="1" s="1"/>
  <c r="C1970" i="1" a="1"/>
  <c r="C1970" i="1" s="1"/>
  <c r="C1971" i="1" a="1"/>
  <c r="C1971" i="1" s="1"/>
  <c r="C1972" i="1" a="1"/>
  <c r="C1972" i="1" s="1"/>
  <c r="C1973" i="1" a="1"/>
  <c r="C1973" i="1" s="1"/>
  <c r="C1974" i="1" a="1"/>
  <c r="C1974" i="1" s="1"/>
  <c r="C1975" i="1" a="1"/>
  <c r="C1975" i="1" s="1"/>
  <c r="C1976" i="1" a="1"/>
  <c r="C1976" i="1" s="1"/>
  <c r="C1977" i="1" a="1"/>
  <c r="C1977" i="1" s="1"/>
  <c r="C1978" i="1" a="1"/>
  <c r="C1978" i="1" s="1"/>
  <c r="C1979" i="1" a="1"/>
  <c r="C1979" i="1" s="1"/>
  <c r="C1980" i="1" a="1"/>
  <c r="C1980" i="1" s="1"/>
  <c r="C1981" i="1" a="1"/>
  <c r="C1981" i="1" s="1"/>
  <c r="C1982" i="1" a="1"/>
  <c r="C1982" i="1" s="1"/>
  <c r="C1983" i="1" a="1"/>
  <c r="C1983" i="1" s="1"/>
  <c r="C1984" i="1" a="1"/>
  <c r="C1984" i="1" s="1"/>
  <c r="C1985" i="1" a="1"/>
  <c r="C1985" i="1" s="1"/>
  <c r="C1986" i="1" a="1"/>
  <c r="C1986" i="1" s="1"/>
  <c r="C1987" i="1" a="1"/>
  <c r="C1987" i="1" s="1"/>
  <c r="C1988" i="1" a="1"/>
  <c r="C1988" i="1" s="1"/>
  <c r="C1989" i="1" a="1"/>
  <c r="C1989" i="1" s="1"/>
  <c r="C1990" i="1" a="1"/>
  <c r="C1990" i="1" s="1"/>
  <c r="C1991" i="1" a="1"/>
  <c r="C1991" i="1" s="1"/>
  <c r="C1992" i="1" a="1"/>
  <c r="C1992" i="1" s="1"/>
  <c r="C1993" i="1" a="1"/>
  <c r="C1993" i="1" s="1"/>
  <c r="C1994" i="1" a="1"/>
  <c r="C1994" i="1" s="1"/>
  <c r="C1995" i="1" a="1"/>
  <c r="C1995" i="1" s="1"/>
  <c r="C1996" i="1" a="1"/>
  <c r="C1996" i="1" s="1"/>
  <c r="C1997" i="1" a="1"/>
  <c r="C1997" i="1" s="1"/>
  <c r="C1998" i="1" a="1"/>
  <c r="C1998" i="1" s="1"/>
  <c r="C1999" i="1" a="1"/>
  <c r="C1999" i="1" s="1"/>
  <c r="C2000" i="1" a="1"/>
  <c r="C2000" i="1"/>
  <c r="C2001" i="1" a="1"/>
  <c r="C2001" i="1" s="1"/>
  <c r="C2002" i="1" a="1"/>
  <c r="C2002" i="1" s="1"/>
  <c r="C2003" i="1" a="1"/>
  <c r="C2003" i="1" s="1"/>
  <c r="C2004" i="1" a="1"/>
  <c r="C2004" i="1" s="1"/>
  <c r="C2005" i="1" a="1"/>
  <c r="C2005" i="1" s="1"/>
  <c r="C2006" i="1" a="1"/>
  <c r="C2006" i="1"/>
  <c r="C2007" i="1" a="1"/>
  <c r="C2007" i="1" s="1"/>
  <c r="C2008" i="1" a="1"/>
  <c r="C2008" i="1" s="1"/>
  <c r="C2009" i="1" a="1"/>
  <c r="C2009" i="1" s="1"/>
  <c r="C2010" i="1" a="1"/>
  <c r="C2010" i="1" s="1"/>
  <c r="C2011" i="1" a="1"/>
  <c r="C2011" i="1" s="1"/>
  <c r="C2012" i="1" a="1"/>
  <c r="C2012" i="1"/>
  <c r="C2013" i="1" a="1"/>
  <c r="C2013" i="1" s="1"/>
  <c r="C2014" i="1" a="1"/>
  <c r="C2014" i="1" s="1"/>
  <c r="C2015" i="1" a="1"/>
  <c r="C2015" i="1" s="1"/>
  <c r="C2016" i="1" a="1"/>
  <c r="C2016" i="1" s="1"/>
  <c r="C2017" i="1" a="1"/>
  <c r="C2017" i="1" s="1"/>
  <c r="C2018" i="1" a="1"/>
  <c r="C2018" i="1" s="1"/>
  <c r="C2019" i="1" a="1"/>
  <c r="C2019" i="1" s="1"/>
  <c r="C2020" i="1" a="1"/>
  <c r="C2020" i="1" s="1"/>
  <c r="C2021" i="1" a="1"/>
  <c r="C2021" i="1" s="1"/>
  <c r="C2022" i="1" a="1"/>
  <c r="C2022" i="1" s="1"/>
  <c r="C2023" i="1" a="1"/>
  <c r="C2023" i="1" s="1"/>
  <c r="C2024" i="1" a="1"/>
  <c r="C2024" i="1" s="1"/>
  <c r="C2025" i="1" a="1"/>
  <c r="C2025" i="1" s="1"/>
  <c r="C2026" i="1" a="1"/>
  <c r="C2026" i="1" s="1"/>
  <c r="C2027" i="1" a="1"/>
  <c r="C2027" i="1" s="1"/>
  <c r="C2028" i="1" a="1"/>
  <c r="C2028" i="1" s="1"/>
  <c r="C2029" i="1" a="1"/>
  <c r="C2029" i="1" s="1"/>
  <c r="C2030" i="1" a="1"/>
  <c r="C2030" i="1" s="1"/>
  <c r="C2031" i="1" a="1"/>
  <c r="C2031" i="1" s="1"/>
  <c r="C2032" i="1" a="1"/>
  <c r="C2032" i="1" s="1"/>
  <c r="C2033" i="1" a="1"/>
  <c r="C2033" i="1" s="1"/>
  <c r="C2034" i="1" a="1"/>
  <c r="C2034" i="1" s="1"/>
  <c r="C2035" i="1" a="1"/>
  <c r="C2035" i="1" s="1"/>
  <c r="C2036" i="1" a="1"/>
  <c r="C2036" i="1"/>
  <c r="C2037" i="1" a="1"/>
  <c r="C2037" i="1" s="1"/>
  <c r="C2038" i="1" a="1"/>
  <c r="C2038" i="1" s="1"/>
  <c r="C2039" i="1" a="1"/>
  <c r="C2039" i="1" s="1"/>
  <c r="C2040" i="1" a="1"/>
  <c r="C2040" i="1" s="1"/>
  <c r="C2041" i="1" a="1"/>
  <c r="C2041" i="1" s="1"/>
  <c r="C2042" i="1" a="1"/>
  <c r="C2042" i="1" s="1"/>
  <c r="C2043" i="1" a="1"/>
  <c r="C2043" i="1" s="1"/>
  <c r="C2044" i="1" a="1"/>
  <c r="C2044" i="1" s="1"/>
  <c r="C2045" i="1" a="1"/>
  <c r="C2045" i="1" s="1"/>
  <c r="C2046" i="1" a="1"/>
  <c r="C2046" i="1" s="1"/>
  <c r="C2047" i="1" a="1"/>
  <c r="C2047" i="1" s="1"/>
  <c r="C2048" i="1" a="1"/>
  <c r="C2048" i="1" s="1"/>
  <c r="C2049" i="1" a="1"/>
  <c r="C2049" i="1" s="1"/>
  <c r="C2050" i="1" a="1"/>
  <c r="C2050" i="1" s="1"/>
  <c r="C2051" i="1" a="1"/>
  <c r="C2051" i="1" s="1"/>
  <c r="C2052" i="1" a="1"/>
  <c r="C2052" i="1" s="1"/>
  <c r="C2053" i="1" a="1"/>
  <c r="C2053" i="1" s="1"/>
  <c r="C2054" i="1" a="1"/>
  <c r="C2054" i="1" s="1"/>
  <c r="C2055" i="1" a="1"/>
  <c r="C2055" i="1" s="1"/>
  <c r="C2056" i="1" a="1"/>
  <c r="C2056" i="1" s="1"/>
  <c r="C2057" i="1" a="1"/>
  <c r="C2057" i="1" s="1"/>
  <c r="C2058" i="1" a="1"/>
  <c r="C2058" i="1" s="1"/>
  <c r="C2059" i="1" a="1"/>
  <c r="C2059" i="1" s="1"/>
  <c r="C2060" i="1" a="1"/>
  <c r="C2060" i="1" s="1"/>
  <c r="C2061" i="1" a="1"/>
  <c r="C2061" i="1" s="1"/>
  <c r="C2062" i="1" a="1"/>
  <c r="C2062" i="1" s="1"/>
  <c r="C2063" i="1" a="1"/>
  <c r="C2063" i="1" s="1"/>
  <c r="C2064" i="1" a="1"/>
  <c r="C2064" i="1" s="1"/>
  <c r="C2065" i="1" a="1"/>
  <c r="C2065" i="1" s="1"/>
  <c r="C2066" i="1" a="1"/>
  <c r="C2066" i="1" s="1"/>
  <c r="C2067" i="1" a="1"/>
  <c r="C2067" i="1" s="1"/>
  <c r="C2068" i="1" a="1"/>
  <c r="C2068" i="1" s="1"/>
  <c r="C2069" i="1" a="1"/>
  <c r="C2069" i="1" s="1"/>
  <c r="C2070" i="1" a="1"/>
  <c r="C2070" i="1" s="1"/>
  <c r="C2071" i="1" a="1"/>
  <c r="C2071" i="1" s="1"/>
  <c r="C2072" i="1" a="1"/>
  <c r="C2072" i="1" s="1"/>
  <c r="C2073" i="1" a="1"/>
  <c r="C2073" i="1" s="1"/>
  <c r="C2074" i="1" a="1"/>
  <c r="C2074" i="1" s="1"/>
  <c r="C2075" i="1" a="1"/>
  <c r="C2075" i="1" s="1"/>
  <c r="C2076" i="1" a="1"/>
  <c r="C2076" i="1" s="1"/>
  <c r="C2077" i="1" a="1"/>
  <c r="C2077" i="1" s="1"/>
  <c r="C2078" i="1" a="1"/>
  <c r="C2078" i="1" s="1"/>
  <c r="C2079" i="1" a="1"/>
  <c r="C2079" i="1" s="1"/>
  <c r="C2080" i="1" a="1"/>
  <c r="C2080" i="1" s="1"/>
  <c r="C2081" i="1" a="1"/>
  <c r="C2081" i="1" s="1"/>
  <c r="C2082" i="1" a="1"/>
  <c r="C2082" i="1" s="1"/>
  <c r="C2083" i="1" a="1"/>
  <c r="C2083" i="1" s="1"/>
  <c r="C2084" i="1" a="1"/>
  <c r="C2084" i="1" s="1"/>
  <c r="C2085" i="1" a="1"/>
  <c r="C2085" i="1" s="1"/>
  <c r="C2086" i="1" a="1"/>
  <c r="C2086" i="1" s="1"/>
  <c r="C2087" i="1" a="1"/>
  <c r="C2087" i="1" s="1"/>
  <c r="C2088" i="1" a="1"/>
  <c r="C2088" i="1" s="1"/>
  <c r="C2089" i="1" a="1"/>
  <c r="C2089" i="1" s="1"/>
  <c r="C2090" i="1" a="1"/>
  <c r="C2090" i="1" s="1"/>
  <c r="C2091" i="1" a="1"/>
  <c r="C2091" i="1" s="1"/>
  <c r="C2092" i="1" a="1"/>
  <c r="C2092" i="1" s="1"/>
  <c r="C2093" i="1" a="1"/>
  <c r="C2093" i="1" s="1"/>
  <c r="C2094" i="1" a="1"/>
  <c r="C2094" i="1" s="1"/>
  <c r="C2095" i="1" a="1"/>
  <c r="C2095" i="1" s="1"/>
  <c r="C2096" i="1" a="1"/>
  <c r="C2096" i="1" s="1"/>
  <c r="C2097" i="1" a="1"/>
  <c r="C2097" i="1" s="1"/>
  <c r="C2098" i="1" a="1"/>
  <c r="C2098" i="1" s="1"/>
  <c r="C2099" i="1" a="1"/>
  <c r="C2099" i="1" s="1"/>
  <c r="C2100" i="1" a="1"/>
  <c r="C2100" i="1" s="1"/>
  <c r="C2101" i="1" a="1"/>
  <c r="C2101" i="1" s="1"/>
  <c r="C2102" i="1" a="1"/>
  <c r="C2102" i="1" s="1"/>
  <c r="C2103" i="1" a="1"/>
  <c r="C2103" i="1" s="1"/>
  <c r="C2104" i="1" a="1"/>
  <c r="C2104" i="1" s="1"/>
  <c r="C2105" i="1" a="1"/>
  <c r="C2105" i="1" s="1"/>
  <c r="C2106" i="1" a="1"/>
  <c r="C2106" i="1" s="1"/>
  <c r="C2107" i="1" a="1"/>
  <c r="C2107" i="1" s="1"/>
  <c r="C2108" i="1" a="1"/>
  <c r="C2108" i="1"/>
  <c r="C2109" i="1" a="1"/>
  <c r="C2109" i="1" s="1"/>
  <c r="C2110" i="1" a="1"/>
  <c r="C2110" i="1" s="1"/>
  <c r="C2111" i="1" a="1"/>
  <c r="C2111" i="1" s="1"/>
  <c r="C2112" i="1" a="1"/>
  <c r="C2112" i="1" s="1"/>
  <c r="C2113" i="1" a="1"/>
  <c r="C2113" i="1" s="1"/>
  <c r="C2114" i="1" a="1"/>
  <c r="C2114" i="1" s="1"/>
  <c r="C2115" i="1" a="1"/>
  <c r="C2115" i="1" s="1"/>
  <c r="C2116" i="1" a="1"/>
  <c r="C2116" i="1" s="1"/>
  <c r="C2117" i="1" a="1"/>
  <c r="C2117" i="1" s="1"/>
  <c r="C2118" i="1" a="1"/>
  <c r="C2118" i="1" s="1"/>
  <c r="C2119" i="1" a="1"/>
  <c r="C2119" i="1" s="1"/>
  <c r="C2120" i="1" a="1"/>
  <c r="C2120" i="1" s="1"/>
  <c r="C2121" i="1" a="1"/>
  <c r="C2121" i="1" s="1"/>
  <c r="C2122" i="1" a="1"/>
  <c r="C2122" i="1" s="1"/>
  <c r="C2123" i="1" a="1"/>
  <c r="C2123" i="1" s="1"/>
  <c r="C2124" i="1" a="1"/>
  <c r="C2124" i="1" s="1"/>
  <c r="C2125" i="1" a="1"/>
  <c r="C2125" i="1" s="1"/>
  <c r="C2126" i="1" a="1"/>
  <c r="C2126" i="1" s="1"/>
  <c r="C2127" i="1" a="1"/>
  <c r="C2127" i="1" s="1"/>
  <c r="C2128" i="1" a="1"/>
  <c r="C2128" i="1" s="1"/>
  <c r="C2129" i="1" a="1"/>
  <c r="C2129" i="1" s="1"/>
  <c r="C2130" i="1" a="1"/>
  <c r="C2130" i="1" s="1"/>
  <c r="C2131" i="1" a="1"/>
  <c r="C2131" i="1" s="1"/>
  <c r="C2132" i="1" a="1"/>
  <c r="C2132" i="1" s="1"/>
  <c r="C2133" i="1" a="1"/>
  <c r="C2133" i="1" s="1"/>
  <c r="C2134" i="1" a="1"/>
  <c r="C2134" i="1" s="1"/>
  <c r="C2135" i="1" a="1"/>
  <c r="C2135" i="1" s="1"/>
  <c r="C2136" i="1" a="1"/>
  <c r="C2136" i="1" s="1"/>
  <c r="C2137" i="1" a="1"/>
  <c r="C2137" i="1" s="1"/>
  <c r="C2138" i="1" a="1"/>
  <c r="C2138" i="1" s="1"/>
  <c r="C2139" i="1" a="1"/>
  <c r="C2139" i="1" s="1"/>
  <c r="C2140" i="1" a="1"/>
  <c r="C2140" i="1" s="1"/>
  <c r="C2141" i="1" a="1"/>
  <c r="C2141" i="1" s="1"/>
  <c r="C2142" i="1" a="1"/>
  <c r="C2142" i="1" s="1"/>
  <c r="C2143" i="1" a="1"/>
  <c r="C2143" i="1" s="1"/>
  <c r="C2144" i="1" a="1"/>
  <c r="C2144" i="1" s="1"/>
  <c r="C2145" i="1" a="1"/>
  <c r="C2145" i="1" s="1"/>
  <c r="C2146" i="1" a="1"/>
  <c r="C2146" i="1" s="1"/>
  <c r="C2147" i="1" a="1"/>
  <c r="C2147" i="1" s="1"/>
  <c r="C2148" i="1" a="1"/>
  <c r="C2148" i="1" s="1"/>
  <c r="C2149" i="1" a="1"/>
  <c r="C2149" i="1" s="1"/>
  <c r="C2150" i="1" a="1"/>
  <c r="C2150" i="1" s="1"/>
  <c r="C2151" i="1" a="1"/>
  <c r="C2151" i="1" s="1"/>
  <c r="C2152" i="1" a="1"/>
  <c r="C2152" i="1" s="1"/>
  <c r="C2153" i="1" a="1"/>
  <c r="C2153" i="1" s="1"/>
  <c r="C2154" i="1" a="1"/>
  <c r="C2154" i="1" s="1"/>
  <c r="C2155" i="1" a="1"/>
  <c r="C2155" i="1" s="1"/>
  <c r="C2156" i="1" a="1"/>
  <c r="C2156" i="1"/>
  <c r="C2157" i="1" a="1"/>
  <c r="C2157" i="1" s="1"/>
  <c r="C2158" i="1" a="1"/>
  <c r="C2158" i="1" s="1"/>
  <c r="C2159" i="1" a="1"/>
  <c r="C2159" i="1" s="1"/>
  <c r="C2160" i="1" a="1"/>
  <c r="C2160" i="1" s="1"/>
  <c r="D3" i="1" a="1"/>
  <c r="D3" i="1" s="1"/>
  <c r="D4" i="1" a="1"/>
  <c r="D4" i="1" s="1"/>
  <c r="D5" i="1" a="1"/>
  <c r="D5" i="1" s="1"/>
  <c r="D6" i="1" a="1"/>
  <c r="D6" i="1" s="1"/>
  <c r="D7" i="1" a="1"/>
  <c r="D7" i="1" s="1"/>
  <c r="D8" i="1" a="1"/>
  <c r="D8" i="1" s="1"/>
  <c r="D9" i="1" a="1"/>
  <c r="D9" i="1" s="1"/>
  <c r="D10" i="1" a="1"/>
  <c r="D10" i="1" s="1"/>
  <c r="D11" i="1" a="1"/>
  <c r="D11" i="1" s="1"/>
  <c r="D12" i="1" a="1"/>
  <c r="D12" i="1" s="1"/>
  <c r="D13" i="1" a="1"/>
  <c r="D13" i="1" s="1"/>
  <c r="D14" i="1" a="1"/>
  <c r="D14" i="1" s="1"/>
  <c r="D15" i="1" a="1"/>
  <c r="D15" i="1" s="1"/>
  <c r="D16" i="1" a="1"/>
  <c r="D16" i="1" s="1"/>
  <c r="D17" i="1" a="1"/>
  <c r="D17" i="1" s="1"/>
  <c r="D18" i="1" a="1"/>
  <c r="D18" i="1" s="1"/>
  <c r="D19" i="1" a="1"/>
  <c r="D19" i="1" s="1"/>
  <c r="D20" i="1" a="1"/>
  <c r="D20" i="1" s="1"/>
  <c r="D21" i="1" a="1"/>
  <c r="D21" i="1" s="1"/>
  <c r="D22" i="1" a="1"/>
  <c r="D22" i="1" s="1"/>
  <c r="D23" i="1" a="1"/>
  <c r="D23" i="1" s="1"/>
  <c r="D24" i="1" a="1"/>
  <c r="D24" i="1" s="1"/>
  <c r="D25" i="1" a="1"/>
  <c r="D25" i="1"/>
  <c r="D26" i="1" a="1"/>
  <c r="D26" i="1" s="1"/>
  <c r="D27" i="1" a="1"/>
  <c r="D27" i="1" s="1"/>
  <c r="D28" i="1" a="1"/>
  <c r="D28" i="1" s="1"/>
  <c r="D29" i="1" a="1"/>
  <c r="D29" i="1" s="1"/>
  <c r="D30" i="1" a="1"/>
  <c r="D30" i="1" s="1"/>
  <c r="D31" i="1" a="1"/>
  <c r="D31" i="1" s="1"/>
  <c r="D32" i="1" a="1"/>
  <c r="D32" i="1" s="1"/>
  <c r="D33" i="1" a="1"/>
  <c r="D33" i="1" s="1"/>
  <c r="D34" i="1" a="1"/>
  <c r="D34" i="1" s="1"/>
  <c r="D35" i="1" a="1"/>
  <c r="D35" i="1" s="1"/>
  <c r="D36" i="1" a="1"/>
  <c r="D36" i="1" s="1"/>
  <c r="D37" i="1" a="1"/>
  <c r="D37" i="1" s="1"/>
  <c r="D38" i="1" a="1"/>
  <c r="D38" i="1" s="1"/>
  <c r="D39" i="1" a="1"/>
  <c r="D39" i="1" s="1"/>
  <c r="D40" i="1" a="1"/>
  <c r="D40" i="1" s="1"/>
  <c r="D41" i="1" a="1"/>
  <c r="D41" i="1" s="1"/>
  <c r="D42" i="1" a="1"/>
  <c r="D42" i="1" s="1"/>
  <c r="D43" i="1" a="1"/>
  <c r="D43" i="1"/>
  <c r="D44" i="1" a="1"/>
  <c r="D44" i="1" s="1"/>
  <c r="D45" i="1" a="1"/>
  <c r="D45" i="1" s="1"/>
  <c r="D46" i="1" a="1"/>
  <c r="D46" i="1" s="1"/>
  <c r="D47" i="1" a="1"/>
  <c r="D47" i="1" s="1"/>
  <c r="D48" i="1" a="1"/>
  <c r="D48" i="1" s="1"/>
  <c r="D49" i="1" a="1"/>
  <c r="D49" i="1" s="1"/>
  <c r="D50" i="1" a="1"/>
  <c r="D50" i="1" s="1"/>
  <c r="D51" i="1" a="1"/>
  <c r="D51" i="1" s="1"/>
  <c r="D52" i="1" a="1"/>
  <c r="D52" i="1" s="1"/>
  <c r="D53" i="1" a="1"/>
  <c r="D53" i="1" s="1"/>
  <c r="D54" i="1" a="1"/>
  <c r="D54" i="1" s="1"/>
  <c r="D55" i="1" a="1"/>
  <c r="D55" i="1" s="1"/>
  <c r="D56" i="1" a="1"/>
  <c r="D56" i="1" s="1"/>
  <c r="D57" i="1" a="1"/>
  <c r="D57" i="1" s="1"/>
  <c r="D58" i="1" a="1"/>
  <c r="D58" i="1" s="1"/>
  <c r="D59" i="1" a="1"/>
  <c r="D59" i="1" s="1"/>
  <c r="D60" i="1" a="1"/>
  <c r="D60" i="1" s="1"/>
  <c r="D61" i="1" a="1"/>
  <c r="D61" i="1" s="1"/>
  <c r="D62" i="1" a="1"/>
  <c r="D62" i="1" s="1"/>
  <c r="D63" i="1" a="1"/>
  <c r="D63" i="1" s="1"/>
  <c r="D64" i="1" a="1"/>
  <c r="D64" i="1" s="1"/>
  <c r="D65" i="1" a="1"/>
  <c r="D65" i="1" s="1"/>
  <c r="D66" i="1" a="1"/>
  <c r="D66" i="1" s="1"/>
  <c r="D67" i="1" a="1"/>
  <c r="D67" i="1" s="1"/>
  <c r="D68" i="1" a="1"/>
  <c r="D68" i="1" s="1"/>
  <c r="D69" i="1" a="1"/>
  <c r="D69" i="1" s="1"/>
  <c r="D70" i="1" a="1"/>
  <c r="D70" i="1" s="1"/>
  <c r="D71" i="1" a="1"/>
  <c r="D71" i="1" s="1"/>
  <c r="D72" i="1" a="1"/>
  <c r="D72" i="1" s="1"/>
  <c r="D73" i="1" a="1"/>
  <c r="D73" i="1" s="1"/>
  <c r="D74" i="1" a="1"/>
  <c r="D74" i="1" s="1"/>
  <c r="D75" i="1" a="1"/>
  <c r="D75" i="1" s="1"/>
  <c r="D76" i="1" a="1"/>
  <c r="D76" i="1" s="1"/>
  <c r="D77" i="1" a="1"/>
  <c r="D77" i="1" s="1"/>
  <c r="D78" i="1" a="1"/>
  <c r="D78" i="1" s="1"/>
  <c r="D79" i="1" a="1"/>
  <c r="D79" i="1" s="1"/>
  <c r="D80" i="1" a="1"/>
  <c r="D80" i="1" s="1"/>
  <c r="D81" i="1" a="1"/>
  <c r="D81" i="1" s="1"/>
  <c r="D82" i="1" a="1"/>
  <c r="D82" i="1" s="1"/>
  <c r="D83" i="1" a="1"/>
  <c r="D83" i="1" s="1"/>
  <c r="D84" i="1" a="1"/>
  <c r="D84" i="1" s="1"/>
  <c r="D85" i="1" a="1"/>
  <c r="D85" i="1" s="1"/>
  <c r="D86" i="1" a="1"/>
  <c r="D86" i="1" s="1"/>
  <c r="D87" i="1" a="1"/>
  <c r="D87" i="1" s="1"/>
  <c r="D88" i="1" a="1"/>
  <c r="D88" i="1" s="1"/>
  <c r="D89" i="1" a="1"/>
  <c r="D89" i="1" s="1"/>
  <c r="D90" i="1" a="1"/>
  <c r="D90" i="1" s="1"/>
  <c r="D91" i="1" a="1"/>
  <c r="D91" i="1" s="1"/>
  <c r="D92" i="1" a="1"/>
  <c r="D92" i="1" s="1"/>
  <c r="D93" i="1" a="1"/>
  <c r="D93" i="1" s="1"/>
  <c r="D94" i="1" a="1"/>
  <c r="D94" i="1" s="1"/>
  <c r="D95" i="1" a="1"/>
  <c r="D95" i="1" s="1"/>
  <c r="D96" i="1" a="1"/>
  <c r="D96" i="1" s="1"/>
  <c r="D97" i="1" a="1"/>
  <c r="D97" i="1" s="1"/>
  <c r="D98" i="1" a="1"/>
  <c r="D98" i="1" s="1"/>
  <c r="D99" i="1" a="1"/>
  <c r="D99" i="1" s="1"/>
  <c r="D100" i="1" a="1"/>
  <c r="D100" i="1" s="1"/>
  <c r="D101" i="1" a="1"/>
  <c r="D101" i="1" s="1"/>
  <c r="D102" i="1" a="1"/>
  <c r="D102" i="1" s="1"/>
  <c r="D103" i="1" a="1"/>
  <c r="D103" i="1" s="1"/>
  <c r="D104" i="1" a="1"/>
  <c r="D104" i="1" s="1"/>
  <c r="D105" i="1" a="1"/>
  <c r="D105" i="1" s="1"/>
  <c r="D106" i="1" a="1"/>
  <c r="D106" i="1" s="1"/>
  <c r="D107" i="1" a="1"/>
  <c r="D107" i="1" s="1"/>
  <c r="D108" i="1" a="1"/>
  <c r="D108" i="1" s="1"/>
  <c r="D109" i="1" a="1"/>
  <c r="D109" i="1" s="1"/>
  <c r="D110" i="1" a="1"/>
  <c r="D110" i="1" s="1"/>
  <c r="D111" i="1" a="1"/>
  <c r="D111" i="1" s="1"/>
  <c r="D112" i="1" a="1"/>
  <c r="D112" i="1" s="1"/>
  <c r="D113" i="1" a="1"/>
  <c r="D113" i="1" s="1"/>
  <c r="D114" i="1" a="1"/>
  <c r="D114" i="1" s="1"/>
  <c r="D115" i="1" a="1"/>
  <c r="D115" i="1" s="1"/>
  <c r="D116" i="1" a="1"/>
  <c r="D116" i="1" s="1"/>
  <c r="D117" i="1" a="1"/>
  <c r="D117" i="1" s="1"/>
  <c r="D118" i="1" a="1"/>
  <c r="D118" i="1" s="1"/>
  <c r="D119" i="1" a="1"/>
  <c r="D119" i="1" s="1"/>
  <c r="D120" i="1" a="1"/>
  <c r="D120" i="1" s="1"/>
  <c r="D121" i="1" a="1"/>
  <c r="D121" i="1" s="1"/>
  <c r="D122" i="1" a="1"/>
  <c r="D122" i="1" s="1"/>
  <c r="D123" i="1" a="1"/>
  <c r="D123" i="1" s="1"/>
  <c r="D124" i="1" a="1"/>
  <c r="D124" i="1" s="1"/>
  <c r="D125" i="1" a="1"/>
  <c r="D125" i="1" s="1"/>
  <c r="D126" i="1" a="1"/>
  <c r="D126" i="1" s="1"/>
  <c r="D127" i="1" a="1"/>
  <c r="D127" i="1" s="1"/>
  <c r="D128" i="1" a="1"/>
  <c r="D128" i="1" s="1"/>
  <c r="D129" i="1" a="1"/>
  <c r="D129" i="1" s="1"/>
  <c r="D130" i="1" a="1"/>
  <c r="D130" i="1" s="1"/>
  <c r="D131" i="1" a="1"/>
  <c r="D131" i="1" s="1"/>
  <c r="D132" i="1" a="1"/>
  <c r="D132" i="1" s="1"/>
  <c r="D133" i="1" a="1"/>
  <c r="D133" i="1" s="1"/>
  <c r="D134" i="1" a="1"/>
  <c r="D134" i="1" s="1"/>
  <c r="D135" i="1" a="1"/>
  <c r="D135" i="1" s="1"/>
  <c r="D136" i="1" a="1"/>
  <c r="D136" i="1" s="1"/>
  <c r="D137" i="1" a="1"/>
  <c r="D137" i="1" s="1"/>
  <c r="D138" i="1" a="1"/>
  <c r="D138" i="1" s="1"/>
  <c r="D139" i="1" a="1"/>
  <c r="D139" i="1" s="1"/>
  <c r="D140" i="1" a="1"/>
  <c r="D140" i="1" s="1"/>
  <c r="D141" i="1" a="1"/>
  <c r="D141" i="1" s="1"/>
  <c r="D142" i="1" a="1"/>
  <c r="D142" i="1" s="1"/>
  <c r="D143" i="1" a="1"/>
  <c r="D143" i="1" s="1"/>
  <c r="D144" i="1" a="1"/>
  <c r="D144" i="1" s="1"/>
  <c r="D145" i="1" a="1"/>
  <c r="D145" i="1"/>
  <c r="D146" i="1" a="1"/>
  <c r="D146" i="1" s="1"/>
  <c r="D147" i="1" a="1"/>
  <c r="D147" i="1" s="1"/>
  <c r="D148" i="1" a="1"/>
  <c r="D148" i="1" s="1"/>
  <c r="D149" i="1" a="1"/>
  <c r="D149" i="1" s="1"/>
  <c r="D150" i="1" a="1"/>
  <c r="D150" i="1" s="1"/>
  <c r="D151" i="1" a="1"/>
  <c r="D151" i="1" s="1"/>
  <c r="D152" i="1" a="1"/>
  <c r="D152" i="1" s="1"/>
  <c r="D153" i="1" a="1"/>
  <c r="D153" i="1" s="1"/>
  <c r="D154" i="1" a="1"/>
  <c r="D154" i="1" s="1"/>
  <c r="D155" i="1" a="1"/>
  <c r="D155" i="1" s="1"/>
  <c r="D156" i="1" a="1"/>
  <c r="D156" i="1" s="1"/>
  <c r="D157" i="1" a="1"/>
  <c r="D157" i="1" s="1"/>
  <c r="D158" i="1" a="1"/>
  <c r="D158" i="1" s="1"/>
  <c r="D159" i="1" a="1"/>
  <c r="D159" i="1" s="1"/>
  <c r="D160" i="1" a="1"/>
  <c r="D160" i="1" s="1"/>
  <c r="D161" i="1" a="1"/>
  <c r="D161" i="1" s="1"/>
  <c r="D162" i="1" a="1"/>
  <c r="D162" i="1" s="1"/>
  <c r="D163" i="1" a="1"/>
  <c r="D163" i="1" s="1"/>
  <c r="D164" i="1" a="1"/>
  <c r="D164" i="1" s="1"/>
  <c r="D165" i="1" a="1"/>
  <c r="D165" i="1" s="1"/>
  <c r="D166" i="1" a="1"/>
  <c r="D166" i="1" s="1"/>
  <c r="D167" i="1" a="1"/>
  <c r="D167" i="1" s="1"/>
  <c r="D168" i="1" a="1"/>
  <c r="D168" i="1" s="1"/>
  <c r="D169" i="1" a="1"/>
  <c r="D169" i="1"/>
  <c r="D170" i="1" a="1"/>
  <c r="D170" i="1" s="1"/>
  <c r="D171" i="1" a="1"/>
  <c r="D171" i="1" s="1"/>
  <c r="D172" i="1" a="1"/>
  <c r="D172" i="1" s="1"/>
  <c r="D173" i="1" a="1"/>
  <c r="D173" i="1" s="1"/>
  <c r="D174" i="1" a="1"/>
  <c r="D174" i="1" s="1"/>
  <c r="D175" i="1" a="1"/>
  <c r="D175" i="1" s="1"/>
  <c r="D176" i="1" a="1"/>
  <c r="D176" i="1" s="1"/>
  <c r="D177" i="1" a="1"/>
  <c r="D177" i="1" s="1"/>
  <c r="D178" i="1" a="1"/>
  <c r="D178" i="1" s="1"/>
  <c r="D179" i="1" a="1"/>
  <c r="D179" i="1" s="1"/>
  <c r="D180" i="1" a="1"/>
  <c r="D180" i="1" s="1"/>
  <c r="D181" i="1" a="1"/>
  <c r="D181" i="1" s="1"/>
  <c r="D182" i="1" a="1"/>
  <c r="D182" i="1" s="1"/>
  <c r="D183" i="1" a="1"/>
  <c r="D183" i="1" s="1"/>
  <c r="D184" i="1" a="1"/>
  <c r="D184" i="1" s="1"/>
  <c r="D185" i="1" a="1"/>
  <c r="D185" i="1" s="1"/>
  <c r="D186" i="1" a="1"/>
  <c r="D186" i="1" s="1"/>
  <c r="D187" i="1" a="1"/>
  <c r="D187" i="1" s="1"/>
  <c r="D188" i="1" a="1"/>
  <c r="D188" i="1" s="1"/>
  <c r="D189" i="1" a="1"/>
  <c r="D189" i="1" s="1"/>
  <c r="D190" i="1" a="1"/>
  <c r="D190" i="1" s="1"/>
  <c r="D191" i="1" a="1"/>
  <c r="D191" i="1" s="1"/>
  <c r="D192" i="1" a="1"/>
  <c r="D192" i="1" s="1"/>
  <c r="D193" i="1" a="1"/>
  <c r="D193" i="1" s="1"/>
  <c r="D194" i="1" a="1"/>
  <c r="D194" i="1" s="1"/>
  <c r="D195" i="1" a="1"/>
  <c r="D195" i="1" s="1"/>
  <c r="D196" i="1" a="1"/>
  <c r="D196" i="1" s="1"/>
  <c r="D197" i="1" a="1"/>
  <c r="D197" i="1" s="1"/>
  <c r="D198" i="1" a="1"/>
  <c r="D198" i="1" s="1"/>
  <c r="D199" i="1" a="1"/>
  <c r="D199" i="1" s="1"/>
  <c r="D200" i="1" a="1"/>
  <c r="D200" i="1" s="1"/>
  <c r="D201" i="1" a="1"/>
  <c r="D201" i="1" s="1"/>
  <c r="D202" i="1" a="1"/>
  <c r="D202" i="1" s="1"/>
  <c r="D203" i="1" a="1"/>
  <c r="D203" i="1" s="1"/>
  <c r="D204" i="1" a="1"/>
  <c r="D204" i="1" s="1"/>
  <c r="D205" i="1" a="1"/>
  <c r="D205" i="1" s="1"/>
  <c r="D206" i="1" a="1"/>
  <c r="D206" i="1" s="1"/>
  <c r="D207" i="1" a="1"/>
  <c r="D207" i="1" s="1"/>
  <c r="D208" i="1" a="1"/>
  <c r="D208" i="1" s="1"/>
  <c r="D209" i="1" a="1"/>
  <c r="D209" i="1" s="1"/>
  <c r="D210" i="1" a="1"/>
  <c r="D210" i="1" s="1"/>
  <c r="D211" i="1" a="1"/>
  <c r="D211" i="1" s="1"/>
  <c r="D212" i="1" a="1"/>
  <c r="D212" i="1" s="1"/>
  <c r="D213" i="1" a="1"/>
  <c r="D213" i="1" s="1"/>
  <c r="D214" i="1" a="1"/>
  <c r="D214" i="1" s="1"/>
  <c r="D215" i="1" a="1"/>
  <c r="D215" i="1" s="1"/>
  <c r="D216" i="1" a="1"/>
  <c r="D216" i="1" s="1"/>
  <c r="D217" i="1" a="1"/>
  <c r="D217" i="1" s="1"/>
  <c r="D218" i="1" a="1"/>
  <c r="D218" i="1" s="1"/>
  <c r="D219" i="1" a="1"/>
  <c r="D219" i="1" s="1"/>
  <c r="D220" i="1" a="1"/>
  <c r="D220" i="1" s="1"/>
  <c r="D221" i="1" a="1"/>
  <c r="D221" i="1" s="1"/>
  <c r="D222" i="1" a="1"/>
  <c r="D222" i="1" s="1"/>
  <c r="D223" i="1" a="1"/>
  <c r="D223" i="1" s="1"/>
  <c r="D224" i="1" a="1"/>
  <c r="D224" i="1" s="1"/>
  <c r="D225" i="1" a="1"/>
  <c r="D225" i="1" s="1"/>
  <c r="D226" i="1" a="1"/>
  <c r="D226" i="1" s="1"/>
  <c r="D227" i="1" a="1"/>
  <c r="D227" i="1" s="1"/>
  <c r="D228" i="1" a="1"/>
  <c r="D228" i="1" s="1"/>
  <c r="D229" i="1" a="1"/>
  <c r="D229" i="1" s="1"/>
  <c r="D230" i="1" a="1"/>
  <c r="D230" i="1" s="1"/>
  <c r="D231" i="1" a="1"/>
  <c r="D231" i="1" s="1"/>
  <c r="D232" i="1" a="1"/>
  <c r="D232" i="1" s="1"/>
  <c r="D233" i="1" a="1"/>
  <c r="D233" i="1" s="1"/>
  <c r="D234" i="1" a="1"/>
  <c r="D234" i="1" s="1"/>
  <c r="D235" i="1" a="1"/>
  <c r="D235" i="1" s="1"/>
  <c r="D236" i="1" a="1"/>
  <c r="D236" i="1" s="1"/>
  <c r="D237" i="1" a="1"/>
  <c r="D237" i="1" s="1"/>
  <c r="D238" i="1" a="1"/>
  <c r="D238" i="1" s="1"/>
  <c r="D239" i="1" a="1"/>
  <c r="D239" i="1" s="1"/>
  <c r="D240" i="1" a="1"/>
  <c r="D240" i="1" s="1"/>
  <c r="D241" i="1" a="1"/>
  <c r="D241" i="1" s="1"/>
  <c r="D242" i="1" a="1"/>
  <c r="D242" i="1" s="1"/>
  <c r="D243" i="1" a="1"/>
  <c r="D243" i="1" s="1"/>
  <c r="D244" i="1" a="1"/>
  <c r="D244" i="1" s="1"/>
  <c r="D245" i="1" a="1"/>
  <c r="D245" i="1" s="1"/>
  <c r="D246" i="1" a="1"/>
  <c r="D246" i="1" s="1"/>
  <c r="D247" i="1" a="1"/>
  <c r="D247" i="1" s="1"/>
  <c r="D248" i="1" a="1"/>
  <c r="D248" i="1" s="1"/>
  <c r="D249" i="1" a="1"/>
  <c r="D249" i="1" s="1"/>
  <c r="D250" i="1" a="1"/>
  <c r="D250" i="1" s="1"/>
  <c r="D251" i="1" a="1"/>
  <c r="D251" i="1" s="1"/>
  <c r="D252" i="1" a="1"/>
  <c r="D252" i="1" s="1"/>
  <c r="D253" i="1" a="1"/>
  <c r="D253" i="1" s="1"/>
  <c r="D254" i="1" a="1"/>
  <c r="D254" i="1" s="1"/>
  <c r="D255" i="1" a="1"/>
  <c r="D255" i="1" s="1"/>
  <c r="D256" i="1" a="1"/>
  <c r="D256" i="1" s="1"/>
  <c r="D257" i="1" a="1"/>
  <c r="D257" i="1" s="1"/>
  <c r="D258" i="1" a="1"/>
  <c r="D258" i="1" s="1"/>
  <c r="D259" i="1" a="1"/>
  <c r="D259" i="1" s="1"/>
  <c r="D260" i="1" a="1"/>
  <c r="D260" i="1" s="1"/>
  <c r="D261" i="1" a="1"/>
  <c r="D261" i="1" s="1"/>
  <c r="D262" i="1" a="1"/>
  <c r="D262" i="1" s="1"/>
  <c r="D263" i="1" a="1"/>
  <c r="D263" i="1" s="1"/>
  <c r="D264" i="1" a="1"/>
  <c r="D264" i="1" s="1"/>
  <c r="D265" i="1" a="1"/>
  <c r="D265" i="1" s="1"/>
  <c r="D266" i="1" a="1"/>
  <c r="D266" i="1" s="1"/>
  <c r="D267" i="1" a="1"/>
  <c r="D267" i="1" s="1"/>
  <c r="D268" i="1" a="1"/>
  <c r="D268" i="1" s="1"/>
  <c r="D269" i="1" a="1"/>
  <c r="D269" i="1" s="1"/>
  <c r="D270" i="1" a="1"/>
  <c r="D270" i="1" s="1"/>
  <c r="D271" i="1" a="1"/>
  <c r="D271" i="1" s="1"/>
  <c r="D272" i="1" a="1"/>
  <c r="D272" i="1" s="1"/>
  <c r="D273" i="1" a="1"/>
  <c r="D273" i="1" s="1"/>
  <c r="D274" i="1" a="1"/>
  <c r="D274" i="1" s="1"/>
  <c r="D275" i="1" a="1"/>
  <c r="D275" i="1" s="1"/>
  <c r="D276" i="1" a="1"/>
  <c r="D276" i="1" s="1"/>
  <c r="D277" i="1" a="1"/>
  <c r="D277" i="1" s="1"/>
  <c r="D278" i="1" a="1"/>
  <c r="D278" i="1" s="1"/>
  <c r="D279" i="1" a="1"/>
  <c r="D279" i="1" s="1"/>
  <c r="D280" i="1" a="1"/>
  <c r="D280" i="1" s="1"/>
  <c r="D281" i="1" a="1"/>
  <c r="D281" i="1" s="1"/>
  <c r="D282" i="1" a="1"/>
  <c r="D282" i="1" s="1"/>
  <c r="D283" i="1" a="1"/>
  <c r="D283" i="1" s="1"/>
  <c r="D284" i="1" a="1"/>
  <c r="D284" i="1" s="1"/>
  <c r="D285" i="1" a="1"/>
  <c r="D285" i="1" s="1"/>
  <c r="D286" i="1" a="1"/>
  <c r="D286" i="1" s="1"/>
  <c r="D287" i="1" a="1"/>
  <c r="D287" i="1" s="1"/>
  <c r="D288" i="1" a="1"/>
  <c r="D288" i="1" s="1"/>
  <c r="D289" i="1" a="1"/>
  <c r="D289" i="1" s="1"/>
  <c r="D290" i="1" a="1"/>
  <c r="D290" i="1" s="1"/>
  <c r="D291" i="1" a="1"/>
  <c r="D291" i="1" s="1"/>
  <c r="D292" i="1" a="1"/>
  <c r="D292" i="1" s="1"/>
  <c r="D293" i="1" a="1"/>
  <c r="D293" i="1" s="1"/>
  <c r="D294" i="1" a="1"/>
  <c r="D294" i="1" s="1"/>
  <c r="D295" i="1" a="1"/>
  <c r="D295" i="1" s="1"/>
  <c r="D296" i="1" a="1"/>
  <c r="D296" i="1" s="1"/>
  <c r="D297" i="1" a="1"/>
  <c r="D297" i="1" s="1"/>
  <c r="D298" i="1" a="1"/>
  <c r="D298" i="1" s="1"/>
  <c r="D299" i="1" a="1"/>
  <c r="D299" i="1" s="1"/>
  <c r="D300" i="1" a="1"/>
  <c r="D300" i="1" s="1"/>
  <c r="D301" i="1" a="1"/>
  <c r="D301" i="1" s="1"/>
  <c r="D302" i="1" a="1"/>
  <c r="D302" i="1" s="1"/>
  <c r="D303" i="1" a="1"/>
  <c r="D303" i="1" s="1"/>
  <c r="D304" i="1" a="1"/>
  <c r="D304" i="1" s="1"/>
  <c r="D305" i="1" a="1"/>
  <c r="D305" i="1" s="1"/>
  <c r="D306" i="1" a="1"/>
  <c r="D306" i="1" s="1"/>
  <c r="D307" i="1" a="1"/>
  <c r="D307" i="1" s="1"/>
  <c r="D308" i="1" a="1"/>
  <c r="D308" i="1" s="1"/>
  <c r="D309" i="1" a="1"/>
  <c r="D309" i="1" s="1"/>
  <c r="D310" i="1" a="1"/>
  <c r="D310" i="1" s="1"/>
  <c r="D311" i="1" a="1"/>
  <c r="D311" i="1" s="1"/>
  <c r="D312" i="1" a="1"/>
  <c r="D312" i="1" s="1"/>
  <c r="D313" i="1" a="1"/>
  <c r="D313" i="1" s="1"/>
  <c r="D314" i="1" a="1"/>
  <c r="D314" i="1" s="1"/>
  <c r="D315" i="1" a="1"/>
  <c r="D315" i="1" s="1"/>
  <c r="D316" i="1" a="1"/>
  <c r="D316" i="1" s="1"/>
  <c r="D317" i="1" a="1"/>
  <c r="D317" i="1" s="1"/>
  <c r="D318" i="1" a="1"/>
  <c r="D318" i="1" s="1"/>
  <c r="D319" i="1" a="1"/>
  <c r="D319" i="1" s="1"/>
  <c r="D320" i="1" a="1"/>
  <c r="D320" i="1" s="1"/>
  <c r="D321" i="1" a="1"/>
  <c r="D321" i="1" s="1"/>
  <c r="D322" i="1" a="1"/>
  <c r="D322" i="1" s="1"/>
  <c r="D323" i="1" a="1"/>
  <c r="D323" i="1" s="1"/>
  <c r="D324" i="1" a="1"/>
  <c r="D324" i="1" s="1"/>
  <c r="D325" i="1" a="1"/>
  <c r="D325" i="1" s="1"/>
  <c r="D326" i="1" a="1"/>
  <c r="D326" i="1" s="1"/>
  <c r="D327" i="1" a="1"/>
  <c r="D327" i="1" s="1"/>
  <c r="D328" i="1" a="1"/>
  <c r="D328" i="1" s="1"/>
  <c r="D329" i="1" a="1"/>
  <c r="D329" i="1" s="1"/>
  <c r="D330" i="1" a="1"/>
  <c r="D330" i="1" s="1"/>
  <c r="D331" i="1" a="1"/>
  <c r="D331" i="1" s="1"/>
  <c r="D332" i="1" a="1"/>
  <c r="D332" i="1" s="1"/>
  <c r="D333" i="1" a="1"/>
  <c r="D333" i="1" s="1"/>
  <c r="D334" i="1" a="1"/>
  <c r="D334" i="1" s="1"/>
  <c r="D335" i="1" a="1"/>
  <c r="D335" i="1" s="1"/>
  <c r="D336" i="1" a="1"/>
  <c r="D336" i="1" s="1"/>
  <c r="D337" i="1" a="1"/>
  <c r="D337" i="1" s="1"/>
  <c r="D338" i="1" a="1"/>
  <c r="D338" i="1" s="1"/>
  <c r="D339" i="1" a="1"/>
  <c r="D339" i="1" s="1"/>
  <c r="D340" i="1" a="1"/>
  <c r="D340" i="1" s="1"/>
  <c r="D341" i="1" a="1"/>
  <c r="D341" i="1" s="1"/>
  <c r="D342" i="1" a="1"/>
  <c r="D342" i="1" s="1"/>
  <c r="D343" i="1" a="1"/>
  <c r="D343" i="1" s="1"/>
  <c r="D344" i="1" a="1"/>
  <c r="D344" i="1" s="1"/>
  <c r="D345" i="1" a="1"/>
  <c r="D345" i="1" s="1"/>
  <c r="D346" i="1" a="1"/>
  <c r="D346" i="1" s="1"/>
  <c r="D347" i="1" a="1"/>
  <c r="D347" i="1" s="1"/>
  <c r="D348" i="1" a="1"/>
  <c r="D348" i="1" s="1"/>
  <c r="D349" i="1" a="1"/>
  <c r="D349" i="1" s="1"/>
  <c r="D350" i="1" a="1"/>
  <c r="D350" i="1" s="1"/>
  <c r="D351" i="1" a="1"/>
  <c r="D351" i="1" s="1"/>
  <c r="D352" i="1" a="1"/>
  <c r="D352" i="1" s="1"/>
  <c r="D353" i="1" a="1"/>
  <c r="D353" i="1" s="1"/>
  <c r="D354" i="1" a="1"/>
  <c r="D354" i="1" s="1"/>
  <c r="D355" i="1" a="1"/>
  <c r="D355" i="1" s="1"/>
  <c r="D356" i="1" a="1"/>
  <c r="D356" i="1" s="1"/>
  <c r="D357" i="1" a="1"/>
  <c r="D357" i="1" s="1"/>
  <c r="D358" i="1" a="1"/>
  <c r="D358" i="1" s="1"/>
  <c r="D359" i="1" a="1"/>
  <c r="D359" i="1" s="1"/>
  <c r="D360" i="1" a="1"/>
  <c r="D360" i="1" s="1"/>
  <c r="D361" i="1" a="1"/>
  <c r="D361" i="1" s="1"/>
  <c r="D362" i="1" a="1"/>
  <c r="D362" i="1" s="1"/>
  <c r="D363" i="1" a="1"/>
  <c r="D363" i="1" s="1"/>
  <c r="D364" i="1" a="1"/>
  <c r="D364" i="1" s="1"/>
  <c r="D365" i="1" a="1"/>
  <c r="D365" i="1" s="1"/>
  <c r="D366" i="1" a="1"/>
  <c r="D366" i="1" s="1"/>
  <c r="D367" i="1" a="1"/>
  <c r="D367" i="1" s="1"/>
  <c r="D368" i="1" a="1"/>
  <c r="D368" i="1" s="1"/>
  <c r="D369" i="1" a="1"/>
  <c r="D369" i="1" s="1"/>
  <c r="D370" i="1" a="1"/>
  <c r="D370" i="1" s="1"/>
  <c r="D371" i="1" a="1"/>
  <c r="D371" i="1" s="1"/>
  <c r="D372" i="1" a="1"/>
  <c r="D372" i="1" s="1"/>
  <c r="D373" i="1" a="1"/>
  <c r="D373" i="1" s="1"/>
  <c r="D374" i="1" a="1"/>
  <c r="D374" i="1" s="1"/>
  <c r="D375" i="1" a="1"/>
  <c r="D375" i="1" s="1"/>
  <c r="D376" i="1" a="1"/>
  <c r="D376" i="1" s="1"/>
  <c r="D377" i="1" a="1"/>
  <c r="D377" i="1" s="1"/>
  <c r="D378" i="1" a="1"/>
  <c r="D378" i="1" s="1"/>
  <c r="D379" i="1" a="1"/>
  <c r="D379" i="1" s="1"/>
  <c r="D380" i="1" a="1"/>
  <c r="D380" i="1" s="1"/>
  <c r="D381" i="1" a="1"/>
  <c r="D381" i="1" s="1"/>
  <c r="D382" i="1" a="1"/>
  <c r="D382" i="1" s="1"/>
  <c r="D383" i="1" a="1"/>
  <c r="D383" i="1" s="1"/>
  <c r="D384" i="1" a="1"/>
  <c r="D384" i="1" s="1"/>
  <c r="D385" i="1" a="1"/>
  <c r="D385" i="1" s="1"/>
  <c r="D386" i="1" a="1"/>
  <c r="D386" i="1" s="1"/>
  <c r="D387" i="1" a="1"/>
  <c r="D387" i="1" s="1"/>
  <c r="D388" i="1" a="1"/>
  <c r="D388" i="1" s="1"/>
  <c r="D389" i="1" a="1"/>
  <c r="D389" i="1" s="1"/>
  <c r="D390" i="1" a="1"/>
  <c r="D390" i="1" s="1"/>
  <c r="D391" i="1" a="1"/>
  <c r="D391" i="1" s="1"/>
  <c r="D392" i="1" a="1"/>
  <c r="D392" i="1" s="1"/>
  <c r="D393" i="1" a="1"/>
  <c r="D393" i="1" s="1"/>
  <c r="D394" i="1" a="1"/>
  <c r="D394" i="1" s="1"/>
  <c r="D395" i="1" a="1"/>
  <c r="D395" i="1" s="1"/>
  <c r="D396" i="1" a="1"/>
  <c r="D396" i="1" s="1"/>
  <c r="D397" i="1" a="1"/>
  <c r="D397" i="1" s="1"/>
  <c r="D398" i="1" a="1"/>
  <c r="D398" i="1" s="1"/>
  <c r="D399" i="1" a="1"/>
  <c r="D399" i="1" s="1"/>
  <c r="D400" i="1" a="1"/>
  <c r="D400" i="1" s="1"/>
  <c r="D401" i="1" a="1"/>
  <c r="D401" i="1" s="1"/>
  <c r="D402" i="1" a="1"/>
  <c r="D402" i="1" s="1"/>
  <c r="D403" i="1" a="1"/>
  <c r="D403" i="1" s="1"/>
  <c r="D404" i="1" a="1"/>
  <c r="D404" i="1" s="1"/>
  <c r="D405" i="1" a="1"/>
  <c r="D405" i="1" s="1"/>
  <c r="D406" i="1" a="1"/>
  <c r="D406" i="1" s="1"/>
  <c r="D407" i="1" a="1"/>
  <c r="D407" i="1" s="1"/>
  <c r="D408" i="1" a="1"/>
  <c r="D408" i="1" s="1"/>
  <c r="D409" i="1" a="1"/>
  <c r="D409" i="1" s="1"/>
  <c r="D410" i="1" a="1"/>
  <c r="D410" i="1" s="1"/>
  <c r="D411" i="1" a="1"/>
  <c r="D411" i="1" s="1"/>
  <c r="D412" i="1" a="1"/>
  <c r="D412" i="1" s="1"/>
  <c r="D413" i="1" a="1"/>
  <c r="D413" i="1" s="1"/>
  <c r="D414" i="1" a="1"/>
  <c r="D414" i="1" s="1"/>
  <c r="D415" i="1" a="1"/>
  <c r="D415" i="1" s="1"/>
  <c r="D416" i="1" a="1"/>
  <c r="D416" i="1" s="1"/>
  <c r="D417" i="1" a="1"/>
  <c r="D417" i="1" s="1"/>
  <c r="D418" i="1" a="1"/>
  <c r="D418" i="1" s="1"/>
  <c r="D419" i="1" a="1"/>
  <c r="D419" i="1" s="1"/>
  <c r="D420" i="1" a="1"/>
  <c r="D420" i="1" s="1"/>
  <c r="D421" i="1" a="1"/>
  <c r="D421" i="1" s="1"/>
  <c r="D422" i="1" a="1"/>
  <c r="D422" i="1" s="1"/>
  <c r="D423" i="1" a="1"/>
  <c r="D423" i="1" s="1"/>
  <c r="D424" i="1" a="1"/>
  <c r="D424" i="1" s="1"/>
  <c r="D425" i="1" a="1"/>
  <c r="D425" i="1" s="1"/>
  <c r="D426" i="1" a="1"/>
  <c r="D426" i="1" s="1"/>
  <c r="D427" i="1" a="1"/>
  <c r="D427" i="1" s="1"/>
  <c r="D428" i="1" a="1"/>
  <c r="D428" i="1" s="1"/>
  <c r="D429" i="1" a="1"/>
  <c r="D429" i="1" s="1"/>
  <c r="D430" i="1" a="1"/>
  <c r="D430" i="1" s="1"/>
  <c r="D431" i="1" a="1"/>
  <c r="D431" i="1" s="1"/>
  <c r="D432" i="1" a="1"/>
  <c r="D432" i="1" s="1"/>
  <c r="D433" i="1" a="1"/>
  <c r="D433" i="1" s="1"/>
  <c r="D434" i="1" a="1"/>
  <c r="D434" i="1" s="1"/>
  <c r="D435" i="1" a="1"/>
  <c r="D435" i="1" s="1"/>
  <c r="D436" i="1" a="1"/>
  <c r="D436" i="1" s="1"/>
  <c r="D437" i="1" a="1"/>
  <c r="D437" i="1" s="1"/>
  <c r="D438" i="1" a="1"/>
  <c r="D438" i="1" s="1"/>
  <c r="D439" i="1" a="1"/>
  <c r="D439" i="1" s="1"/>
  <c r="D440" i="1" a="1"/>
  <c r="D440" i="1" s="1"/>
  <c r="D441" i="1" a="1"/>
  <c r="D441" i="1" s="1"/>
  <c r="D442" i="1" a="1"/>
  <c r="D442" i="1" s="1"/>
  <c r="D443" i="1" a="1"/>
  <c r="D443" i="1" s="1"/>
  <c r="D444" i="1" a="1"/>
  <c r="D444" i="1" s="1"/>
  <c r="D445" i="1" a="1"/>
  <c r="D445" i="1" s="1"/>
  <c r="D446" i="1" a="1"/>
  <c r="D446" i="1" s="1"/>
  <c r="D447" i="1" a="1"/>
  <c r="D447" i="1" s="1"/>
  <c r="D448" i="1" a="1"/>
  <c r="D448" i="1" s="1"/>
  <c r="D449" i="1" a="1"/>
  <c r="D449" i="1" s="1"/>
  <c r="D450" i="1" a="1"/>
  <c r="D450" i="1" s="1"/>
  <c r="D451" i="1" a="1"/>
  <c r="D451" i="1"/>
  <c r="D452" i="1" a="1"/>
  <c r="D452" i="1" s="1"/>
  <c r="D453" i="1" a="1"/>
  <c r="D453" i="1"/>
  <c r="D454" i="1" a="1"/>
  <c r="D454" i="1" s="1"/>
  <c r="D455" i="1" a="1"/>
  <c r="D455" i="1" s="1"/>
  <c r="D456" i="1" a="1"/>
  <c r="D456" i="1" s="1"/>
  <c r="D457" i="1" a="1"/>
  <c r="D457" i="1" s="1"/>
  <c r="D458" i="1" a="1"/>
  <c r="D458" i="1" s="1"/>
  <c r="D459" i="1" a="1"/>
  <c r="D459" i="1" s="1"/>
  <c r="D460" i="1" a="1"/>
  <c r="D460" i="1" s="1"/>
  <c r="D461" i="1" a="1"/>
  <c r="D461" i="1" s="1"/>
  <c r="D462" i="1" a="1"/>
  <c r="D462" i="1" s="1"/>
  <c r="D463" i="1" a="1"/>
  <c r="D463" i="1" s="1"/>
  <c r="D464" i="1" a="1"/>
  <c r="D464" i="1" s="1"/>
  <c r="D465" i="1" a="1"/>
  <c r="D465" i="1" s="1"/>
  <c r="D466" i="1" a="1"/>
  <c r="D466" i="1" s="1"/>
  <c r="D467" i="1" a="1"/>
  <c r="D467" i="1" s="1"/>
  <c r="D468" i="1" a="1"/>
  <c r="D468" i="1" s="1"/>
  <c r="D469" i="1" a="1"/>
  <c r="D469" i="1" s="1"/>
  <c r="D470" i="1" a="1"/>
  <c r="D470" i="1" s="1"/>
  <c r="D471" i="1" a="1"/>
  <c r="D471" i="1" s="1"/>
  <c r="D472" i="1" a="1"/>
  <c r="D472" i="1" s="1"/>
  <c r="D473" i="1" a="1"/>
  <c r="D473" i="1" s="1"/>
  <c r="D474" i="1" a="1"/>
  <c r="D474" i="1" s="1"/>
  <c r="D475" i="1" a="1"/>
  <c r="D475" i="1" s="1"/>
  <c r="D476" i="1" a="1"/>
  <c r="D476" i="1" s="1"/>
  <c r="D477" i="1" a="1"/>
  <c r="D477" i="1" s="1"/>
  <c r="D478" i="1" a="1"/>
  <c r="D478" i="1" s="1"/>
  <c r="D479" i="1" a="1"/>
  <c r="D479" i="1" s="1"/>
  <c r="D480" i="1" a="1"/>
  <c r="D480" i="1" s="1"/>
  <c r="D481" i="1" a="1"/>
  <c r="D481" i="1" s="1"/>
  <c r="D482" i="1" a="1"/>
  <c r="D482" i="1" s="1"/>
  <c r="D483" i="1" a="1"/>
  <c r="D483" i="1" s="1"/>
  <c r="D484" i="1" a="1"/>
  <c r="D484" i="1" s="1"/>
  <c r="D485" i="1" a="1"/>
  <c r="D485" i="1" s="1"/>
  <c r="D486" i="1" a="1"/>
  <c r="D486" i="1" s="1"/>
  <c r="D487" i="1" a="1"/>
  <c r="D487" i="1" s="1"/>
  <c r="D488" i="1" a="1"/>
  <c r="D488" i="1" s="1"/>
  <c r="D489" i="1" a="1"/>
  <c r="D489" i="1" s="1"/>
  <c r="D490" i="1" a="1"/>
  <c r="D490" i="1" s="1"/>
  <c r="D491" i="1" a="1"/>
  <c r="D491" i="1" s="1"/>
  <c r="D492" i="1" a="1"/>
  <c r="D492" i="1" s="1"/>
  <c r="D493" i="1" a="1"/>
  <c r="D493" i="1" s="1"/>
  <c r="D494" i="1" a="1"/>
  <c r="D494" i="1" s="1"/>
  <c r="D495" i="1" a="1"/>
  <c r="D495" i="1" s="1"/>
  <c r="D496" i="1" a="1"/>
  <c r="D496" i="1" s="1"/>
  <c r="D497" i="1" a="1"/>
  <c r="D497" i="1" s="1"/>
  <c r="D498" i="1" a="1"/>
  <c r="D498" i="1" s="1"/>
  <c r="D499" i="1" a="1"/>
  <c r="D499" i="1" s="1"/>
  <c r="D500" i="1" a="1"/>
  <c r="D500" i="1" s="1"/>
  <c r="D501" i="1" a="1"/>
  <c r="D501" i="1" s="1"/>
  <c r="D502" i="1" a="1"/>
  <c r="D502" i="1" s="1"/>
  <c r="D503" i="1" a="1"/>
  <c r="D503" i="1" s="1"/>
  <c r="D504" i="1" a="1"/>
  <c r="D504" i="1" s="1"/>
  <c r="D505" i="1" a="1"/>
  <c r="D505" i="1" s="1"/>
  <c r="D506" i="1" a="1"/>
  <c r="D506" i="1" s="1"/>
  <c r="D507" i="1" a="1"/>
  <c r="D507" i="1" s="1"/>
  <c r="D508" i="1" a="1"/>
  <c r="D508" i="1" s="1"/>
  <c r="D509" i="1" a="1"/>
  <c r="D509" i="1" s="1"/>
  <c r="D510" i="1" a="1"/>
  <c r="D510" i="1" s="1"/>
  <c r="D511" i="1" a="1"/>
  <c r="D511" i="1" s="1"/>
  <c r="D512" i="1" a="1"/>
  <c r="D512" i="1" s="1"/>
  <c r="D513" i="1" a="1"/>
  <c r="D513" i="1" s="1"/>
  <c r="D514" i="1" a="1"/>
  <c r="D514" i="1" s="1"/>
  <c r="D515" i="1" a="1"/>
  <c r="D515" i="1" s="1"/>
  <c r="D516" i="1" a="1"/>
  <c r="D516" i="1" s="1"/>
  <c r="D517" i="1" a="1"/>
  <c r="D517" i="1" s="1"/>
  <c r="D518" i="1" a="1"/>
  <c r="D518" i="1" s="1"/>
  <c r="D519" i="1" a="1"/>
  <c r="D519" i="1" s="1"/>
  <c r="D520" i="1" a="1"/>
  <c r="D520" i="1" s="1"/>
  <c r="D521" i="1" a="1"/>
  <c r="D521" i="1" s="1"/>
  <c r="D522" i="1" a="1"/>
  <c r="D522" i="1" s="1"/>
  <c r="D523" i="1" a="1"/>
  <c r="D523" i="1" s="1"/>
  <c r="D524" i="1" a="1"/>
  <c r="D524" i="1" s="1"/>
  <c r="D525" i="1" a="1"/>
  <c r="D525" i="1" s="1"/>
  <c r="D526" i="1" a="1"/>
  <c r="D526" i="1" s="1"/>
  <c r="D527" i="1" a="1"/>
  <c r="D527" i="1" s="1"/>
  <c r="D528" i="1" a="1"/>
  <c r="D528" i="1" s="1"/>
  <c r="D529" i="1" a="1"/>
  <c r="D529" i="1" s="1"/>
  <c r="D530" i="1" a="1"/>
  <c r="D530" i="1" s="1"/>
  <c r="D531" i="1" a="1"/>
  <c r="D531" i="1" s="1"/>
  <c r="D532" i="1" a="1"/>
  <c r="D532" i="1" s="1"/>
  <c r="D533" i="1" a="1"/>
  <c r="D533" i="1" s="1"/>
  <c r="D534" i="1" a="1"/>
  <c r="D534" i="1" s="1"/>
  <c r="D535" i="1" a="1"/>
  <c r="D535" i="1" s="1"/>
  <c r="D536" i="1" a="1"/>
  <c r="D536" i="1" s="1"/>
  <c r="D537" i="1" a="1"/>
  <c r="D537" i="1"/>
  <c r="D538" i="1" a="1"/>
  <c r="D538" i="1" s="1"/>
  <c r="D539" i="1" a="1"/>
  <c r="D539" i="1" s="1"/>
  <c r="D540" i="1" a="1"/>
  <c r="D540" i="1" s="1"/>
  <c r="D541" i="1" a="1"/>
  <c r="D541" i="1" s="1"/>
  <c r="D542" i="1" a="1"/>
  <c r="D542" i="1" s="1"/>
  <c r="D543" i="1" a="1"/>
  <c r="D543" i="1" s="1"/>
  <c r="D544" i="1" a="1"/>
  <c r="D544" i="1" s="1"/>
  <c r="D545" i="1" a="1"/>
  <c r="D545" i="1" s="1"/>
  <c r="D546" i="1" a="1"/>
  <c r="D546" i="1" s="1"/>
  <c r="D547" i="1" a="1"/>
  <c r="D547" i="1" s="1"/>
  <c r="D548" i="1" a="1"/>
  <c r="D548" i="1" s="1"/>
  <c r="D549" i="1" a="1"/>
  <c r="D549" i="1" s="1"/>
  <c r="D550" i="1" a="1"/>
  <c r="D550" i="1"/>
  <c r="D551" i="1" a="1"/>
  <c r="D551" i="1" s="1"/>
  <c r="D552" i="1" a="1"/>
  <c r="D552" i="1" s="1"/>
  <c r="D553" i="1" a="1"/>
  <c r="D553" i="1" s="1"/>
  <c r="D554" i="1" a="1"/>
  <c r="D554" i="1" s="1"/>
  <c r="D555" i="1" a="1"/>
  <c r="D555" i="1"/>
  <c r="D556" i="1" a="1"/>
  <c r="D556" i="1" s="1"/>
  <c r="D557" i="1" a="1"/>
  <c r="D557" i="1" s="1"/>
  <c r="D558" i="1" a="1"/>
  <c r="D558" i="1" s="1"/>
  <c r="D559" i="1" a="1"/>
  <c r="D559" i="1" s="1"/>
  <c r="D560" i="1" a="1"/>
  <c r="D560" i="1" s="1"/>
  <c r="D561" i="1" a="1"/>
  <c r="D561" i="1" s="1"/>
  <c r="D562" i="1" a="1"/>
  <c r="D562" i="1" s="1"/>
  <c r="D563" i="1" a="1"/>
  <c r="D563" i="1" s="1"/>
  <c r="D564" i="1" a="1"/>
  <c r="D564" i="1" s="1"/>
  <c r="D565" i="1" a="1"/>
  <c r="D565" i="1" s="1"/>
  <c r="D566" i="1" a="1"/>
  <c r="D566" i="1" s="1"/>
  <c r="D567" i="1" a="1"/>
  <c r="D567" i="1" s="1"/>
  <c r="D568" i="1" a="1"/>
  <c r="D568" i="1"/>
  <c r="D569" i="1" a="1"/>
  <c r="D569" i="1" s="1"/>
  <c r="D570" i="1" a="1"/>
  <c r="D570" i="1" s="1"/>
  <c r="D571" i="1" a="1"/>
  <c r="D571" i="1" s="1"/>
  <c r="D572" i="1" a="1"/>
  <c r="D572" i="1" s="1"/>
  <c r="D573" i="1" a="1"/>
  <c r="D573" i="1" s="1"/>
  <c r="D574" i="1" a="1"/>
  <c r="D574" i="1" s="1"/>
  <c r="D575" i="1" a="1"/>
  <c r="D575" i="1" s="1"/>
  <c r="D576" i="1" a="1"/>
  <c r="D576" i="1" s="1"/>
  <c r="D577" i="1" a="1"/>
  <c r="D577" i="1" s="1"/>
  <c r="D578" i="1" a="1"/>
  <c r="D578" i="1" s="1"/>
  <c r="D579" i="1" a="1"/>
  <c r="D579" i="1" s="1"/>
  <c r="D580" i="1" a="1"/>
  <c r="D580" i="1" s="1"/>
  <c r="D581" i="1" a="1"/>
  <c r="D581" i="1" s="1"/>
  <c r="D582" i="1" a="1"/>
  <c r="D582" i="1" s="1"/>
  <c r="D583" i="1" a="1"/>
  <c r="D583" i="1" s="1"/>
  <c r="D584" i="1" a="1"/>
  <c r="D584" i="1"/>
  <c r="D585" i="1" a="1"/>
  <c r="D585" i="1" s="1"/>
  <c r="D586" i="1" a="1"/>
  <c r="D586" i="1" s="1"/>
  <c r="D587" i="1" a="1"/>
  <c r="D587" i="1" s="1"/>
  <c r="D588" i="1" a="1"/>
  <c r="D588" i="1" s="1"/>
  <c r="D589" i="1" a="1"/>
  <c r="D589" i="1" s="1"/>
  <c r="D590" i="1" a="1"/>
  <c r="D590" i="1" s="1"/>
  <c r="D591" i="1" a="1"/>
  <c r="D591" i="1" s="1"/>
  <c r="D592" i="1" a="1"/>
  <c r="D592" i="1" s="1"/>
  <c r="D593" i="1" a="1"/>
  <c r="D593" i="1" s="1"/>
  <c r="D594" i="1" a="1"/>
  <c r="D594" i="1" s="1"/>
  <c r="D595" i="1" a="1"/>
  <c r="D595" i="1" s="1"/>
  <c r="D596" i="1" a="1"/>
  <c r="D596" i="1" s="1"/>
  <c r="D597" i="1" a="1"/>
  <c r="D597" i="1" s="1"/>
  <c r="D598" i="1" a="1"/>
  <c r="D598" i="1" s="1"/>
  <c r="D599" i="1" a="1"/>
  <c r="D599" i="1" s="1"/>
  <c r="D600" i="1" a="1"/>
  <c r="D600" i="1" s="1"/>
  <c r="D601" i="1" a="1"/>
  <c r="D601" i="1" s="1"/>
  <c r="D602" i="1" a="1"/>
  <c r="D602" i="1" s="1"/>
  <c r="D603" i="1" a="1"/>
  <c r="D603" i="1" s="1"/>
  <c r="D604" i="1" a="1"/>
  <c r="D604" i="1" s="1"/>
  <c r="D605" i="1" a="1"/>
  <c r="D605" i="1" s="1"/>
  <c r="D606" i="1" a="1"/>
  <c r="D606" i="1" s="1"/>
  <c r="D607" i="1" a="1"/>
  <c r="D607" i="1" s="1"/>
  <c r="D608" i="1" a="1"/>
  <c r="D608" i="1" s="1"/>
  <c r="D609" i="1" a="1"/>
  <c r="D609" i="1"/>
  <c r="D610" i="1" a="1"/>
  <c r="D610" i="1" s="1"/>
  <c r="D611" i="1" a="1"/>
  <c r="D611" i="1" s="1"/>
  <c r="D612" i="1" a="1"/>
  <c r="D612" i="1" s="1"/>
  <c r="D613" i="1" a="1"/>
  <c r="D613" i="1" s="1"/>
  <c r="D614" i="1" a="1"/>
  <c r="D614" i="1" s="1"/>
  <c r="D615" i="1" a="1"/>
  <c r="D615" i="1" s="1"/>
  <c r="D616" i="1" a="1"/>
  <c r="D616" i="1" s="1"/>
  <c r="D617" i="1" a="1"/>
  <c r="D617" i="1" s="1"/>
  <c r="D618" i="1" a="1"/>
  <c r="D618" i="1" s="1"/>
  <c r="D619" i="1" a="1"/>
  <c r="D619" i="1" s="1"/>
  <c r="D620" i="1" a="1"/>
  <c r="D620" i="1" s="1"/>
  <c r="D621" i="1" a="1"/>
  <c r="D621" i="1" s="1"/>
  <c r="D622" i="1" a="1"/>
  <c r="D622" i="1" s="1"/>
  <c r="D623" i="1" a="1"/>
  <c r="D623" i="1" s="1"/>
  <c r="D624" i="1" a="1"/>
  <c r="D624" i="1" s="1"/>
  <c r="D625" i="1" a="1"/>
  <c r="D625" i="1" s="1"/>
  <c r="D626" i="1" a="1"/>
  <c r="D626" i="1" s="1"/>
  <c r="D627" i="1" a="1"/>
  <c r="D627" i="1" s="1"/>
  <c r="D628" i="1" a="1"/>
  <c r="D628" i="1" s="1"/>
  <c r="D629" i="1" a="1"/>
  <c r="D629" i="1" s="1"/>
  <c r="D630" i="1" a="1"/>
  <c r="D630" i="1" s="1"/>
  <c r="D631" i="1" a="1"/>
  <c r="D631" i="1" s="1"/>
  <c r="D632" i="1" a="1"/>
  <c r="D632" i="1" s="1"/>
  <c r="D633" i="1" a="1"/>
  <c r="D633" i="1" s="1"/>
  <c r="D634" i="1" a="1"/>
  <c r="D634" i="1" s="1"/>
  <c r="D635" i="1" a="1"/>
  <c r="D635" i="1" s="1"/>
  <c r="D636" i="1" a="1"/>
  <c r="D636" i="1" s="1"/>
  <c r="D637" i="1" a="1"/>
  <c r="D637" i="1" s="1"/>
  <c r="D638" i="1" a="1"/>
  <c r="D638" i="1" s="1"/>
  <c r="D639" i="1" a="1"/>
  <c r="D639" i="1" s="1"/>
  <c r="D640" i="1" a="1"/>
  <c r="D640" i="1" s="1"/>
  <c r="D641" i="1" a="1"/>
  <c r="D641" i="1" s="1"/>
  <c r="D642" i="1" a="1"/>
  <c r="D642" i="1" s="1"/>
  <c r="D643" i="1" a="1"/>
  <c r="D643" i="1" s="1"/>
  <c r="D644" i="1" a="1"/>
  <c r="D644" i="1" s="1"/>
  <c r="D645" i="1" a="1"/>
  <c r="D645" i="1" s="1"/>
  <c r="D646" i="1" a="1"/>
  <c r="D646" i="1" s="1"/>
  <c r="D647" i="1" a="1"/>
  <c r="D647" i="1" s="1"/>
  <c r="D648" i="1" a="1"/>
  <c r="D648" i="1" s="1"/>
  <c r="D649" i="1" a="1"/>
  <c r="D649" i="1" s="1"/>
  <c r="D650" i="1" a="1"/>
  <c r="D650" i="1" s="1"/>
  <c r="D651" i="1" a="1"/>
  <c r="D651" i="1" s="1"/>
  <c r="D652" i="1" a="1"/>
  <c r="D652" i="1" s="1"/>
  <c r="D653" i="1" a="1"/>
  <c r="D653" i="1" s="1"/>
  <c r="D654" i="1" a="1"/>
  <c r="D654" i="1" s="1"/>
  <c r="D655" i="1" a="1"/>
  <c r="D655" i="1" s="1"/>
  <c r="D656" i="1" a="1"/>
  <c r="D656" i="1" s="1"/>
  <c r="D657" i="1" a="1"/>
  <c r="D657" i="1" s="1"/>
  <c r="D658" i="1" a="1"/>
  <c r="D658" i="1" s="1"/>
  <c r="D659" i="1" a="1"/>
  <c r="D659" i="1" s="1"/>
  <c r="D660" i="1" a="1"/>
  <c r="D660" i="1" s="1"/>
  <c r="D661" i="1" a="1"/>
  <c r="D661" i="1" s="1"/>
  <c r="D662" i="1" a="1"/>
  <c r="D662" i="1" s="1"/>
  <c r="D663" i="1" a="1"/>
  <c r="D663" i="1" s="1"/>
  <c r="D664" i="1" a="1"/>
  <c r="D664" i="1" s="1"/>
  <c r="D665" i="1" a="1"/>
  <c r="D665" i="1" s="1"/>
  <c r="D666" i="1" a="1"/>
  <c r="D666" i="1" s="1"/>
  <c r="D667" i="1" a="1"/>
  <c r="D667" i="1" s="1"/>
  <c r="D668" i="1" a="1"/>
  <c r="D668" i="1" s="1"/>
  <c r="D669" i="1" a="1"/>
  <c r="D669" i="1"/>
  <c r="D670" i="1" a="1"/>
  <c r="D670" i="1" s="1"/>
  <c r="D671" i="1" a="1"/>
  <c r="D671" i="1" s="1"/>
  <c r="D672" i="1" a="1"/>
  <c r="D672" i="1" s="1"/>
  <c r="D673" i="1" a="1"/>
  <c r="D673" i="1" s="1"/>
  <c r="D674" i="1" a="1"/>
  <c r="D674" i="1" s="1"/>
  <c r="D675" i="1" a="1"/>
  <c r="D675" i="1" s="1"/>
  <c r="D676" i="1" a="1"/>
  <c r="D676" i="1" s="1"/>
  <c r="D677" i="1" a="1"/>
  <c r="D677" i="1" s="1"/>
  <c r="D678" i="1" a="1"/>
  <c r="D678" i="1" s="1"/>
  <c r="D679" i="1" a="1"/>
  <c r="D679" i="1" s="1"/>
  <c r="D680" i="1" a="1"/>
  <c r="D680" i="1" s="1"/>
  <c r="D681" i="1" a="1"/>
  <c r="D681" i="1" s="1"/>
  <c r="D682" i="1" a="1"/>
  <c r="D682" i="1"/>
  <c r="D683" i="1" a="1"/>
  <c r="D683" i="1" s="1"/>
  <c r="D684" i="1" a="1"/>
  <c r="D684" i="1" s="1"/>
  <c r="D685" i="1" a="1"/>
  <c r="D685" i="1" s="1"/>
  <c r="D686" i="1" a="1"/>
  <c r="D686" i="1" s="1"/>
  <c r="D687" i="1" a="1"/>
  <c r="D687" i="1" s="1"/>
  <c r="D688" i="1" a="1"/>
  <c r="D688" i="1" s="1"/>
  <c r="D689" i="1" a="1"/>
  <c r="D689" i="1" s="1"/>
  <c r="D690" i="1" a="1"/>
  <c r="D690" i="1" s="1"/>
  <c r="D691" i="1" a="1"/>
  <c r="D691" i="1" s="1"/>
  <c r="D692" i="1" a="1"/>
  <c r="D692" i="1" s="1"/>
  <c r="D693" i="1" a="1"/>
  <c r="D693" i="1" s="1"/>
  <c r="D694" i="1" a="1"/>
  <c r="D694" i="1" s="1"/>
  <c r="D695" i="1" a="1"/>
  <c r="D695" i="1" s="1"/>
  <c r="D696" i="1" a="1"/>
  <c r="D696" i="1" s="1"/>
  <c r="D697" i="1" a="1"/>
  <c r="D697" i="1" s="1"/>
  <c r="D698" i="1" a="1"/>
  <c r="D698" i="1" s="1"/>
  <c r="D699" i="1" a="1"/>
  <c r="D699" i="1" s="1"/>
  <c r="D700" i="1" a="1"/>
  <c r="D700" i="1" s="1"/>
  <c r="D701" i="1" a="1"/>
  <c r="D701" i="1" s="1"/>
  <c r="D702" i="1" a="1"/>
  <c r="D702" i="1" s="1"/>
  <c r="D703" i="1" a="1"/>
  <c r="D703" i="1" s="1"/>
  <c r="D704" i="1" a="1"/>
  <c r="D704" i="1" s="1"/>
  <c r="D705" i="1" a="1"/>
  <c r="D705" i="1" s="1"/>
  <c r="D706" i="1" a="1"/>
  <c r="D706" i="1" s="1"/>
  <c r="D707" i="1" a="1"/>
  <c r="D707" i="1" s="1"/>
  <c r="D708" i="1" a="1"/>
  <c r="D708" i="1" s="1"/>
  <c r="D709" i="1" a="1"/>
  <c r="D709" i="1" s="1"/>
  <c r="D710" i="1" a="1"/>
  <c r="D710" i="1" s="1"/>
  <c r="D711" i="1" a="1"/>
  <c r="D711" i="1" s="1"/>
  <c r="D712" i="1" a="1"/>
  <c r="D712" i="1" s="1"/>
  <c r="D713" i="1" a="1"/>
  <c r="D713" i="1" s="1"/>
  <c r="D714" i="1" a="1"/>
  <c r="D714" i="1" s="1"/>
  <c r="D715" i="1" a="1"/>
  <c r="D715" i="1" s="1"/>
  <c r="D716" i="1" a="1"/>
  <c r="D716" i="1" s="1"/>
  <c r="D717" i="1" a="1"/>
  <c r="D717" i="1" s="1"/>
  <c r="D718" i="1" a="1"/>
  <c r="D718" i="1" s="1"/>
  <c r="D719" i="1" a="1"/>
  <c r="D719" i="1" s="1"/>
  <c r="D720" i="1" a="1"/>
  <c r="D720" i="1" s="1"/>
  <c r="D721" i="1" a="1"/>
  <c r="D721" i="1" s="1"/>
  <c r="D722" i="1" a="1"/>
  <c r="D722" i="1" s="1"/>
  <c r="D723" i="1" a="1"/>
  <c r="D723" i="1" s="1"/>
  <c r="D724" i="1" a="1"/>
  <c r="D724" i="1"/>
  <c r="D725" i="1" a="1"/>
  <c r="D725" i="1" s="1"/>
  <c r="D726" i="1" a="1"/>
  <c r="D726" i="1" s="1"/>
  <c r="D727" i="1" a="1"/>
  <c r="D727" i="1" s="1"/>
  <c r="D728" i="1" a="1"/>
  <c r="D728" i="1" s="1"/>
  <c r="D729" i="1" a="1"/>
  <c r="D729" i="1" s="1"/>
  <c r="D730" i="1" a="1"/>
  <c r="D730" i="1" s="1"/>
  <c r="D731" i="1" a="1"/>
  <c r="D731" i="1" s="1"/>
  <c r="D732" i="1" a="1"/>
  <c r="D732" i="1" s="1"/>
  <c r="D733" i="1" a="1"/>
  <c r="D733" i="1" s="1"/>
  <c r="D734" i="1" a="1"/>
  <c r="D734" i="1" s="1"/>
  <c r="D735" i="1" a="1"/>
  <c r="D735" i="1" s="1"/>
  <c r="D736" i="1" a="1"/>
  <c r="D736" i="1" s="1"/>
  <c r="D737" i="1" a="1"/>
  <c r="D737" i="1" s="1"/>
  <c r="D738" i="1" a="1"/>
  <c r="D738" i="1" s="1"/>
  <c r="D739" i="1" a="1"/>
  <c r="D739" i="1" s="1"/>
  <c r="D740" i="1" a="1"/>
  <c r="D740" i="1" s="1"/>
  <c r="D741" i="1" a="1"/>
  <c r="D741" i="1" s="1"/>
  <c r="D742" i="1" a="1"/>
  <c r="D742" i="1" s="1"/>
  <c r="D743" i="1" a="1"/>
  <c r="D743" i="1" s="1"/>
  <c r="D744" i="1" a="1"/>
  <c r="D744" i="1" s="1"/>
  <c r="D745" i="1" a="1"/>
  <c r="D745" i="1" s="1"/>
  <c r="D746" i="1" a="1"/>
  <c r="D746" i="1" s="1"/>
  <c r="D747" i="1" a="1"/>
  <c r="D747" i="1" s="1"/>
  <c r="D748" i="1" a="1"/>
  <c r="D748" i="1" s="1"/>
  <c r="D749" i="1" a="1"/>
  <c r="D749" i="1" s="1"/>
  <c r="D750" i="1" a="1"/>
  <c r="D750" i="1" s="1"/>
  <c r="D751" i="1" a="1"/>
  <c r="D751" i="1" s="1"/>
  <c r="D752" i="1" a="1"/>
  <c r="D752" i="1" s="1"/>
  <c r="D753" i="1" a="1"/>
  <c r="D753" i="1" s="1"/>
  <c r="D754" i="1" a="1"/>
  <c r="D754" i="1" s="1"/>
  <c r="D755" i="1" a="1"/>
  <c r="D755" i="1" s="1"/>
  <c r="D756" i="1" a="1"/>
  <c r="D756" i="1" s="1"/>
  <c r="D757" i="1" a="1"/>
  <c r="D757" i="1" s="1"/>
  <c r="D758" i="1" a="1"/>
  <c r="D758" i="1"/>
  <c r="D759" i="1" a="1"/>
  <c r="D759" i="1" s="1"/>
  <c r="D760" i="1" a="1"/>
  <c r="D760" i="1" s="1"/>
  <c r="D761" i="1" a="1"/>
  <c r="D761" i="1" s="1"/>
  <c r="D762" i="1" a="1"/>
  <c r="D762" i="1" s="1"/>
  <c r="D763" i="1" a="1"/>
  <c r="D763" i="1" s="1"/>
  <c r="D764" i="1" a="1"/>
  <c r="D764" i="1" s="1"/>
  <c r="D765" i="1" a="1"/>
  <c r="D765" i="1" s="1"/>
  <c r="D766" i="1" a="1"/>
  <c r="D766" i="1" s="1"/>
  <c r="D767" i="1" a="1"/>
  <c r="D767" i="1" s="1"/>
  <c r="D768" i="1" a="1"/>
  <c r="D768" i="1" s="1"/>
  <c r="D769" i="1" a="1"/>
  <c r="D769" i="1" s="1"/>
  <c r="D770" i="1" a="1"/>
  <c r="D770" i="1" s="1"/>
  <c r="D771" i="1" a="1"/>
  <c r="D771" i="1" s="1"/>
  <c r="D772" i="1" a="1"/>
  <c r="D772" i="1" s="1"/>
  <c r="D773" i="1" a="1"/>
  <c r="D773" i="1" s="1"/>
  <c r="D774" i="1" a="1"/>
  <c r="D774" i="1" s="1"/>
  <c r="D775" i="1" a="1"/>
  <c r="D775" i="1" s="1"/>
  <c r="D776" i="1" a="1"/>
  <c r="D776" i="1" s="1"/>
  <c r="D777" i="1" a="1"/>
  <c r="D777" i="1" s="1"/>
  <c r="D778" i="1" a="1"/>
  <c r="D778" i="1" s="1"/>
  <c r="D779" i="1" a="1"/>
  <c r="D779" i="1" s="1"/>
  <c r="D780" i="1" a="1"/>
  <c r="D780" i="1" s="1"/>
  <c r="D781" i="1" a="1"/>
  <c r="D781" i="1" s="1"/>
  <c r="D782" i="1" a="1"/>
  <c r="D782" i="1" s="1"/>
  <c r="D783" i="1" a="1"/>
  <c r="D783" i="1" s="1"/>
  <c r="D784" i="1" a="1"/>
  <c r="D784" i="1" s="1"/>
  <c r="D785" i="1" a="1"/>
  <c r="D785" i="1" s="1"/>
  <c r="D786" i="1" a="1"/>
  <c r="D786" i="1" s="1"/>
  <c r="D787" i="1" a="1"/>
  <c r="D787" i="1" s="1"/>
  <c r="D788" i="1" a="1"/>
  <c r="D788" i="1" s="1"/>
  <c r="D789" i="1" a="1"/>
  <c r="D789" i="1" s="1"/>
  <c r="D790" i="1" a="1"/>
  <c r="D790" i="1" s="1"/>
  <c r="D791" i="1" a="1"/>
  <c r="D791" i="1" s="1"/>
  <c r="D792" i="1" a="1"/>
  <c r="D792" i="1" s="1"/>
  <c r="D793" i="1" a="1"/>
  <c r="D793" i="1" s="1"/>
  <c r="D794" i="1" a="1"/>
  <c r="D794" i="1" s="1"/>
  <c r="D795" i="1" a="1"/>
  <c r="D795" i="1" s="1"/>
  <c r="D796" i="1" a="1"/>
  <c r="D796" i="1" s="1"/>
  <c r="D797" i="1" a="1"/>
  <c r="D797" i="1" s="1"/>
  <c r="D798" i="1" a="1"/>
  <c r="D798" i="1" s="1"/>
  <c r="D799" i="1" a="1"/>
  <c r="D799" i="1" s="1"/>
  <c r="D800" i="1" a="1"/>
  <c r="D800" i="1" s="1"/>
  <c r="D801" i="1" a="1"/>
  <c r="D801" i="1"/>
  <c r="D802" i="1" a="1"/>
  <c r="D802" i="1" s="1"/>
  <c r="D803" i="1" a="1"/>
  <c r="D803" i="1" s="1"/>
  <c r="D804" i="1" a="1"/>
  <c r="D804" i="1" s="1"/>
  <c r="D805" i="1" a="1"/>
  <c r="D805" i="1" s="1"/>
  <c r="D806" i="1" a="1"/>
  <c r="D806" i="1" s="1"/>
  <c r="D807" i="1" a="1"/>
  <c r="D807" i="1" s="1"/>
  <c r="D808" i="1" a="1"/>
  <c r="D808" i="1" s="1"/>
  <c r="D809" i="1" a="1"/>
  <c r="D809" i="1" s="1"/>
  <c r="D810" i="1" a="1"/>
  <c r="D810" i="1" s="1"/>
  <c r="D811" i="1" a="1"/>
  <c r="D811" i="1" s="1"/>
  <c r="D812" i="1" a="1"/>
  <c r="D812" i="1" s="1"/>
  <c r="D813" i="1" a="1"/>
  <c r="D813" i="1" s="1"/>
  <c r="D814" i="1" a="1"/>
  <c r="D814" i="1" s="1"/>
  <c r="D815" i="1" a="1"/>
  <c r="D815" i="1" s="1"/>
  <c r="D816" i="1" a="1"/>
  <c r="D816" i="1" s="1"/>
  <c r="D817" i="1" a="1"/>
  <c r="D817" i="1" s="1"/>
  <c r="D818" i="1" a="1"/>
  <c r="D818" i="1" s="1"/>
  <c r="D819" i="1" a="1"/>
  <c r="D819" i="1" s="1"/>
  <c r="D820" i="1" a="1"/>
  <c r="D820" i="1" s="1"/>
  <c r="D821" i="1" a="1"/>
  <c r="D821" i="1" s="1"/>
  <c r="D822" i="1" a="1"/>
  <c r="D822" i="1" s="1"/>
  <c r="D823" i="1" a="1"/>
  <c r="D823" i="1" s="1"/>
  <c r="D824" i="1" a="1"/>
  <c r="D824" i="1" s="1"/>
  <c r="D825" i="1" a="1"/>
  <c r="D825" i="1" s="1"/>
  <c r="D826" i="1" a="1"/>
  <c r="D826" i="1" s="1"/>
  <c r="D827" i="1" a="1"/>
  <c r="D827" i="1" s="1"/>
  <c r="D828" i="1" a="1"/>
  <c r="D828" i="1" s="1"/>
  <c r="D829" i="1" a="1"/>
  <c r="D829" i="1" s="1"/>
  <c r="D830" i="1" a="1"/>
  <c r="D830" i="1" s="1"/>
  <c r="D831" i="1" a="1"/>
  <c r="D831" i="1" s="1"/>
  <c r="D832" i="1" a="1"/>
  <c r="D832" i="1" s="1"/>
  <c r="D833" i="1" a="1"/>
  <c r="D833" i="1" s="1"/>
  <c r="D834" i="1" a="1"/>
  <c r="D834" i="1" s="1"/>
  <c r="D835" i="1" a="1"/>
  <c r="D835" i="1" s="1"/>
  <c r="D836" i="1" a="1"/>
  <c r="D836" i="1" s="1"/>
  <c r="D837" i="1" a="1"/>
  <c r="D837" i="1" s="1"/>
  <c r="D838" i="1" a="1"/>
  <c r="D838" i="1" s="1"/>
  <c r="D839" i="1" a="1"/>
  <c r="D839" i="1" s="1"/>
  <c r="D840" i="1" a="1"/>
  <c r="D840" i="1" s="1"/>
  <c r="D841" i="1" a="1"/>
  <c r="D841" i="1" s="1"/>
  <c r="D842" i="1" a="1"/>
  <c r="D842" i="1" s="1"/>
  <c r="D843" i="1" a="1"/>
  <c r="D843" i="1" s="1"/>
  <c r="D844" i="1" a="1"/>
  <c r="D844" i="1" s="1"/>
  <c r="D845" i="1" a="1"/>
  <c r="D845" i="1" s="1"/>
  <c r="D846" i="1" a="1"/>
  <c r="D846" i="1" s="1"/>
  <c r="D847" i="1" a="1"/>
  <c r="D847" i="1" s="1"/>
  <c r="D848" i="1" a="1"/>
  <c r="D848" i="1" s="1"/>
  <c r="D849" i="1" a="1"/>
  <c r="D849" i="1" s="1"/>
  <c r="D850" i="1" a="1"/>
  <c r="D850" i="1" s="1"/>
  <c r="D851" i="1" a="1"/>
  <c r="D851" i="1" s="1"/>
  <c r="D852" i="1" a="1"/>
  <c r="D852" i="1" s="1"/>
  <c r="D853" i="1" a="1"/>
  <c r="D853" i="1" s="1"/>
  <c r="D854" i="1" a="1"/>
  <c r="D854" i="1" s="1"/>
  <c r="D855" i="1" a="1"/>
  <c r="D855" i="1" s="1"/>
  <c r="D856" i="1" a="1"/>
  <c r="D856" i="1" s="1"/>
  <c r="D857" i="1" a="1"/>
  <c r="D857" i="1" s="1"/>
  <c r="D858" i="1" a="1"/>
  <c r="D858" i="1" s="1"/>
  <c r="D859" i="1" a="1"/>
  <c r="D859" i="1" s="1"/>
  <c r="D860" i="1" a="1"/>
  <c r="D860" i="1" s="1"/>
  <c r="D861" i="1" a="1"/>
  <c r="D861" i="1" s="1"/>
  <c r="D862" i="1" a="1"/>
  <c r="D862" i="1" s="1"/>
  <c r="D863" i="1" a="1"/>
  <c r="D863" i="1" s="1"/>
  <c r="D864" i="1" a="1"/>
  <c r="D864" i="1" s="1"/>
  <c r="D865" i="1" a="1"/>
  <c r="D865" i="1" s="1"/>
  <c r="D866" i="1" a="1"/>
  <c r="D866" i="1" s="1"/>
  <c r="D867" i="1" a="1"/>
  <c r="D867" i="1" s="1"/>
  <c r="D868" i="1" a="1"/>
  <c r="D868" i="1" s="1"/>
  <c r="D869" i="1" a="1"/>
  <c r="D869" i="1" s="1"/>
  <c r="D870" i="1" a="1"/>
  <c r="D870" i="1" s="1"/>
  <c r="D871" i="1" a="1"/>
  <c r="D871" i="1" s="1"/>
  <c r="D872" i="1" a="1"/>
  <c r="D872" i="1" s="1"/>
  <c r="D873" i="1" a="1"/>
  <c r="D873" i="1" s="1"/>
  <c r="D874" i="1" a="1"/>
  <c r="D874" i="1" s="1"/>
  <c r="D875" i="1" a="1"/>
  <c r="D875" i="1" s="1"/>
  <c r="D876" i="1" a="1"/>
  <c r="D876" i="1" s="1"/>
  <c r="D877" i="1" a="1"/>
  <c r="D877" i="1" s="1"/>
  <c r="D878" i="1" a="1"/>
  <c r="D878" i="1" s="1"/>
  <c r="D879" i="1" a="1"/>
  <c r="D879" i="1" s="1"/>
  <c r="D880" i="1" a="1"/>
  <c r="D880" i="1" s="1"/>
  <c r="D881" i="1" a="1"/>
  <c r="D881" i="1" s="1"/>
  <c r="D882" i="1" a="1"/>
  <c r="D882" i="1" s="1"/>
  <c r="D883" i="1" a="1"/>
  <c r="D883" i="1" s="1"/>
  <c r="D884" i="1" a="1"/>
  <c r="D884" i="1" s="1"/>
  <c r="D885" i="1" a="1"/>
  <c r="D885" i="1" s="1"/>
  <c r="D886" i="1" a="1"/>
  <c r="D886" i="1" s="1"/>
  <c r="D887" i="1" a="1"/>
  <c r="D887" i="1" s="1"/>
  <c r="D888" i="1" a="1"/>
  <c r="D888" i="1" s="1"/>
  <c r="D889" i="1" a="1"/>
  <c r="D889" i="1" s="1"/>
  <c r="D890" i="1" a="1"/>
  <c r="D890" i="1" s="1"/>
  <c r="D891" i="1" a="1"/>
  <c r="D891" i="1" s="1"/>
  <c r="D892" i="1" a="1"/>
  <c r="D892" i="1" s="1"/>
  <c r="D893" i="1" a="1"/>
  <c r="D893" i="1" s="1"/>
  <c r="D894" i="1" a="1"/>
  <c r="D894" i="1" s="1"/>
  <c r="D895" i="1" a="1"/>
  <c r="D895" i="1" s="1"/>
  <c r="D896" i="1" a="1"/>
  <c r="D896" i="1" s="1"/>
  <c r="D897" i="1" a="1"/>
  <c r="D897" i="1" s="1"/>
  <c r="D898" i="1" a="1"/>
  <c r="D898" i="1" s="1"/>
  <c r="D899" i="1" a="1"/>
  <c r="D899" i="1" s="1"/>
  <c r="D900" i="1" a="1"/>
  <c r="D900" i="1" s="1"/>
  <c r="D901" i="1" a="1"/>
  <c r="D901" i="1" s="1"/>
  <c r="D902" i="1" a="1"/>
  <c r="D902" i="1" s="1"/>
  <c r="D903" i="1" a="1"/>
  <c r="D903" i="1" s="1"/>
  <c r="D904" i="1" a="1"/>
  <c r="D904" i="1" s="1"/>
  <c r="D905" i="1" a="1"/>
  <c r="D905" i="1" s="1"/>
  <c r="D906" i="1" a="1"/>
  <c r="D906" i="1" s="1"/>
  <c r="D907" i="1" a="1"/>
  <c r="D907" i="1" s="1"/>
  <c r="D908" i="1" a="1"/>
  <c r="D908" i="1" s="1"/>
  <c r="D909" i="1" a="1"/>
  <c r="D909" i="1" s="1"/>
  <c r="D910" i="1" a="1"/>
  <c r="D910" i="1" s="1"/>
  <c r="D911" i="1" a="1"/>
  <c r="D911" i="1" s="1"/>
  <c r="D912" i="1" a="1"/>
  <c r="D912" i="1" s="1"/>
  <c r="D913" i="1" a="1"/>
  <c r="D913" i="1" s="1"/>
  <c r="D914" i="1" a="1"/>
  <c r="D914" i="1" s="1"/>
  <c r="D915" i="1" a="1"/>
  <c r="D915" i="1" s="1"/>
  <c r="D916" i="1" a="1"/>
  <c r="D916" i="1" s="1"/>
  <c r="D917" i="1" a="1"/>
  <c r="D917" i="1" s="1"/>
  <c r="D918" i="1" a="1"/>
  <c r="D918" i="1" s="1"/>
  <c r="D919" i="1" a="1"/>
  <c r="D919" i="1" s="1"/>
  <c r="D920" i="1" a="1"/>
  <c r="D920" i="1" s="1"/>
  <c r="D921" i="1" a="1"/>
  <c r="D921" i="1" s="1"/>
  <c r="D922" i="1" a="1"/>
  <c r="D922" i="1" s="1"/>
  <c r="D923" i="1" a="1"/>
  <c r="D923" i="1" s="1"/>
  <c r="D924" i="1" a="1"/>
  <c r="D924" i="1" s="1"/>
  <c r="D925" i="1" a="1"/>
  <c r="D925" i="1" s="1"/>
  <c r="D926" i="1" a="1"/>
  <c r="D926" i="1" s="1"/>
  <c r="D927" i="1" a="1"/>
  <c r="D927" i="1" s="1"/>
  <c r="D928" i="1" a="1"/>
  <c r="D928" i="1" s="1"/>
  <c r="D929" i="1" a="1"/>
  <c r="D929" i="1" s="1"/>
  <c r="D930" i="1" a="1"/>
  <c r="D930" i="1" s="1"/>
  <c r="D931" i="1" a="1"/>
  <c r="D931" i="1" s="1"/>
  <c r="D932" i="1" a="1"/>
  <c r="D932" i="1" s="1"/>
  <c r="D933" i="1" a="1"/>
  <c r="D933" i="1" s="1"/>
  <c r="D934" i="1" a="1"/>
  <c r="D934" i="1" s="1"/>
  <c r="D935" i="1" a="1"/>
  <c r="D935" i="1"/>
  <c r="D936" i="1" a="1"/>
  <c r="D936" i="1" s="1"/>
  <c r="D937" i="1" a="1"/>
  <c r="D937" i="1" s="1"/>
  <c r="D938" i="1" a="1"/>
  <c r="D938" i="1" s="1"/>
  <c r="D939" i="1" a="1"/>
  <c r="D939" i="1"/>
  <c r="D940" i="1" a="1"/>
  <c r="D940" i="1" s="1"/>
  <c r="D941" i="1" a="1"/>
  <c r="D941" i="1" s="1"/>
  <c r="D942" i="1" a="1"/>
  <c r="D942" i="1" s="1"/>
  <c r="D943" i="1" a="1"/>
  <c r="D943" i="1" s="1"/>
  <c r="D944" i="1" a="1"/>
  <c r="D944" i="1" s="1"/>
  <c r="D945" i="1" a="1"/>
  <c r="D945" i="1" s="1"/>
  <c r="D946" i="1" a="1"/>
  <c r="D946" i="1" s="1"/>
  <c r="D947" i="1" a="1"/>
  <c r="D947" i="1" s="1"/>
  <c r="D948" i="1" a="1"/>
  <c r="D948" i="1" s="1"/>
  <c r="D949" i="1" a="1"/>
  <c r="D949" i="1" s="1"/>
  <c r="D950" i="1" a="1"/>
  <c r="D950" i="1" s="1"/>
  <c r="D951" i="1" a="1"/>
  <c r="D951" i="1" s="1"/>
  <c r="D952" i="1" a="1"/>
  <c r="D952" i="1"/>
  <c r="D953" i="1" a="1"/>
  <c r="D953" i="1" s="1"/>
  <c r="D954" i="1" a="1"/>
  <c r="D954" i="1" s="1"/>
  <c r="D955" i="1" a="1"/>
  <c r="D955" i="1" s="1"/>
  <c r="D956" i="1" a="1"/>
  <c r="D956" i="1" s="1"/>
  <c r="D957" i="1" a="1"/>
  <c r="D957" i="1" s="1"/>
  <c r="D958" i="1" a="1"/>
  <c r="D958" i="1" s="1"/>
  <c r="D959" i="1" a="1"/>
  <c r="D959" i="1" s="1"/>
  <c r="D960" i="1" a="1"/>
  <c r="D960" i="1" s="1"/>
  <c r="D961" i="1" a="1"/>
  <c r="D961" i="1" s="1"/>
  <c r="D962" i="1" a="1"/>
  <c r="D962" i="1" s="1"/>
  <c r="D963" i="1" a="1"/>
  <c r="D963" i="1" s="1"/>
  <c r="D964" i="1" a="1"/>
  <c r="D964" i="1" s="1"/>
  <c r="D965" i="1" a="1"/>
  <c r="D965" i="1" s="1"/>
  <c r="D966" i="1" a="1"/>
  <c r="D966" i="1" s="1"/>
  <c r="D967" i="1" a="1"/>
  <c r="D967" i="1" s="1"/>
  <c r="D968" i="1" a="1"/>
  <c r="D968" i="1" s="1"/>
  <c r="D969" i="1" a="1"/>
  <c r="D969" i="1" s="1"/>
  <c r="D970" i="1" a="1"/>
  <c r="D970" i="1" s="1"/>
  <c r="D971" i="1" a="1"/>
  <c r="D971" i="1" s="1"/>
  <c r="D972" i="1" a="1"/>
  <c r="D972" i="1" s="1"/>
  <c r="D973" i="1" a="1"/>
  <c r="D973" i="1" s="1"/>
  <c r="D974" i="1" a="1"/>
  <c r="D974" i="1" s="1"/>
  <c r="D975" i="1" a="1"/>
  <c r="D975" i="1" s="1"/>
  <c r="D976" i="1" a="1"/>
  <c r="D976" i="1" s="1"/>
  <c r="D977" i="1" a="1"/>
  <c r="D977" i="1" s="1"/>
  <c r="D978" i="1" a="1"/>
  <c r="D978" i="1" s="1"/>
  <c r="D979" i="1" a="1"/>
  <c r="D979" i="1" s="1"/>
  <c r="D980" i="1" a="1"/>
  <c r="D980" i="1" s="1"/>
  <c r="D981" i="1" a="1"/>
  <c r="D981" i="1" s="1"/>
  <c r="D982" i="1" a="1"/>
  <c r="D982" i="1" s="1"/>
  <c r="D983" i="1" a="1"/>
  <c r="D983" i="1" s="1"/>
  <c r="D984" i="1" a="1"/>
  <c r="D984" i="1" s="1"/>
  <c r="D985" i="1" a="1"/>
  <c r="D985" i="1" s="1"/>
  <c r="D986" i="1" a="1"/>
  <c r="D986" i="1" s="1"/>
  <c r="D987" i="1" a="1"/>
  <c r="D987" i="1" s="1"/>
  <c r="D988" i="1" a="1"/>
  <c r="D988" i="1" s="1"/>
  <c r="D989" i="1" a="1"/>
  <c r="D989" i="1" s="1"/>
  <c r="D990" i="1" a="1"/>
  <c r="D990" i="1" s="1"/>
  <c r="D991" i="1" a="1"/>
  <c r="D991" i="1" s="1"/>
  <c r="D992" i="1" a="1"/>
  <c r="D992" i="1" s="1"/>
  <c r="D993" i="1" a="1"/>
  <c r="D993" i="1" s="1"/>
  <c r="D994" i="1" a="1"/>
  <c r="D994" i="1" s="1"/>
  <c r="D995" i="1" a="1"/>
  <c r="D995" i="1" s="1"/>
  <c r="D996" i="1" a="1"/>
  <c r="D996" i="1" s="1"/>
  <c r="D997" i="1" a="1"/>
  <c r="D997" i="1" s="1"/>
  <c r="D998" i="1" a="1"/>
  <c r="D998" i="1" s="1"/>
  <c r="D999" i="1" a="1"/>
  <c r="D999" i="1" s="1"/>
  <c r="D1000" i="1" a="1"/>
  <c r="D1000" i="1" s="1"/>
  <c r="D1001" i="1" a="1"/>
  <c r="D1001" i="1" s="1"/>
  <c r="D1002" i="1" a="1"/>
  <c r="D1002" i="1" s="1"/>
  <c r="D1003" i="1" a="1"/>
  <c r="D1003" i="1" s="1"/>
  <c r="D1004" i="1" a="1"/>
  <c r="D1004" i="1" s="1"/>
  <c r="D1005" i="1" a="1"/>
  <c r="D1005" i="1" s="1"/>
  <c r="D1006" i="1" a="1"/>
  <c r="D1006" i="1" s="1"/>
  <c r="D1007" i="1" a="1"/>
  <c r="D1007" i="1"/>
  <c r="D1008" i="1" a="1"/>
  <c r="D1008" i="1" s="1"/>
  <c r="D1009" i="1" a="1"/>
  <c r="D1009" i="1" s="1"/>
  <c r="D1010" i="1" a="1"/>
  <c r="D1010" i="1" s="1"/>
  <c r="D1011" i="1" a="1"/>
  <c r="D1011" i="1" s="1"/>
  <c r="D1012" i="1" a="1"/>
  <c r="D1012" i="1" s="1"/>
  <c r="D1013" i="1" a="1"/>
  <c r="D1013" i="1" s="1"/>
  <c r="D1014" i="1" a="1"/>
  <c r="D1014" i="1" s="1"/>
  <c r="D1015" i="1" a="1"/>
  <c r="D1015" i="1" s="1"/>
  <c r="D1016" i="1" a="1"/>
  <c r="D1016" i="1" s="1"/>
  <c r="D1017" i="1" a="1"/>
  <c r="D1017" i="1" s="1"/>
  <c r="D1018" i="1" a="1"/>
  <c r="D1018" i="1" s="1"/>
  <c r="D1019" i="1" a="1"/>
  <c r="D1019" i="1" s="1"/>
  <c r="D1020" i="1" a="1"/>
  <c r="D1020" i="1" s="1"/>
  <c r="D1021" i="1" a="1"/>
  <c r="D1021" i="1" s="1"/>
  <c r="D1022" i="1" a="1"/>
  <c r="D1022" i="1" s="1"/>
  <c r="D1023" i="1" a="1"/>
  <c r="D1023" i="1" s="1"/>
  <c r="D1024" i="1" a="1"/>
  <c r="D1024" i="1" s="1"/>
  <c r="D1025" i="1" a="1"/>
  <c r="D1025" i="1" s="1"/>
  <c r="D1026" i="1" a="1"/>
  <c r="D1026" i="1" s="1"/>
  <c r="D1027" i="1" a="1"/>
  <c r="D1027" i="1" s="1"/>
  <c r="D1028" i="1" a="1"/>
  <c r="D1028" i="1" s="1"/>
  <c r="D1029" i="1" a="1"/>
  <c r="D1029" i="1" s="1"/>
  <c r="D1030" i="1" a="1"/>
  <c r="D1030" i="1" s="1"/>
  <c r="D1031" i="1" a="1"/>
  <c r="D1031" i="1" s="1"/>
  <c r="D1032" i="1" a="1"/>
  <c r="D1032" i="1" s="1"/>
  <c r="D1033" i="1" a="1"/>
  <c r="D1033" i="1" s="1"/>
  <c r="D1034" i="1" a="1"/>
  <c r="D1034" i="1" s="1"/>
  <c r="D1035" i="1" a="1"/>
  <c r="D1035" i="1" s="1"/>
  <c r="D1036" i="1" a="1"/>
  <c r="D1036" i="1" s="1"/>
  <c r="D1037" i="1" a="1"/>
  <c r="D1037" i="1" s="1"/>
  <c r="D1038" i="1" a="1"/>
  <c r="D1038" i="1" s="1"/>
  <c r="D1039" i="1" a="1"/>
  <c r="D1039" i="1" s="1"/>
  <c r="D1040" i="1" a="1"/>
  <c r="D1040" i="1" s="1"/>
  <c r="D1041" i="1" a="1"/>
  <c r="D1041" i="1" s="1"/>
  <c r="D1042" i="1" a="1"/>
  <c r="D1042" i="1" s="1"/>
  <c r="D1043" i="1" a="1"/>
  <c r="D1043" i="1" s="1"/>
  <c r="D1044" i="1" a="1"/>
  <c r="D1044" i="1" s="1"/>
  <c r="D1045" i="1" a="1"/>
  <c r="D1045" i="1" s="1"/>
  <c r="D1046" i="1" a="1"/>
  <c r="D1046" i="1" s="1"/>
  <c r="D1047" i="1" a="1"/>
  <c r="D1047" i="1" s="1"/>
  <c r="D1048" i="1" a="1"/>
  <c r="D1048" i="1" s="1"/>
  <c r="D1049" i="1" a="1"/>
  <c r="D1049" i="1" s="1"/>
  <c r="D1050" i="1" a="1"/>
  <c r="D1050" i="1" s="1"/>
  <c r="D1051" i="1" a="1"/>
  <c r="D1051" i="1" s="1"/>
  <c r="D1052" i="1" a="1"/>
  <c r="D1052" i="1" s="1"/>
  <c r="D1053" i="1" a="1"/>
  <c r="D1053" i="1" s="1"/>
  <c r="D1054" i="1" a="1"/>
  <c r="D1054" i="1" s="1"/>
  <c r="D1055" i="1" a="1"/>
  <c r="D1055" i="1" s="1"/>
  <c r="D1056" i="1" a="1"/>
  <c r="D1056" i="1" s="1"/>
  <c r="D1057" i="1" a="1"/>
  <c r="D1057" i="1" s="1"/>
  <c r="D1058" i="1" a="1"/>
  <c r="D1058" i="1" s="1"/>
  <c r="D1059" i="1" a="1"/>
  <c r="D1059" i="1" s="1"/>
  <c r="D1060" i="1" a="1"/>
  <c r="D1060" i="1" s="1"/>
  <c r="D1061" i="1" a="1"/>
  <c r="D1061" i="1" s="1"/>
  <c r="D1062" i="1" a="1"/>
  <c r="D1062" i="1" s="1"/>
  <c r="D1063" i="1" a="1"/>
  <c r="D1063" i="1" s="1"/>
  <c r="D1064" i="1" a="1"/>
  <c r="D1064" i="1" s="1"/>
  <c r="D1065" i="1" a="1"/>
  <c r="D1065" i="1" s="1"/>
  <c r="D1066" i="1" a="1"/>
  <c r="D1066" i="1" s="1"/>
  <c r="D1067" i="1" a="1"/>
  <c r="D1067" i="1" s="1"/>
  <c r="D1068" i="1" a="1"/>
  <c r="D1068" i="1" s="1"/>
  <c r="D1069" i="1" a="1"/>
  <c r="D1069" i="1" s="1"/>
  <c r="D1070" i="1" a="1"/>
  <c r="D1070" i="1" s="1"/>
  <c r="D1071" i="1" a="1"/>
  <c r="D1071" i="1" s="1"/>
  <c r="D1072" i="1" a="1"/>
  <c r="D1072" i="1" s="1"/>
  <c r="D1073" i="1" a="1"/>
  <c r="D1073" i="1" s="1"/>
  <c r="D1074" i="1" a="1"/>
  <c r="D1074" i="1" s="1"/>
  <c r="D1075" i="1" a="1"/>
  <c r="D1075" i="1" s="1"/>
  <c r="D1076" i="1" a="1"/>
  <c r="D1076" i="1" s="1"/>
  <c r="D1077" i="1" a="1"/>
  <c r="D1077" i="1" s="1"/>
  <c r="D1078" i="1" a="1"/>
  <c r="D1078" i="1" s="1"/>
  <c r="D1079" i="1" a="1"/>
  <c r="D1079" i="1" s="1"/>
  <c r="D1080" i="1" a="1"/>
  <c r="D1080" i="1" s="1"/>
  <c r="D1081" i="1" a="1"/>
  <c r="D1081" i="1" s="1"/>
  <c r="D1082" i="1" a="1"/>
  <c r="D1082" i="1" s="1"/>
  <c r="D1083" i="1" a="1"/>
  <c r="D1083" i="1" s="1"/>
  <c r="D1084" i="1" a="1"/>
  <c r="D1084" i="1" s="1"/>
  <c r="D1085" i="1" a="1"/>
  <c r="D1085" i="1" s="1"/>
  <c r="D1086" i="1" a="1"/>
  <c r="D1086" i="1" s="1"/>
  <c r="D1087" i="1" a="1"/>
  <c r="D1087" i="1" s="1"/>
  <c r="D1088" i="1" a="1"/>
  <c r="D1088" i="1" s="1"/>
  <c r="D1089" i="1" a="1"/>
  <c r="D1089" i="1" s="1"/>
  <c r="D1090" i="1" a="1"/>
  <c r="D1090" i="1" s="1"/>
  <c r="D1091" i="1" a="1"/>
  <c r="D1091" i="1" s="1"/>
  <c r="D1092" i="1" a="1"/>
  <c r="D1092" i="1" s="1"/>
  <c r="D1093" i="1" a="1"/>
  <c r="D1093" i="1" s="1"/>
  <c r="D1094" i="1" a="1"/>
  <c r="D1094" i="1" s="1"/>
  <c r="D1095" i="1" a="1"/>
  <c r="D1095" i="1" s="1"/>
  <c r="D1096" i="1" a="1"/>
  <c r="D1096" i="1" s="1"/>
  <c r="D1097" i="1" a="1"/>
  <c r="D1097" i="1" s="1"/>
  <c r="D1098" i="1" a="1"/>
  <c r="D1098" i="1" s="1"/>
  <c r="D1099" i="1" a="1"/>
  <c r="D1099" i="1" s="1"/>
  <c r="D1100" i="1" a="1"/>
  <c r="D1100" i="1" s="1"/>
  <c r="D1101" i="1" a="1"/>
  <c r="D1101" i="1" s="1"/>
  <c r="D1102" i="1" a="1"/>
  <c r="D1102" i="1"/>
  <c r="D1103" i="1" a="1"/>
  <c r="D1103" i="1" s="1"/>
  <c r="D1104" i="1" a="1"/>
  <c r="D1104" i="1" s="1"/>
  <c r="D1105" i="1" a="1"/>
  <c r="D1105" i="1" s="1"/>
  <c r="D1106" i="1" a="1"/>
  <c r="D1106" i="1" s="1"/>
  <c r="D1107" i="1" a="1"/>
  <c r="D1107" i="1"/>
  <c r="D1108" i="1" a="1"/>
  <c r="D1108" i="1" s="1"/>
  <c r="D1109" i="1" a="1"/>
  <c r="D1109" i="1" s="1"/>
  <c r="D1110" i="1" a="1"/>
  <c r="D1110" i="1" s="1"/>
  <c r="D1111" i="1" a="1"/>
  <c r="D1111" i="1" s="1"/>
  <c r="D1112" i="1" a="1"/>
  <c r="D1112" i="1" s="1"/>
  <c r="D1113" i="1" a="1"/>
  <c r="D1113" i="1" s="1"/>
  <c r="D1114" i="1" a="1"/>
  <c r="D1114" i="1" s="1"/>
  <c r="D1115" i="1" a="1"/>
  <c r="D1115" i="1" s="1"/>
  <c r="D1116" i="1" a="1"/>
  <c r="D1116" i="1" s="1"/>
  <c r="D1117" i="1" a="1"/>
  <c r="D1117" i="1" s="1"/>
  <c r="D1118" i="1" a="1"/>
  <c r="D1118" i="1" s="1"/>
  <c r="D1119" i="1" a="1"/>
  <c r="D1119" i="1" s="1"/>
  <c r="D1120" i="1" a="1"/>
  <c r="D1120" i="1" s="1"/>
  <c r="D1121" i="1" a="1"/>
  <c r="D1121" i="1" s="1"/>
  <c r="D1122" i="1" a="1"/>
  <c r="D1122" i="1" s="1"/>
  <c r="D1123" i="1" a="1"/>
  <c r="D1123" i="1" s="1"/>
  <c r="D1124" i="1" a="1"/>
  <c r="D1124" i="1" s="1"/>
  <c r="D1125" i="1" a="1"/>
  <c r="D1125" i="1" s="1"/>
  <c r="D1126" i="1" a="1"/>
  <c r="D1126" i="1" s="1"/>
  <c r="D1127" i="1" a="1"/>
  <c r="D1127" i="1" s="1"/>
  <c r="D1128" i="1" a="1"/>
  <c r="D1128" i="1" s="1"/>
  <c r="D1129" i="1" a="1"/>
  <c r="D1129" i="1" s="1"/>
  <c r="D1130" i="1" a="1"/>
  <c r="D1130" i="1" s="1"/>
  <c r="D1131" i="1" a="1"/>
  <c r="D1131" i="1" s="1"/>
  <c r="D1132" i="1" a="1"/>
  <c r="D1132" i="1" s="1"/>
  <c r="D1133" i="1" a="1"/>
  <c r="D1133" i="1" s="1"/>
  <c r="D1134" i="1" a="1"/>
  <c r="D1134" i="1" s="1"/>
  <c r="D1135" i="1" a="1"/>
  <c r="D1135" i="1" s="1"/>
  <c r="D1136" i="1" a="1"/>
  <c r="D1136" i="1" s="1"/>
  <c r="D1137" i="1" a="1"/>
  <c r="D1137" i="1" s="1"/>
  <c r="D1138" i="1" a="1"/>
  <c r="D1138" i="1" s="1"/>
  <c r="D1139" i="1" a="1"/>
  <c r="D1139" i="1" s="1"/>
  <c r="D1140" i="1" a="1"/>
  <c r="D1140" i="1" s="1"/>
  <c r="D1141" i="1" a="1"/>
  <c r="D1141" i="1" s="1"/>
  <c r="D1142" i="1" a="1"/>
  <c r="D1142" i="1" s="1"/>
  <c r="D1143" i="1" a="1"/>
  <c r="D1143" i="1" s="1"/>
  <c r="D1144" i="1" a="1"/>
  <c r="D1144" i="1"/>
  <c r="D1145" i="1" a="1"/>
  <c r="D1145" i="1" s="1"/>
  <c r="D1146" i="1" a="1"/>
  <c r="D1146" i="1" s="1"/>
  <c r="D1147" i="1" a="1"/>
  <c r="D1147" i="1" s="1"/>
  <c r="D1148" i="1" a="1"/>
  <c r="D1148" i="1"/>
  <c r="D1149" i="1" a="1"/>
  <c r="D1149" i="1" s="1"/>
  <c r="D1150" i="1" a="1"/>
  <c r="D1150" i="1" s="1"/>
  <c r="D1151" i="1" a="1"/>
  <c r="D1151" i="1" s="1"/>
  <c r="D1152" i="1" a="1"/>
  <c r="D1152" i="1" s="1"/>
  <c r="D1153" i="1" a="1"/>
  <c r="D1153" i="1" s="1"/>
  <c r="D1154" i="1" a="1"/>
  <c r="D1154" i="1" s="1"/>
  <c r="D1155" i="1" a="1"/>
  <c r="D1155" i="1" s="1"/>
  <c r="D1156" i="1" a="1"/>
  <c r="D1156" i="1" s="1"/>
  <c r="D1157" i="1" a="1"/>
  <c r="D1157" i="1" s="1"/>
  <c r="D1158" i="1" a="1"/>
  <c r="D1158" i="1" s="1"/>
  <c r="D1159" i="1" a="1"/>
  <c r="D1159" i="1" s="1"/>
  <c r="D1160" i="1" a="1"/>
  <c r="D1160" i="1" s="1"/>
  <c r="D1161" i="1" a="1"/>
  <c r="D1161" i="1" s="1"/>
  <c r="D1162" i="1" a="1"/>
  <c r="D1162" i="1" s="1"/>
  <c r="D1163" i="1" a="1"/>
  <c r="D1163" i="1" s="1"/>
  <c r="D1164" i="1" a="1"/>
  <c r="D1164" i="1" s="1"/>
  <c r="D1165" i="1" a="1"/>
  <c r="D1165" i="1" s="1"/>
  <c r="D1166" i="1" a="1"/>
  <c r="D1166" i="1" s="1"/>
  <c r="D1167" i="1" a="1"/>
  <c r="D1167" i="1"/>
  <c r="D1168" i="1" a="1"/>
  <c r="D1168" i="1" s="1"/>
  <c r="D1169" i="1" a="1"/>
  <c r="D1169" i="1" s="1"/>
  <c r="D1170" i="1" a="1"/>
  <c r="D1170" i="1" s="1"/>
  <c r="D1171" i="1" a="1"/>
  <c r="D1171" i="1" s="1"/>
  <c r="D1172" i="1" a="1"/>
  <c r="D1172" i="1" s="1"/>
  <c r="D1173" i="1" a="1"/>
  <c r="D1173" i="1" s="1"/>
  <c r="D1174" i="1" a="1"/>
  <c r="D1174" i="1" s="1"/>
  <c r="D1175" i="1" a="1"/>
  <c r="D1175" i="1" s="1"/>
  <c r="D1176" i="1" a="1"/>
  <c r="D1176" i="1" s="1"/>
  <c r="D1177" i="1" a="1"/>
  <c r="D1177" i="1" s="1"/>
  <c r="D1178" i="1" a="1"/>
  <c r="D1178" i="1" s="1"/>
  <c r="D1179" i="1" a="1"/>
  <c r="D1179" i="1" s="1"/>
  <c r="D1180" i="1" a="1"/>
  <c r="D1180" i="1" s="1"/>
  <c r="D1181" i="1" a="1"/>
  <c r="D1181" i="1" s="1"/>
  <c r="D1182" i="1" a="1"/>
  <c r="D1182" i="1" s="1"/>
  <c r="D1183" i="1" a="1"/>
  <c r="D1183" i="1" s="1"/>
  <c r="D1184" i="1" a="1"/>
  <c r="D1184" i="1" s="1"/>
  <c r="D1185" i="1" a="1"/>
  <c r="D1185" i="1" s="1"/>
  <c r="D1186" i="1" a="1"/>
  <c r="D1186" i="1" s="1"/>
  <c r="D1187" i="1" a="1"/>
  <c r="D1187" i="1" s="1"/>
  <c r="D1188" i="1" a="1"/>
  <c r="D1188" i="1" s="1"/>
  <c r="D1189" i="1" a="1"/>
  <c r="D1189" i="1" s="1"/>
  <c r="D1190" i="1" a="1"/>
  <c r="D1190" i="1" s="1"/>
  <c r="D1191" i="1" a="1"/>
  <c r="D1191" i="1" s="1"/>
  <c r="D1192" i="1" a="1"/>
  <c r="D1192" i="1" s="1"/>
  <c r="D1193" i="1" a="1"/>
  <c r="D1193" i="1" s="1"/>
  <c r="D1194" i="1" a="1"/>
  <c r="D1194" i="1" s="1"/>
  <c r="D1195" i="1" a="1"/>
  <c r="D1195" i="1" s="1"/>
  <c r="D1196" i="1" a="1"/>
  <c r="D1196" i="1" s="1"/>
  <c r="D1197" i="1" a="1"/>
  <c r="D1197" i="1" s="1"/>
  <c r="D1198" i="1" a="1"/>
  <c r="D1198" i="1" s="1"/>
  <c r="D1199" i="1" a="1"/>
  <c r="D1199" i="1" s="1"/>
  <c r="D1200" i="1" a="1"/>
  <c r="D1200" i="1" s="1"/>
  <c r="D1201" i="1" a="1"/>
  <c r="D1201" i="1" s="1"/>
  <c r="D1202" i="1" a="1"/>
  <c r="D1202" i="1" s="1"/>
  <c r="D1203" i="1" a="1"/>
  <c r="D1203" i="1" s="1"/>
  <c r="D1204" i="1" a="1"/>
  <c r="D1204" i="1" s="1"/>
  <c r="D1205" i="1" a="1"/>
  <c r="D1205" i="1" s="1"/>
  <c r="D1206" i="1" a="1"/>
  <c r="D1206" i="1" s="1"/>
  <c r="D1207" i="1" a="1"/>
  <c r="D1207" i="1" s="1"/>
  <c r="D1208" i="1" a="1"/>
  <c r="D1208" i="1" s="1"/>
  <c r="D1209" i="1" a="1"/>
  <c r="D1209" i="1" s="1"/>
  <c r="D1210" i="1" a="1"/>
  <c r="D1210" i="1" s="1"/>
  <c r="D1211" i="1" a="1"/>
  <c r="D1211" i="1" s="1"/>
  <c r="D1212" i="1" a="1"/>
  <c r="D1212" i="1" s="1"/>
  <c r="D1213" i="1" a="1"/>
  <c r="D1213" i="1" s="1"/>
  <c r="D1214" i="1" a="1"/>
  <c r="D1214" i="1" s="1"/>
  <c r="D1215" i="1" a="1"/>
  <c r="D1215" i="1" s="1"/>
  <c r="D1216" i="1" a="1"/>
  <c r="D1216" i="1" s="1"/>
  <c r="D1217" i="1" a="1"/>
  <c r="D1217" i="1" s="1"/>
  <c r="D1218" i="1" a="1"/>
  <c r="D1218" i="1" s="1"/>
  <c r="D1219" i="1" a="1"/>
  <c r="D1219" i="1" s="1"/>
  <c r="D1220" i="1" a="1"/>
  <c r="D1220" i="1" s="1"/>
  <c r="D1221" i="1" a="1"/>
  <c r="D1221" i="1" s="1"/>
  <c r="D1222" i="1" a="1"/>
  <c r="D1222" i="1" s="1"/>
  <c r="D1223" i="1" a="1"/>
  <c r="D1223" i="1" s="1"/>
  <c r="D1224" i="1" a="1"/>
  <c r="D1224" i="1" s="1"/>
  <c r="D1225" i="1" a="1"/>
  <c r="D1225" i="1" s="1"/>
  <c r="D1226" i="1" a="1"/>
  <c r="D1226" i="1" s="1"/>
  <c r="D1227" i="1" a="1"/>
  <c r="D1227" i="1" s="1"/>
  <c r="D1228" i="1" a="1"/>
  <c r="D1228" i="1" s="1"/>
  <c r="D1229" i="1" a="1"/>
  <c r="D1229" i="1" s="1"/>
  <c r="D1230" i="1" a="1"/>
  <c r="D1230" i="1" s="1"/>
  <c r="D1231" i="1" a="1"/>
  <c r="D1231" i="1" s="1"/>
  <c r="D1232" i="1" a="1"/>
  <c r="D1232" i="1" s="1"/>
  <c r="D1233" i="1" a="1"/>
  <c r="D1233" i="1" s="1"/>
  <c r="D1234" i="1" a="1"/>
  <c r="D1234" i="1" s="1"/>
  <c r="D1235" i="1" a="1"/>
  <c r="D1235" i="1" s="1"/>
  <c r="D1236" i="1" a="1"/>
  <c r="D1236" i="1" s="1"/>
  <c r="D1237" i="1" a="1"/>
  <c r="D1237" i="1" s="1"/>
  <c r="D1238" i="1" a="1"/>
  <c r="D1238" i="1" s="1"/>
  <c r="D1239" i="1" a="1"/>
  <c r="D1239" i="1" s="1"/>
  <c r="D1240" i="1" a="1"/>
  <c r="D1240" i="1" s="1"/>
  <c r="D1241" i="1" a="1"/>
  <c r="D1241" i="1" s="1"/>
  <c r="D1242" i="1" a="1"/>
  <c r="D1242" i="1" s="1"/>
  <c r="D1243" i="1" a="1"/>
  <c r="D1243" i="1" s="1"/>
  <c r="D1244" i="1" a="1"/>
  <c r="D1244" i="1" s="1"/>
  <c r="D1245" i="1" a="1"/>
  <c r="D1245" i="1" s="1"/>
  <c r="D1246" i="1" a="1"/>
  <c r="D1246" i="1" s="1"/>
  <c r="D1247" i="1" a="1"/>
  <c r="D1247" i="1" s="1"/>
  <c r="D1248" i="1" a="1"/>
  <c r="D1248" i="1" s="1"/>
  <c r="D1249" i="1" a="1"/>
  <c r="D1249" i="1" s="1"/>
  <c r="D1250" i="1" a="1"/>
  <c r="D1250" i="1" s="1"/>
  <c r="D1251" i="1" a="1"/>
  <c r="D1251" i="1"/>
  <c r="D1252" i="1" a="1"/>
  <c r="D1252" i="1" s="1"/>
  <c r="D1253" i="1" a="1"/>
  <c r="D1253" i="1" s="1"/>
  <c r="D1254" i="1" a="1"/>
  <c r="D1254" i="1" s="1"/>
  <c r="D1255" i="1" a="1"/>
  <c r="D1255" i="1" s="1"/>
  <c r="D1256" i="1" a="1"/>
  <c r="D1256" i="1" s="1"/>
  <c r="D1257" i="1" a="1"/>
  <c r="D1257" i="1" s="1"/>
  <c r="D1258" i="1" a="1"/>
  <c r="D1258" i="1" s="1"/>
  <c r="D1259" i="1" a="1"/>
  <c r="D1259" i="1" s="1"/>
  <c r="D1260" i="1" a="1"/>
  <c r="D1260" i="1" s="1"/>
  <c r="D1261" i="1" a="1"/>
  <c r="D1261" i="1" s="1"/>
  <c r="D1262" i="1" a="1"/>
  <c r="D1262" i="1" s="1"/>
  <c r="D1263" i="1" a="1"/>
  <c r="D1263" i="1" s="1"/>
  <c r="D1264" i="1" a="1"/>
  <c r="D1264" i="1" s="1"/>
  <c r="D1265" i="1" a="1"/>
  <c r="D1265" i="1" s="1"/>
  <c r="D1266" i="1" a="1"/>
  <c r="D1266" i="1" s="1"/>
  <c r="D1267" i="1" a="1"/>
  <c r="D1267" i="1" s="1"/>
  <c r="D1268" i="1" a="1"/>
  <c r="D1268" i="1" s="1"/>
  <c r="D1269" i="1" a="1"/>
  <c r="D1269" i="1" s="1"/>
  <c r="D1270" i="1" a="1"/>
  <c r="D1270" i="1" s="1"/>
  <c r="D1271" i="1" a="1"/>
  <c r="D1271" i="1" s="1"/>
  <c r="D1272" i="1" a="1"/>
  <c r="D1272" i="1" s="1"/>
  <c r="D1273" i="1" a="1"/>
  <c r="D1273" i="1" s="1"/>
  <c r="D1274" i="1" a="1"/>
  <c r="D1274" i="1" s="1"/>
  <c r="D1275" i="1" a="1"/>
  <c r="D1275" i="1" s="1"/>
  <c r="D1276" i="1" a="1"/>
  <c r="D1276" i="1" s="1"/>
  <c r="D1277" i="1" a="1"/>
  <c r="D1277" i="1" s="1"/>
  <c r="D1278" i="1" a="1"/>
  <c r="D1278" i="1" s="1"/>
  <c r="D1279" i="1" a="1"/>
  <c r="D1279" i="1" s="1"/>
  <c r="D1280" i="1" a="1"/>
  <c r="D1280" i="1" s="1"/>
  <c r="D1281" i="1" a="1"/>
  <c r="D1281" i="1" s="1"/>
  <c r="D1282" i="1" a="1"/>
  <c r="D1282" i="1" s="1"/>
  <c r="D1283" i="1" a="1"/>
  <c r="D1283" i="1" s="1"/>
  <c r="D1284" i="1" a="1"/>
  <c r="D1284" i="1" s="1"/>
  <c r="D1285" i="1" a="1"/>
  <c r="D1285" i="1" s="1"/>
  <c r="D1286" i="1" a="1"/>
  <c r="D1286" i="1" s="1"/>
  <c r="D1287" i="1" a="1"/>
  <c r="D1287" i="1" s="1"/>
  <c r="D1288" i="1" a="1"/>
  <c r="D1288" i="1" s="1"/>
  <c r="D1289" i="1" a="1"/>
  <c r="D1289" i="1" s="1"/>
  <c r="D1290" i="1" a="1"/>
  <c r="D1290" i="1" s="1"/>
  <c r="D1291" i="1" a="1"/>
  <c r="D1291" i="1" s="1"/>
  <c r="D1292" i="1" a="1"/>
  <c r="D1292" i="1" s="1"/>
  <c r="D1293" i="1" a="1"/>
  <c r="D1293" i="1" s="1"/>
  <c r="D1294" i="1" a="1"/>
  <c r="D1294" i="1" s="1"/>
  <c r="D1295" i="1" a="1"/>
  <c r="D1295" i="1" s="1"/>
  <c r="D1296" i="1" a="1"/>
  <c r="D1296" i="1" s="1"/>
  <c r="D1297" i="1" a="1"/>
  <c r="D1297" i="1" s="1"/>
  <c r="D1298" i="1" a="1"/>
  <c r="D1298" i="1" s="1"/>
  <c r="D1299" i="1" a="1"/>
  <c r="D1299" i="1" s="1"/>
  <c r="D1300" i="1" a="1"/>
  <c r="D1300" i="1" s="1"/>
  <c r="D1301" i="1" a="1"/>
  <c r="D1301" i="1" s="1"/>
  <c r="D1302" i="1" a="1"/>
  <c r="D1302" i="1" s="1"/>
  <c r="D1303" i="1" a="1"/>
  <c r="D1303" i="1" s="1"/>
  <c r="D1304" i="1" a="1"/>
  <c r="D1304" i="1" s="1"/>
  <c r="D1305" i="1" a="1"/>
  <c r="D1305" i="1" s="1"/>
  <c r="D1306" i="1" a="1"/>
  <c r="D1306" i="1" s="1"/>
  <c r="D1307" i="1" a="1"/>
  <c r="D1307" i="1" s="1"/>
  <c r="D1308" i="1" a="1"/>
  <c r="D1308" i="1" s="1"/>
  <c r="D1309" i="1" a="1"/>
  <c r="D1309" i="1" s="1"/>
  <c r="D1310" i="1" a="1"/>
  <c r="D1310" i="1" s="1"/>
  <c r="D1311" i="1" a="1"/>
  <c r="D1311" i="1" s="1"/>
  <c r="D1312" i="1" a="1"/>
  <c r="D1312" i="1" s="1"/>
  <c r="D1313" i="1" a="1"/>
  <c r="D1313" i="1" s="1"/>
  <c r="D1314" i="1" a="1"/>
  <c r="D1314" i="1" s="1"/>
  <c r="D1315" i="1" a="1"/>
  <c r="D1315" i="1" s="1"/>
  <c r="D1316" i="1" a="1"/>
  <c r="D1316" i="1" s="1"/>
  <c r="D1317" i="1" a="1"/>
  <c r="D1317" i="1" s="1"/>
  <c r="D1318" i="1" a="1"/>
  <c r="D1318" i="1" s="1"/>
  <c r="D1319" i="1" a="1"/>
  <c r="D1319" i="1" s="1"/>
  <c r="D1320" i="1" a="1"/>
  <c r="D1320" i="1" s="1"/>
  <c r="D1321" i="1" a="1"/>
  <c r="D1321" i="1" s="1"/>
  <c r="D1322" i="1" a="1"/>
  <c r="D1322" i="1" s="1"/>
  <c r="D1323" i="1" a="1"/>
  <c r="D1323" i="1"/>
  <c r="D1324" i="1" a="1"/>
  <c r="D1324" i="1" s="1"/>
  <c r="D1325" i="1" a="1"/>
  <c r="D1325" i="1" s="1"/>
  <c r="D1326" i="1" a="1"/>
  <c r="D1326" i="1" s="1"/>
  <c r="D1327" i="1" a="1"/>
  <c r="D1327" i="1" s="1"/>
  <c r="D1328" i="1" a="1"/>
  <c r="D1328" i="1" s="1"/>
  <c r="D1329" i="1" a="1"/>
  <c r="D1329" i="1" s="1"/>
  <c r="D1330" i="1" a="1"/>
  <c r="D1330" i="1" s="1"/>
  <c r="D1331" i="1" a="1"/>
  <c r="D1331" i="1" s="1"/>
  <c r="D1332" i="1" a="1"/>
  <c r="D1332" i="1" s="1"/>
  <c r="D1333" i="1" a="1"/>
  <c r="D1333" i="1" s="1"/>
  <c r="D1334" i="1" a="1"/>
  <c r="D1334" i="1" s="1"/>
  <c r="D1335" i="1" a="1"/>
  <c r="D1335" i="1" s="1"/>
  <c r="D1336" i="1" a="1"/>
  <c r="D1336" i="1" s="1"/>
  <c r="D1337" i="1" a="1"/>
  <c r="D1337" i="1" s="1"/>
  <c r="D1338" i="1" a="1"/>
  <c r="D1338" i="1" s="1"/>
  <c r="D1339" i="1" a="1"/>
  <c r="D1339" i="1" s="1"/>
  <c r="D1340" i="1" a="1"/>
  <c r="D1340" i="1" s="1"/>
  <c r="D1341" i="1" a="1"/>
  <c r="D1341" i="1" s="1"/>
  <c r="D1342" i="1" a="1"/>
  <c r="D1342" i="1" s="1"/>
  <c r="D1343" i="1" a="1"/>
  <c r="D1343" i="1" s="1"/>
  <c r="D1344" i="1" a="1"/>
  <c r="D1344" i="1" s="1"/>
  <c r="D1345" i="1" a="1"/>
  <c r="D1345" i="1" s="1"/>
  <c r="D1346" i="1" a="1"/>
  <c r="D1346" i="1" s="1"/>
  <c r="D1347" i="1" a="1"/>
  <c r="D1347" i="1" s="1"/>
  <c r="D1348" i="1" a="1"/>
  <c r="D1348" i="1" s="1"/>
  <c r="D1349" i="1" a="1"/>
  <c r="D1349" i="1" s="1"/>
  <c r="D1350" i="1" a="1"/>
  <c r="D1350" i="1" s="1"/>
  <c r="D1351" i="1" a="1"/>
  <c r="D1351" i="1" s="1"/>
  <c r="D1352" i="1" a="1"/>
  <c r="D1352" i="1" s="1"/>
  <c r="D1353" i="1" a="1"/>
  <c r="D1353" i="1" s="1"/>
  <c r="D1354" i="1" a="1"/>
  <c r="D1354" i="1" s="1"/>
  <c r="D1355" i="1" a="1"/>
  <c r="D1355" i="1" s="1"/>
  <c r="D1356" i="1" a="1"/>
  <c r="D1356" i="1" s="1"/>
  <c r="D1357" i="1" a="1"/>
  <c r="D1357" i="1" s="1"/>
  <c r="D1358" i="1" a="1"/>
  <c r="D1358" i="1" s="1"/>
  <c r="D1359" i="1" a="1"/>
  <c r="D1359" i="1" s="1"/>
  <c r="D1360" i="1" a="1"/>
  <c r="D1360" i="1" s="1"/>
  <c r="D1361" i="1" a="1"/>
  <c r="D1361" i="1" s="1"/>
  <c r="D1362" i="1" a="1"/>
  <c r="D1362" i="1" s="1"/>
  <c r="D1363" i="1" a="1"/>
  <c r="D1363" i="1" s="1"/>
  <c r="D1364" i="1" a="1"/>
  <c r="D1364" i="1" s="1"/>
  <c r="D1365" i="1" a="1"/>
  <c r="D1365" i="1" s="1"/>
  <c r="D1366" i="1" a="1"/>
  <c r="D1366" i="1" s="1"/>
  <c r="D1367" i="1" a="1"/>
  <c r="D1367" i="1" s="1"/>
  <c r="D1368" i="1" a="1"/>
  <c r="D1368" i="1" s="1"/>
  <c r="D1369" i="1" a="1"/>
  <c r="D1369" i="1" s="1"/>
  <c r="D1370" i="1" a="1"/>
  <c r="D1370" i="1" s="1"/>
  <c r="D1371" i="1" a="1"/>
  <c r="D1371" i="1" s="1"/>
  <c r="D1372" i="1" a="1"/>
  <c r="D1372" i="1" s="1"/>
  <c r="D1373" i="1" a="1"/>
  <c r="D1373" i="1" s="1"/>
  <c r="D1374" i="1" a="1"/>
  <c r="D1374" i="1" s="1"/>
  <c r="D1375" i="1" a="1"/>
  <c r="D1375" i="1" s="1"/>
  <c r="D1376" i="1" a="1"/>
  <c r="D1376" i="1" s="1"/>
  <c r="D1377" i="1" a="1"/>
  <c r="D1377" i="1" s="1"/>
  <c r="D1378" i="1" a="1"/>
  <c r="D1378" i="1" s="1"/>
  <c r="D1379" i="1" a="1"/>
  <c r="D1379" i="1" s="1"/>
  <c r="D1380" i="1" a="1"/>
  <c r="D1380" i="1" s="1"/>
  <c r="D1381" i="1" a="1"/>
  <c r="D1381" i="1" s="1"/>
  <c r="D1382" i="1" a="1"/>
  <c r="D1382" i="1" s="1"/>
  <c r="D1383" i="1" a="1"/>
  <c r="D1383" i="1" s="1"/>
  <c r="D1384" i="1" a="1"/>
  <c r="D1384" i="1" s="1"/>
  <c r="D1385" i="1" a="1"/>
  <c r="D1385" i="1" s="1"/>
  <c r="D1386" i="1" a="1"/>
  <c r="D1386" i="1" s="1"/>
  <c r="D1387" i="1" a="1"/>
  <c r="D1387" i="1" s="1"/>
  <c r="D1388" i="1" a="1"/>
  <c r="D1388" i="1" s="1"/>
  <c r="D1389" i="1" a="1"/>
  <c r="D1389" i="1" s="1"/>
  <c r="D1390" i="1" a="1"/>
  <c r="D1390" i="1" s="1"/>
  <c r="D1391" i="1" a="1"/>
  <c r="D1391" i="1" s="1"/>
  <c r="D1392" i="1" a="1"/>
  <c r="D1392" i="1" s="1"/>
  <c r="D1393" i="1" a="1"/>
  <c r="D1393" i="1" s="1"/>
  <c r="D1394" i="1" a="1"/>
  <c r="D1394" i="1" s="1"/>
  <c r="D1395" i="1" a="1"/>
  <c r="D1395" i="1" s="1"/>
  <c r="D1396" i="1" a="1"/>
  <c r="D1396" i="1" s="1"/>
  <c r="D1397" i="1" a="1"/>
  <c r="D1397" i="1" s="1"/>
  <c r="D1398" i="1" a="1"/>
  <c r="D1398" i="1" s="1"/>
  <c r="D1399" i="1" a="1"/>
  <c r="D1399" i="1" s="1"/>
  <c r="D1400" i="1" a="1"/>
  <c r="D1400" i="1" s="1"/>
  <c r="D1401" i="1" a="1"/>
  <c r="D1401" i="1" s="1"/>
  <c r="D1402" i="1" a="1"/>
  <c r="D1402" i="1" s="1"/>
  <c r="D1403" i="1" a="1"/>
  <c r="D1403" i="1" s="1"/>
  <c r="D1404" i="1" a="1"/>
  <c r="D1404" i="1" s="1"/>
  <c r="D1405" i="1" a="1"/>
  <c r="D1405" i="1" s="1"/>
  <c r="D1406" i="1" a="1"/>
  <c r="D1406" i="1" s="1"/>
  <c r="D1407" i="1" a="1"/>
  <c r="D1407" i="1" s="1"/>
  <c r="D1408" i="1" a="1"/>
  <c r="D1408" i="1" s="1"/>
  <c r="D1409" i="1" a="1"/>
  <c r="D1409" i="1" s="1"/>
  <c r="D1410" i="1" a="1"/>
  <c r="D1410" i="1" s="1"/>
  <c r="D1411" i="1" a="1"/>
  <c r="D1411" i="1" s="1"/>
  <c r="D1412" i="1" a="1"/>
  <c r="D1412" i="1" s="1"/>
  <c r="D1413" i="1" a="1"/>
  <c r="D1413" i="1" s="1"/>
  <c r="D1414" i="1" a="1"/>
  <c r="D1414" i="1" s="1"/>
  <c r="D1415" i="1" a="1"/>
  <c r="D1415" i="1" s="1"/>
  <c r="D1416" i="1" a="1"/>
  <c r="D1416" i="1" s="1"/>
  <c r="D1417" i="1" a="1"/>
  <c r="D1417" i="1" s="1"/>
  <c r="D1418" i="1" a="1"/>
  <c r="D1418" i="1" s="1"/>
  <c r="D1419" i="1" a="1"/>
  <c r="D1419" i="1" s="1"/>
  <c r="D1420" i="1" a="1"/>
  <c r="D1420" i="1" s="1"/>
  <c r="D1421" i="1" a="1"/>
  <c r="D1421" i="1" s="1"/>
  <c r="D1422" i="1" a="1"/>
  <c r="D1422" i="1" s="1"/>
  <c r="D1423" i="1" a="1"/>
  <c r="D1423" i="1" s="1"/>
  <c r="D1424" i="1" a="1"/>
  <c r="D1424" i="1" s="1"/>
  <c r="D1425" i="1" a="1"/>
  <c r="D1425" i="1" s="1"/>
  <c r="D1426" i="1" a="1"/>
  <c r="D1426" i="1" s="1"/>
  <c r="D1427" i="1" a="1"/>
  <c r="D1427" i="1" s="1"/>
  <c r="D1428" i="1" a="1"/>
  <c r="D1428" i="1" s="1"/>
  <c r="D1429" i="1" a="1"/>
  <c r="D1429" i="1" s="1"/>
  <c r="D1430" i="1" a="1"/>
  <c r="D1430" i="1" s="1"/>
  <c r="D1431" i="1" a="1"/>
  <c r="D1431" i="1" s="1"/>
  <c r="D1432" i="1" a="1"/>
  <c r="D1432" i="1" s="1"/>
  <c r="D1433" i="1" a="1"/>
  <c r="D1433" i="1" s="1"/>
  <c r="D1434" i="1" a="1"/>
  <c r="D1434" i="1" s="1"/>
  <c r="D1435" i="1" a="1"/>
  <c r="D1435" i="1" s="1"/>
  <c r="D1436" i="1" a="1"/>
  <c r="D1436" i="1"/>
  <c r="D1437" i="1" a="1"/>
  <c r="D1437" i="1" s="1"/>
  <c r="D1438" i="1" a="1"/>
  <c r="D1438" i="1" s="1"/>
  <c r="D1439" i="1" a="1"/>
  <c r="D1439" i="1" s="1"/>
  <c r="D1440" i="1" a="1"/>
  <c r="D1440" i="1" s="1"/>
  <c r="D1441" i="1" a="1"/>
  <c r="D1441" i="1" s="1"/>
  <c r="D1442" i="1" a="1"/>
  <c r="D1442" i="1" s="1"/>
  <c r="D1443" i="1" a="1"/>
  <c r="D1443" i="1" s="1"/>
  <c r="D1444" i="1" a="1"/>
  <c r="D1444" i="1" s="1"/>
  <c r="D1445" i="1" a="1"/>
  <c r="D1445" i="1" s="1"/>
  <c r="D1446" i="1" a="1"/>
  <c r="D1446" i="1" s="1"/>
  <c r="D1447" i="1" a="1"/>
  <c r="D1447" i="1" s="1"/>
  <c r="D1448" i="1" a="1"/>
  <c r="D1448" i="1" s="1"/>
  <c r="D1449" i="1" a="1"/>
  <c r="D1449" i="1" s="1"/>
  <c r="D1450" i="1" a="1"/>
  <c r="D1450" i="1" s="1"/>
  <c r="D1451" i="1" a="1"/>
  <c r="D1451" i="1" s="1"/>
  <c r="D1452" i="1" a="1"/>
  <c r="D1452" i="1" s="1"/>
  <c r="D1453" i="1" a="1"/>
  <c r="D1453" i="1" s="1"/>
  <c r="D1454" i="1" a="1"/>
  <c r="D1454" i="1" s="1"/>
  <c r="D1455" i="1" a="1"/>
  <c r="D1455" i="1" s="1"/>
  <c r="D1456" i="1" a="1"/>
  <c r="D1456" i="1" s="1"/>
  <c r="D1457" i="1" a="1"/>
  <c r="D1457" i="1" s="1"/>
  <c r="D1458" i="1" a="1"/>
  <c r="D1458" i="1" s="1"/>
  <c r="D1459" i="1" a="1"/>
  <c r="D1459" i="1" s="1"/>
  <c r="D1460" i="1" a="1"/>
  <c r="D1460" i="1" s="1"/>
  <c r="D1461" i="1" a="1"/>
  <c r="D1461" i="1" s="1"/>
  <c r="D1462" i="1" a="1"/>
  <c r="D1462" i="1" s="1"/>
  <c r="D1463" i="1" a="1"/>
  <c r="D1463" i="1" s="1"/>
  <c r="D1464" i="1" a="1"/>
  <c r="D1464" i="1" s="1"/>
  <c r="D1465" i="1" a="1"/>
  <c r="D1465" i="1" s="1"/>
  <c r="D1466" i="1" a="1"/>
  <c r="D1466" i="1" s="1"/>
  <c r="D1467" i="1" a="1"/>
  <c r="D1467" i="1" s="1"/>
  <c r="D1468" i="1" a="1"/>
  <c r="D1468" i="1" s="1"/>
  <c r="D1469" i="1" a="1"/>
  <c r="D1469" i="1" s="1"/>
  <c r="D1470" i="1" a="1"/>
  <c r="D1470" i="1" s="1"/>
  <c r="D1471" i="1" a="1"/>
  <c r="D1471" i="1" s="1"/>
  <c r="D1472" i="1" a="1"/>
  <c r="D1472" i="1" s="1"/>
  <c r="D1473" i="1" a="1"/>
  <c r="D1473" i="1" s="1"/>
  <c r="D1474" i="1" a="1"/>
  <c r="D1474" i="1" s="1"/>
  <c r="D1475" i="1" a="1"/>
  <c r="D1475" i="1" s="1"/>
  <c r="D1476" i="1" a="1"/>
  <c r="D1476" i="1" s="1"/>
  <c r="D1477" i="1" a="1"/>
  <c r="D1477" i="1" s="1"/>
  <c r="D1478" i="1" a="1"/>
  <c r="D1478" i="1" s="1"/>
  <c r="D1479" i="1" a="1"/>
  <c r="D1479" i="1" s="1"/>
  <c r="D1480" i="1" a="1"/>
  <c r="D1480" i="1" s="1"/>
  <c r="D1481" i="1" a="1"/>
  <c r="D1481" i="1" s="1"/>
  <c r="D1482" i="1" a="1"/>
  <c r="D1482" i="1" s="1"/>
  <c r="D1483" i="1" a="1"/>
  <c r="D1483" i="1" s="1"/>
  <c r="D1484" i="1" a="1"/>
  <c r="D1484" i="1" s="1"/>
  <c r="D1485" i="1" a="1"/>
  <c r="D1485" i="1" s="1"/>
  <c r="D1486" i="1" a="1"/>
  <c r="D1486" i="1" s="1"/>
  <c r="D1487" i="1" a="1"/>
  <c r="D1487" i="1" s="1"/>
  <c r="D1488" i="1" a="1"/>
  <c r="D1488" i="1" s="1"/>
  <c r="D1489" i="1" a="1"/>
  <c r="D1489" i="1" s="1"/>
  <c r="D1490" i="1" a="1"/>
  <c r="D1490" i="1" s="1"/>
  <c r="D1491" i="1" a="1"/>
  <c r="D1491" i="1" s="1"/>
  <c r="D1492" i="1" a="1"/>
  <c r="D1492" i="1" s="1"/>
  <c r="D1493" i="1" a="1"/>
  <c r="D1493" i="1" s="1"/>
  <c r="D1494" i="1" a="1"/>
  <c r="D1494" i="1" s="1"/>
  <c r="D1495" i="1" a="1"/>
  <c r="D1495" i="1" s="1"/>
  <c r="D1496" i="1" a="1"/>
  <c r="D1496" i="1" s="1"/>
  <c r="D1497" i="1" a="1"/>
  <c r="D1497" i="1" s="1"/>
  <c r="D1498" i="1" a="1"/>
  <c r="D1498" i="1" s="1"/>
  <c r="D1499" i="1" a="1"/>
  <c r="D1499" i="1" s="1"/>
  <c r="D1500" i="1" a="1"/>
  <c r="D1500" i="1" s="1"/>
  <c r="D1501" i="1" a="1"/>
  <c r="D1501" i="1" s="1"/>
  <c r="D1502" i="1" a="1"/>
  <c r="D1502" i="1" s="1"/>
  <c r="D1503" i="1" a="1"/>
  <c r="D1503" i="1" s="1"/>
  <c r="D1504" i="1" a="1"/>
  <c r="D1504" i="1" s="1"/>
  <c r="D1505" i="1" a="1"/>
  <c r="D1505" i="1" s="1"/>
  <c r="D1506" i="1" a="1"/>
  <c r="D1506" i="1" s="1"/>
  <c r="D1507" i="1" a="1"/>
  <c r="D1507" i="1" s="1"/>
  <c r="D1508" i="1" a="1"/>
  <c r="D1508" i="1" s="1"/>
  <c r="D1509" i="1" a="1"/>
  <c r="D1509" i="1" s="1"/>
  <c r="D1510" i="1" a="1"/>
  <c r="D1510" i="1" s="1"/>
  <c r="D1511" i="1" a="1"/>
  <c r="D1511" i="1" s="1"/>
  <c r="D1512" i="1" a="1"/>
  <c r="D1512" i="1" s="1"/>
  <c r="D1513" i="1" a="1"/>
  <c r="D1513" i="1" s="1"/>
  <c r="D1514" i="1" a="1"/>
  <c r="D1514" i="1" s="1"/>
  <c r="D1515" i="1" a="1"/>
  <c r="D1515" i="1" s="1"/>
  <c r="D1516" i="1" a="1"/>
  <c r="D1516" i="1" s="1"/>
  <c r="D1517" i="1" a="1"/>
  <c r="D1517" i="1" s="1"/>
  <c r="D1518" i="1" a="1"/>
  <c r="D1518" i="1" s="1"/>
  <c r="D1519" i="1" a="1"/>
  <c r="D1519" i="1" s="1"/>
  <c r="D1520" i="1" a="1"/>
  <c r="D1520" i="1" s="1"/>
  <c r="D1521" i="1" a="1"/>
  <c r="D1521" i="1" s="1"/>
  <c r="D1522" i="1" a="1"/>
  <c r="D1522" i="1" s="1"/>
  <c r="D1523" i="1" a="1"/>
  <c r="D1523" i="1" s="1"/>
  <c r="D1524" i="1" a="1"/>
  <c r="D1524" i="1" s="1"/>
  <c r="D1525" i="1" a="1"/>
  <c r="D1525" i="1" s="1"/>
  <c r="D1526" i="1" a="1"/>
  <c r="D1526" i="1"/>
  <c r="D1527" i="1" a="1"/>
  <c r="D1527" i="1" s="1"/>
  <c r="D1528" i="1" a="1"/>
  <c r="D1528" i="1"/>
  <c r="D1529" i="1" a="1"/>
  <c r="D1529" i="1" s="1"/>
  <c r="D1530" i="1" a="1"/>
  <c r="D1530" i="1" s="1"/>
  <c r="D1531" i="1" a="1"/>
  <c r="D1531" i="1" s="1"/>
  <c r="D1532" i="1" a="1"/>
  <c r="D1532" i="1"/>
  <c r="D1533" i="1" a="1"/>
  <c r="D1533" i="1" s="1"/>
  <c r="D1534" i="1" a="1"/>
  <c r="D1534" i="1" s="1"/>
  <c r="D1535" i="1" a="1"/>
  <c r="D1535" i="1" s="1"/>
  <c r="D1536" i="1" a="1"/>
  <c r="D1536" i="1" s="1"/>
  <c r="D1537" i="1" a="1"/>
  <c r="D1537" i="1" s="1"/>
  <c r="D1538" i="1" a="1"/>
  <c r="D1538" i="1" s="1"/>
  <c r="D1539" i="1" a="1"/>
  <c r="D1539" i="1" s="1"/>
  <c r="D1540" i="1" a="1"/>
  <c r="D1540" i="1" s="1"/>
  <c r="D1541" i="1" a="1"/>
  <c r="D1541" i="1" s="1"/>
  <c r="D1542" i="1" a="1"/>
  <c r="D1542" i="1" s="1"/>
  <c r="D1543" i="1" a="1"/>
  <c r="D1543" i="1" s="1"/>
  <c r="D1544" i="1" a="1"/>
  <c r="D1544" i="1" s="1"/>
  <c r="D1545" i="1" a="1"/>
  <c r="D1545" i="1" s="1"/>
  <c r="D1546" i="1" a="1"/>
  <c r="D1546" i="1" s="1"/>
  <c r="D1547" i="1" a="1"/>
  <c r="D1547" i="1" s="1"/>
  <c r="D1548" i="1" a="1"/>
  <c r="D1548" i="1" s="1"/>
  <c r="D1549" i="1" a="1"/>
  <c r="D1549" i="1" s="1"/>
  <c r="D1550" i="1" a="1"/>
  <c r="D1550" i="1"/>
  <c r="D1551" i="1" a="1"/>
  <c r="D1551" i="1" s="1"/>
  <c r="D1552" i="1" a="1"/>
  <c r="D1552" i="1" s="1"/>
  <c r="D1553" i="1" a="1"/>
  <c r="D1553" i="1" s="1"/>
  <c r="D1554" i="1" a="1"/>
  <c r="D1554" i="1" s="1"/>
  <c r="D1555" i="1" a="1"/>
  <c r="D1555" i="1" s="1"/>
  <c r="D1556" i="1" a="1"/>
  <c r="D1556" i="1" s="1"/>
  <c r="D1557" i="1" a="1"/>
  <c r="D1557" i="1" s="1"/>
  <c r="D1558" i="1" a="1"/>
  <c r="D1558" i="1" s="1"/>
  <c r="D1559" i="1" a="1"/>
  <c r="D1559" i="1" s="1"/>
  <c r="D1560" i="1" a="1"/>
  <c r="D1560" i="1" s="1"/>
  <c r="D1561" i="1" a="1"/>
  <c r="D1561" i="1" s="1"/>
  <c r="D1562" i="1" a="1"/>
  <c r="D1562" i="1" s="1"/>
  <c r="D1563" i="1" a="1"/>
  <c r="D1563" i="1" s="1"/>
  <c r="D1564" i="1" a="1"/>
  <c r="D1564" i="1" s="1"/>
  <c r="D1565" i="1" a="1"/>
  <c r="D1565" i="1" s="1"/>
  <c r="D1566" i="1" a="1"/>
  <c r="D1566" i="1" s="1"/>
  <c r="D1567" i="1" a="1"/>
  <c r="D1567" i="1" s="1"/>
  <c r="D1568" i="1" a="1"/>
  <c r="D1568" i="1"/>
  <c r="D1569" i="1" a="1"/>
  <c r="D1569" i="1" s="1"/>
  <c r="D1570" i="1" a="1"/>
  <c r="D1570" i="1" s="1"/>
  <c r="D1571" i="1" a="1"/>
  <c r="D1571" i="1" s="1"/>
  <c r="D1572" i="1" a="1"/>
  <c r="D1572" i="1" s="1"/>
  <c r="D1573" i="1" a="1"/>
  <c r="D1573" i="1" s="1"/>
  <c r="D1574" i="1" a="1"/>
  <c r="D1574" i="1" s="1"/>
  <c r="D1575" i="1" a="1"/>
  <c r="D1575" i="1" s="1"/>
  <c r="D1576" i="1" a="1"/>
  <c r="D1576" i="1" s="1"/>
  <c r="D1577" i="1" a="1"/>
  <c r="D1577" i="1" s="1"/>
  <c r="D1578" i="1" a="1"/>
  <c r="D1578" i="1" s="1"/>
  <c r="D1579" i="1" a="1"/>
  <c r="D1579" i="1" s="1"/>
  <c r="D1580" i="1" a="1"/>
  <c r="D1580" i="1"/>
  <c r="D1581" i="1" a="1"/>
  <c r="D1581" i="1" s="1"/>
  <c r="D1582" i="1" a="1"/>
  <c r="D1582" i="1"/>
  <c r="D1583" i="1" a="1"/>
  <c r="D1583" i="1" s="1"/>
  <c r="D1584" i="1" a="1"/>
  <c r="D1584" i="1" s="1"/>
  <c r="D1585" i="1" a="1"/>
  <c r="D1585" i="1" s="1"/>
  <c r="D1586" i="1" a="1"/>
  <c r="D1586" i="1" s="1"/>
  <c r="D1587" i="1" a="1"/>
  <c r="D1587" i="1" s="1"/>
  <c r="D1588" i="1" a="1"/>
  <c r="D1588" i="1" s="1"/>
  <c r="D1589" i="1" a="1"/>
  <c r="D1589" i="1" s="1"/>
  <c r="D1590" i="1" a="1"/>
  <c r="D1590" i="1" s="1"/>
  <c r="D1591" i="1" a="1"/>
  <c r="D1591" i="1" s="1"/>
  <c r="D1592" i="1" a="1"/>
  <c r="D1592" i="1" s="1"/>
  <c r="D1593" i="1" a="1"/>
  <c r="D1593" i="1" s="1"/>
  <c r="D1594" i="1" a="1"/>
  <c r="D1594" i="1" s="1"/>
  <c r="D1595" i="1" a="1"/>
  <c r="D1595" i="1" s="1"/>
  <c r="D1596" i="1" a="1"/>
  <c r="D1596" i="1" s="1"/>
  <c r="D1597" i="1" a="1"/>
  <c r="D1597" i="1" s="1"/>
  <c r="D1598" i="1" a="1"/>
  <c r="D1598" i="1" s="1"/>
  <c r="D1599" i="1" a="1"/>
  <c r="D1599" i="1" s="1"/>
  <c r="D1600" i="1" a="1"/>
  <c r="D1600" i="1"/>
  <c r="D1601" i="1" a="1"/>
  <c r="D1601" i="1" s="1"/>
  <c r="D1602" i="1" a="1"/>
  <c r="D1602" i="1" s="1"/>
  <c r="D1603" i="1" a="1"/>
  <c r="D1603" i="1" s="1"/>
  <c r="D1604" i="1" a="1"/>
  <c r="D1604" i="1" s="1"/>
  <c r="D1605" i="1" a="1"/>
  <c r="D1605" i="1" s="1"/>
  <c r="D1606" i="1" a="1"/>
  <c r="D1606" i="1" s="1"/>
  <c r="D1607" i="1" a="1"/>
  <c r="D1607" i="1" s="1"/>
  <c r="D1608" i="1" a="1"/>
  <c r="D1608" i="1" s="1"/>
  <c r="D1609" i="1" a="1"/>
  <c r="D1609" i="1" s="1"/>
  <c r="D1610" i="1" a="1"/>
  <c r="D1610" i="1" s="1"/>
  <c r="D1611" i="1" a="1"/>
  <c r="D1611" i="1" s="1"/>
  <c r="D1612" i="1" a="1"/>
  <c r="D1612" i="1" s="1"/>
  <c r="D1613" i="1" a="1"/>
  <c r="D1613" i="1" s="1"/>
  <c r="D1614" i="1" a="1"/>
  <c r="D1614" i="1" s="1"/>
  <c r="D1615" i="1" a="1"/>
  <c r="D1615" i="1" s="1"/>
  <c r="D1616" i="1" a="1"/>
  <c r="D1616" i="1" s="1"/>
  <c r="D1617" i="1" a="1"/>
  <c r="D1617" i="1" s="1"/>
  <c r="D1618" i="1" a="1"/>
  <c r="D1618" i="1"/>
  <c r="D1619" i="1" a="1"/>
  <c r="D1619" i="1" s="1"/>
  <c r="D1620" i="1" a="1"/>
  <c r="D1620" i="1" s="1"/>
  <c r="D1621" i="1" a="1"/>
  <c r="D1621" i="1" s="1"/>
  <c r="D1622" i="1" a="1"/>
  <c r="D1622" i="1" s="1"/>
  <c r="D1623" i="1" a="1"/>
  <c r="D1623" i="1" s="1"/>
  <c r="D1624" i="1" a="1"/>
  <c r="D1624" i="1" s="1"/>
  <c r="D1625" i="1" a="1"/>
  <c r="D1625" i="1" s="1"/>
  <c r="D1626" i="1" a="1"/>
  <c r="D1626" i="1" s="1"/>
  <c r="D1627" i="1" a="1"/>
  <c r="D1627" i="1" s="1"/>
  <c r="D1628" i="1" a="1"/>
  <c r="D1628" i="1" s="1"/>
  <c r="D1629" i="1" a="1"/>
  <c r="D1629" i="1" s="1"/>
  <c r="D1630" i="1" a="1"/>
  <c r="D1630" i="1" s="1"/>
  <c r="D1631" i="1" a="1"/>
  <c r="D1631" i="1" s="1"/>
  <c r="D1632" i="1" a="1"/>
  <c r="D1632" i="1" s="1"/>
  <c r="D1633" i="1" a="1"/>
  <c r="D1633" i="1" s="1"/>
  <c r="D1634" i="1" a="1"/>
  <c r="D1634" i="1"/>
  <c r="D1635" i="1" a="1"/>
  <c r="D1635" i="1" s="1"/>
  <c r="D1636" i="1" a="1"/>
  <c r="D1636" i="1" s="1"/>
  <c r="D1637" i="1" a="1"/>
  <c r="D1637" i="1" s="1"/>
  <c r="D1638" i="1" a="1"/>
  <c r="D1638" i="1" s="1"/>
  <c r="D1639" i="1" a="1"/>
  <c r="D1639" i="1" s="1"/>
  <c r="D1640" i="1" a="1"/>
  <c r="D1640" i="1" s="1"/>
  <c r="D1641" i="1" a="1"/>
  <c r="D1641" i="1" s="1"/>
  <c r="D1642" i="1" a="1"/>
  <c r="D1642" i="1" s="1"/>
  <c r="D1643" i="1" a="1"/>
  <c r="D1643" i="1" s="1"/>
  <c r="D1644" i="1" a="1"/>
  <c r="D1644" i="1" s="1"/>
  <c r="D1645" i="1" a="1"/>
  <c r="D1645" i="1" s="1"/>
  <c r="D1646" i="1" a="1"/>
  <c r="D1646" i="1" s="1"/>
  <c r="D1647" i="1" a="1"/>
  <c r="D1647" i="1" s="1"/>
  <c r="D1648" i="1" a="1"/>
  <c r="D1648" i="1" s="1"/>
  <c r="D1649" i="1" a="1"/>
  <c r="D1649" i="1" s="1"/>
  <c r="D1650" i="1" a="1"/>
  <c r="D1650" i="1" s="1"/>
  <c r="D1651" i="1" a="1"/>
  <c r="D1651" i="1" s="1"/>
  <c r="D1652" i="1" a="1"/>
  <c r="D1652" i="1" s="1"/>
  <c r="D1653" i="1" a="1"/>
  <c r="D1653" i="1" s="1"/>
  <c r="D1654" i="1" a="1"/>
  <c r="D1654" i="1"/>
  <c r="D1655" i="1" a="1"/>
  <c r="D1655" i="1" s="1"/>
  <c r="D1656" i="1" a="1"/>
  <c r="D1656" i="1" s="1"/>
  <c r="D1657" i="1" a="1"/>
  <c r="D1657" i="1" s="1"/>
  <c r="D1658" i="1" a="1"/>
  <c r="D1658" i="1" s="1"/>
  <c r="D1659" i="1" a="1"/>
  <c r="D1659" i="1" s="1"/>
  <c r="D1660" i="1" a="1"/>
  <c r="D1660" i="1" s="1"/>
  <c r="D1661" i="1" a="1"/>
  <c r="D1661" i="1" s="1"/>
  <c r="D1662" i="1" a="1"/>
  <c r="D1662" i="1" s="1"/>
  <c r="D1663" i="1" a="1"/>
  <c r="D1663" i="1" s="1"/>
  <c r="D1664" i="1" a="1"/>
  <c r="D1664" i="1" s="1"/>
  <c r="D1665" i="1" a="1"/>
  <c r="D1665" i="1" s="1"/>
  <c r="D1666" i="1" a="1"/>
  <c r="D1666" i="1" s="1"/>
  <c r="D1667" i="1" a="1"/>
  <c r="D1667" i="1" s="1"/>
  <c r="D1668" i="1" a="1"/>
  <c r="D1668" i="1" s="1"/>
  <c r="D1669" i="1" a="1"/>
  <c r="D1669" i="1" s="1"/>
  <c r="D1670" i="1" a="1"/>
  <c r="D1670" i="1" s="1"/>
  <c r="D1671" i="1" a="1"/>
  <c r="D1671" i="1" s="1"/>
  <c r="D1672" i="1" a="1"/>
  <c r="D1672" i="1" s="1"/>
  <c r="D1673" i="1" a="1"/>
  <c r="D1673" i="1" s="1"/>
  <c r="D1674" i="1" a="1"/>
  <c r="D1674" i="1" s="1"/>
  <c r="D1675" i="1" a="1"/>
  <c r="D1675" i="1" s="1"/>
  <c r="D1676" i="1" a="1"/>
  <c r="D1676" i="1" s="1"/>
  <c r="D1677" i="1" a="1"/>
  <c r="D1677" i="1" s="1"/>
  <c r="D1678" i="1" a="1"/>
  <c r="D1678" i="1" s="1"/>
  <c r="D1679" i="1" a="1"/>
  <c r="D1679" i="1" s="1"/>
  <c r="D1680" i="1" a="1"/>
  <c r="D1680" i="1" s="1"/>
  <c r="D1681" i="1" a="1"/>
  <c r="D1681" i="1" s="1"/>
  <c r="D1682" i="1" a="1"/>
  <c r="D1682" i="1" s="1"/>
  <c r="D1683" i="1" a="1"/>
  <c r="D1683" i="1" s="1"/>
  <c r="D1684" i="1" a="1"/>
  <c r="D1684" i="1" s="1"/>
  <c r="D1685" i="1" a="1"/>
  <c r="D1685" i="1" s="1"/>
  <c r="D1686" i="1" a="1"/>
  <c r="D1686" i="1" s="1"/>
  <c r="D1687" i="1" a="1"/>
  <c r="D1687" i="1" s="1"/>
  <c r="D1688" i="1" a="1"/>
  <c r="D1688" i="1" s="1"/>
  <c r="D1689" i="1" a="1"/>
  <c r="D1689" i="1" s="1"/>
  <c r="D1690" i="1" a="1"/>
  <c r="D1690" i="1" s="1"/>
  <c r="D1691" i="1" a="1"/>
  <c r="D1691" i="1" s="1"/>
  <c r="D1692" i="1" a="1"/>
  <c r="D1692" i="1" s="1"/>
  <c r="D1693" i="1" a="1"/>
  <c r="D1693" i="1" s="1"/>
  <c r="D1694" i="1" a="1"/>
  <c r="D1694" i="1" s="1"/>
  <c r="D1695" i="1" a="1"/>
  <c r="D1695" i="1" s="1"/>
  <c r="D1696" i="1" a="1"/>
  <c r="D1696" i="1" s="1"/>
  <c r="D1697" i="1" a="1"/>
  <c r="D1697" i="1" s="1"/>
  <c r="D1698" i="1" a="1"/>
  <c r="D1698" i="1" s="1"/>
  <c r="D1699" i="1" a="1"/>
  <c r="D1699" i="1" s="1"/>
  <c r="D1700" i="1" a="1"/>
  <c r="D1700" i="1" s="1"/>
  <c r="D1701" i="1" a="1"/>
  <c r="D1701" i="1" s="1"/>
  <c r="D1702" i="1" a="1"/>
  <c r="D1702" i="1" s="1"/>
  <c r="D1703" i="1" a="1"/>
  <c r="D1703" i="1" s="1"/>
  <c r="D1704" i="1" a="1"/>
  <c r="D1704" i="1" s="1"/>
  <c r="D1705" i="1" a="1"/>
  <c r="D1705" i="1" s="1"/>
  <c r="D1706" i="1" a="1"/>
  <c r="D1706" i="1" s="1"/>
  <c r="D1707" i="1" a="1"/>
  <c r="D1707" i="1" s="1"/>
  <c r="D1708" i="1" a="1"/>
  <c r="D1708" i="1" s="1"/>
  <c r="D1709" i="1" a="1"/>
  <c r="D1709" i="1" s="1"/>
  <c r="D1710" i="1" a="1"/>
  <c r="D1710" i="1" s="1"/>
  <c r="D1711" i="1" a="1"/>
  <c r="D1711" i="1" s="1"/>
  <c r="D1712" i="1" a="1"/>
  <c r="D1712" i="1" s="1"/>
  <c r="D1713" i="1" a="1"/>
  <c r="D1713" i="1" s="1"/>
  <c r="D1714" i="1" a="1"/>
  <c r="D1714" i="1" s="1"/>
  <c r="D1715" i="1" a="1"/>
  <c r="D1715" i="1" s="1"/>
  <c r="D1716" i="1" a="1"/>
  <c r="D1716" i="1" s="1"/>
  <c r="D1717" i="1" a="1"/>
  <c r="D1717" i="1" s="1"/>
  <c r="D1718" i="1" a="1"/>
  <c r="D1718" i="1" s="1"/>
  <c r="D1719" i="1" a="1"/>
  <c r="D1719" i="1" s="1"/>
  <c r="D1720" i="1" a="1"/>
  <c r="D1720" i="1" s="1"/>
  <c r="D1721" i="1" a="1"/>
  <c r="D1721" i="1" s="1"/>
  <c r="D1722" i="1" a="1"/>
  <c r="D1722" i="1" s="1"/>
  <c r="D1723" i="1" a="1"/>
  <c r="D1723" i="1" s="1"/>
  <c r="D1724" i="1" a="1"/>
  <c r="D1724" i="1" s="1"/>
  <c r="D1725" i="1" a="1"/>
  <c r="D1725" i="1" s="1"/>
  <c r="D1726" i="1" a="1"/>
  <c r="D1726" i="1" s="1"/>
  <c r="D1727" i="1" a="1"/>
  <c r="D1727" i="1" s="1"/>
  <c r="D1728" i="1" a="1"/>
  <c r="D1728" i="1" s="1"/>
  <c r="D1729" i="1" a="1"/>
  <c r="D1729" i="1" s="1"/>
  <c r="D1730" i="1" a="1"/>
  <c r="D1730" i="1" s="1"/>
  <c r="D1731" i="1" a="1"/>
  <c r="D1731" i="1" s="1"/>
  <c r="D1732" i="1" a="1"/>
  <c r="D1732" i="1" s="1"/>
  <c r="D1733" i="1" a="1"/>
  <c r="D1733" i="1" s="1"/>
  <c r="D1734" i="1" a="1"/>
  <c r="D1734" i="1" s="1"/>
  <c r="D1735" i="1" a="1"/>
  <c r="D1735" i="1" s="1"/>
  <c r="D1736" i="1" a="1"/>
  <c r="D1736" i="1" s="1"/>
  <c r="D1737" i="1" a="1"/>
  <c r="D1737" i="1" s="1"/>
  <c r="D1738" i="1" a="1"/>
  <c r="D1738" i="1" s="1"/>
  <c r="D1739" i="1" a="1"/>
  <c r="D1739" i="1" s="1"/>
  <c r="D1740" i="1" a="1"/>
  <c r="D1740" i="1" s="1"/>
  <c r="D1741" i="1" a="1"/>
  <c r="D1741" i="1" s="1"/>
  <c r="D1742" i="1" a="1"/>
  <c r="D1742" i="1" s="1"/>
  <c r="D1743" i="1" a="1"/>
  <c r="D1743" i="1" s="1"/>
  <c r="D1744" i="1" a="1"/>
  <c r="D1744" i="1" s="1"/>
  <c r="D1745" i="1" a="1"/>
  <c r="D1745" i="1" s="1"/>
  <c r="D1746" i="1" a="1"/>
  <c r="D1746" i="1" s="1"/>
  <c r="D1747" i="1" a="1"/>
  <c r="D1747" i="1" s="1"/>
  <c r="D1748" i="1" a="1"/>
  <c r="D1748" i="1" s="1"/>
  <c r="D1749" i="1" a="1"/>
  <c r="D1749" i="1" s="1"/>
  <c r="D1750" i="1" a="1"/>
  <c r="D1750" i="1" s="1"/>
  <c r="D1751" i="1" a="1"/>
  <c r="D1751" i="1" s="1"/>
  <c r="D1752" i="1" a="1"/>
  <c r="D1752" i="1" s="1"/>
  <c r="D1753" i="1" a="1"/>
  <c r="D1753" i="1" s="1"/>
  <c r="D1754" i="1" a="1"/>
  <c r="D1754" i="1" s="1"/>
  <c r="D1755" i="1" a="1"/>
  <c r="D1755" i="1" s="1"/>
  <c r="D1756" i="1" a="1"/>
  <c r="D1756" i="1" s="1"/>
  <c r="D1757" i="1" a="1"/>
  <c r="D1757" i="1" s="1"/>
  <c r="D1758" i="1" a="1"/>
  <c r="D1758" i="1" s="1"/>
  <c r="D1759" i="1" a="1"/>
  <c r="D1759" i="1" s="1"/>
  <c r="D1760" i="1" a="1"/>
  <c r="D1760" i="1" s="1"/>
  <c r="D1761" i="1" a="1"/>
  <c r="D1761" i="1" s="1"/>
  <c r="D1762" i="1" a="1"/>
  <c r="D1762" i="1" s="1"/>
  <c r="D1763" i="1" a="1"/>
  <c r="D1763" i="1" s="1"/>
  <c r="D1764" i="1" a="1"/>
  <c r="D1764" i="1" s="1"/>
  <c r="D1765" i="1" a="1"/>
  <c r="D1765" i="1" s="1"/>
  <c r="D1766" i="1" a="1"/>
  <c r="D1766" i="1" s="1"/>
  <c r="D1767" i="1" a="1"/>
  <c r="D1767" i="1" s="1"/>
  <c r="D1768" i="1" a="1"/>
  <c r="D1768" i="1" s="1"/>
  <c r="D1769" i="1" a="1"/>
  <c r="D1769" i="1" s="1"/>
  <c r="D1770" i="1" a="1"/>
  <c r="D1770" i="1" s="1"/>
  <c r="D1771" i="1" a="1"/>
  <c r="D1771" i="1" s="1"/>
  <c r="D1772" i="1" a="1"/>
  <c r="D1772" i="1" s="1"/>
  <c r="D1773" i="1" a="1"/>
  <c r="D1773" i="1" s="1"/>
  <c r="D1774" i="1" a="1"/>
  <c r="D1774" i="1" s="1"/>
  <c r="D1775" i="1" a="1"/>
  <c r="D1775" i="1" s="1"/>
  <c r="D1776" i="1" a="1"/>
  <c r="D1776" i="1" s="1"/>
  <c r="D1777" i="1" a="1"/>
  <c r="D1777" i="1" s="1"/>
  <c r="D1778" i="1" a="1"/>
  <c r="D1778" i="1" s="1"/>
  <c r="D1779" i="1" a="1"/>
  <c r="D1779" i="1" s="1"/>
  <c r="D1780" i="1" a="1"/>
  <c r="D1780" i="1" s="1"/>
  <c r="D1781" i="1" a="1"/>
  <c r="D1781" i="1" s="1"/>
  <c r="D1782" i="1" a="1"/>
  <c r="D1782" i="1" s="1"/>
  <c r="D1783" i="1" a="1"/>
  <c r="D1783" i="1" s="1"/>
  <c r="D1784" i="1" a="1"/>
  <c r="D1784" i="1" s="1"/>
  <c r="D1785" i="1" a="1"/>
  <c r="D1785" i="1" s="1"/>
  <c r="D1786" i="1" a="1"/>
  <c r="D1786" i="1" s="1"/>
  <c r="D1787" i="1" a="1"/>
  <c r="D1787" i="1" s="1"/>
  <c r="D1788" i="1" a="1"/>
  <c r="D1788" i="1" s="1"/>
  <c r="D1789" i="1" a="1"/>
  <c r="D1789" i="1" s="1"/>
  <c r="D1790" i="1" a="1"/>
  <c r="D1790" i="1" s="1"/>
  <c r="D1791" i="1" a="1"/>
  <c r="D1791" i="1" s="1"/>
  <c r="D1792" i="1" a="1"/>
  <c r="D1792" i="1" s="1"/>
  <c r="D1793" i="1" a="1"/>
  <c r="D1793" i="1" s="1"/>
  <c r="D1794" i="1" a="1"/>
  <c r="D1794" i="1" s="1"/>
  <c r="D1795" i="1" a="1"/>
  <c r="D1795" i="1" s="1"/>
  <c r="D1796" i="1" a="1"/>
  <c r="D1796" i="1" s="1"/>
  <c r="D1797" i="1" a="1"/>
  <c r="D1797" i="1" s="1"/>
  <c r="D1798" i="1" a="1"/>
  <c r="D1798" i="1" s="1"/>
  <c r="D1799" i="1" a="1"/>
  <c r="D1799" i="1" s="1"/>
  <c r="D1800" i="1" a="1"/>
  <c r="D1800" i="1" s="1"/>
  <c r="D1801" i="1" a="1"/>
  <c r="D1801" i="1" s="1"/>
  <c r="D1802" i="1" a="1"/>
  <c r="D1802" i="1" s="1"/>
  <c r="D1803" i="1" a="1"/>
  <c r="D1803" i="1" s="1"/>
  <c r="D1804" i="1" a="1"/>
  <c r="D1804" i="1" s="1"/>
  <c r="D1805" i="1" a="1"/>
  <c r="D1805" i="1" s="1"/>
  <c r="D1806" i="1" a="1"/>
  <c r="D1806" i="1" s="1"/>
  <c r="D1807" i="1" a="1"/>
  <c r="D1807" i="1" s="1"/>
  <c r="D1808" i="1" a="1"/>
  <c r="D1808" i="1" s="1"/>
  <c r="D1809" i="1" a="1"/>
  <c r="D1809" i="1" s="1"/>
  <c r="D1810" i="1" a="1"/>
  <c r="D1810" i="1" s="1"/>
  <c r="D1811" i="1" a="1"/>
  <c r="D1811" i="1" s="1"/>
  <c r="D1812" i="1" a="1"/>
  <c r="D1812" i="1" s="1"/>
  <c r="D1813" i="1" a="1"/>
  <c r="D1813" i="1" s="1"/>
  <c r="D1814" i="1" a="1"/>
  <c r="D1814" i="1" s="1"/>
  <c r="D1815" i="1" a="1"/>
  <c r="D1815" i="1" s="1"/>
  <c r="D1816" i="1" a="1"/>
  <c r="D1816" i="1" s="1"/>
  <c r="D1817" i="1" a="1"/>
  <c r="D1817" i="1" s="1"/>
  <c r="D1818" i="1" a="1"/>
  <c r="D1818" i="1" s="1"/>
  <c r="D1819" i="1" a="1"/>
  <c r="D1819" i="1" s="1"/>
  <c r="D1820" i="1" a="1"/>
  <c r="D1820" i="1" s="1"/>
  <c r="D1821" i="1" a="1"/>
  <c r="D1821" i="1" s="1"/>
  <c r="D1822" i="1" a="1"/>
  <c r="D1822" i="1" s="1"/>
  <c r="D1823" i="1" a="1"/>
  <c r="D1823" i="1" s="1"/>
  <c r="D1824" i="1" a="1"/>
  <c r="D1824" i="1" s="1"/>
  <c r="D1825" i="1" a="1"/>
  <c r="D1825" i="1" s="1"/>
  <c r="D1826" i="1" a="1"/>
  <c r="D1826" i="1" s="1"/>
  <c r="D1827" i="1" a="1"/>
  <c r="D1827" i="1" s="1"/>
  <c r="D1828" i="1" a="1"/>
  <c r="D1828" i="1" s="1"/>
  <c r="D1829" i="1" a="1"/>
  <c r="D1829" i="1" s="1"/>
  <c r="D1830" i="1" a="1"/>
  <c r="D1830" i="1" s="1"/>
  <c r="D1831" i="1" a="1"/>
  <c r="D1831" i="1" s="1"/>
  <c r="D1832" i="1" a="1"/>
  <c r="D1832" i="1" s="1"/>
  <c r="D1833" i="1" a="1"/>
  <c r="D1833" i="1" s="1"/>
  <c r="D1834" i="1" a="1"/>
  <c r="D1834" i="1" s="1"/>
  <c r="D1835" i="1" a="1"/>
  <c r="D1835" i="1" s="1"/>
  <c r="D1836" i="1" a="1"/>
  <c r="D1836" i="1" s="1"/>
  <c r="D1837" i="1" a="1"/>
  <c r="D1837" i="1" s="1"/>
  <c r="D1838" i="1" a="1"/>
  <c r="D1838" i="1" s="1"/>
  <c r="D1839" i="1" a="1"/>
  <c r="D1839" i="1" s="1"/>
  <c r="D1840" i="1" a="1"/>
  <c r="D1840" i="1" s="1"/>
  <c r="D1841" i="1" a="1"/>
  <c r="D1841" i="1" s="1"/>
  <c r="D1842" i="1" a="1"/>
  <c r="D1842" i="1" s="1"/>
  <c r="D1843" i="1" a="1"/>
  <c r="D1843" i="1" s="1"/>
  <c r="D1844" i="1" a="1"/>
  <c r="D1844" i="1" s="1"/>
  <c r="D1845" i="1" a="1"/>
  <c r="D1845" i="1" s="1"/>
  <c r="D1846" i="1" a="1"/>
  <c r="D1846" i="1" s="1"/>
  <c r="D1847" i="1" a="1"/>
  <c r="D1847" i="1" s="1"/>
  <c r="D1848" i="1" a="1"/>
  <c r="D1848" i="1" s="1"/>
  <c r="D1849" i="1" a="1"/>
  <c r="D1849" i="1" s="1"/>
  <c r="D1850" i="1" a="1"/>
  <c r="D1850" i="1" s="1"/>
  <c r="D1851" i="1" a="1"/>
  <c r="D1851" i="1" s="1"/>
  <c r="D1852" i="1" a="1"/>
  <c r="D1852" i="1" s="1"/>
  <c r="D1853" i="1" a="1"/>
  <c r="D1853" i="1" s="1"/>
  <c r="D1854" i="1" a="1"/>
  <c r="D1854" i="1" s="1"/>
  <c r="D1855" i="1" a="1"/>
  <c r="D1855" i="1" s="1"/>
  <c r="D1856" i="1" a="1"/>
  <c r="D1856" i="1" s="1"/>
  <c r="D1857" i="1" a="1"/>
  <c r="D1857" i="1" s="1"/>
  <c r="D1858" i="1" a="1"/>
  <c r="D1858" i="1" s="1"/>
  <c r="D1859" i="1" a="1"/>
  <c r="D1859" i="1" s="1"/>
  <c r="D1860" i="1" a="1"/>
  <c r="D1860" i="1" s="1"/>
  <c r="D1861" i="1" a="1"/>
  <c r="D1861" i="1" s="1"/>
  <c r="D1862" i="1" a="1"/>
  <c r="D1862" i="1" s="1"/>
  <c r="D1863" i="1" a="1"/>
  <c r="D1863" i="1" s="1"/>
  <c r="D1864" i="1" a="1"/>
  <c r="D1864" i="1" s="1"/>
  <c r="D1865" i="1" a="1"/>
  <c r="D1865" i="1" s="1"/>
  <c r="D1866" i="1" a="1"/>
  <c r="D1866" i="1" s="1"/>
  <c r="D1867" i="1" a="1"/>
  <c r="D1867" i="1" s="1"/>
  <c r="D1868" i="1" a="1"/>
  <c r="D1868" i="1" s="1"/>
  <c r="D1869" i="1" a="1"/>
  <c r="D1869" i="1" s="1"/>
  <c r="D1870" i="1" a="1"/>
  <c r="D1870" i="1" s="1"/>
  <c r="D1871" i="1" a="1"/>
  <c r="D1871" i="1" s="1"/>
  <c r="D1872" i="1" a="1"/>
  <c r="D1872" i="1" s="1"/>
  <c r="D1873" i="1" a="1"/>
  <c r="D1873" i="1" s="1"/>
  <c r="D1874" i="1" a="1"/>
  <c r="D1874" i="1" s="1"/>
  <c r="D1875" i="1" a="1"/>
  <c r="D1875" i="1" s="1"/>
  <c r="D1876" i="1" a="1"/>
  <c r="D1876" i="1" s="1"/>
  <c r="D1877" i="1" a="1"/>
  <c r="D1877" i="1" s="1"/>
  <c r="D1878" i="1" a="1"/>
  <c r="D1878" i="1" s="1"/>
  <c r="D1879" i="1" a="1"/>
  <c r="D1879" i="1" s="1"/>
  <c r="D1880" i="1" a="1"/>
  <c r="D1880" i="1" s="1"/>
  <c r="D1881" i="1" a="1"/>
  <c r="D1881" i="1" s="1"/>
  <c r="D1882" i="1" a="1"/>
  <c r="D1882" i="1" s="1"/>
  <c r="D1883" i="1" a="1"/>
  <c r="D1883" i="1" s="1"/>
  <c r="D1884" i="1" a="1"/>
  <c r="D1884" i="1" s="1"/>
  <c r="D1885" i="1" a="1"/>
  <c r="D1885" i="1" s="1"/>
  <c r="D1886" i="1" a="1"/>
  <c r="D1886" i="1" s="1"/>
  <c r="D1887" i="1" a="1"/>
  <c r="D1887" i="1" s="1"/>
  <c r="D1888" i="1" a="1"/>
  <c r="D1888" i="1" s="1"/>
  <c r="D1889" i="1" a="1"/>
  <c r="D1889" i="1" s="1"/>
  <c r="D1890" i="1" a="1"/>
  <c r="D1890" i="1" s="1"/>
  <c r="D1891" i="1" a="1"/>
  <c r="D1891" i="1" s="1"/>
  <c r="D1892" i="1" a="1"/>
  <c r="D1892" i="1" s="1"/>
  <c r="D1893" i="1" a="1"/>
  <c r="D1893" i="1" s="1"/>
  <c r="D1894" i="1" a="1"/>
  <c r="D1894" i="1" s="1"/>
  <c r="D1895" i="1" a="1"/>
  <c r="D1895" i="1" s="1"/>
  <c r="D1896" i="1" a="1"/>
  <c r="D1896" i="1" s="1"/>
  <c r="D1897" i="1" a="1"/>
  <c r="D1897" i="1" s="1"/>
  <c r="D1898" i="1" a="1"/>
  <c r="D1898" i="1" s="1"/>
  <c r="D1899" i="1" a="1"/>
  <c r="D1899" i="1" s="1"/>
  <c r="D1900" i="1" a="1"/>
  <c r="D1900" i="1" s="1"/>
  <c r="D1901" i="1" a="1"/>
  <c r="D1901" i="1" s="1"/>
  <c r="D1902" i="1" a="1"/>
  <c r="D1902" i="1" s="1"/>
  <c r="D1903" i="1" a="1"/>
  <c r="D1903" i="1" s="1"/>
  <c r="D1904" i="1" a="1"/>
  <c r="D1904" i="1" s="1"/>
  <c r="D1905" i="1" a="1"/>
  <c r="D1905" i="1" s="1"/>
  <c r="D1906" i="1" a="1"/>
  <c r="D1906" i="1" s="1"/>
  <c r="D1907" i="1" a="1"/>
  <c r="D1907" i="1" s="1"/>
  <c r="D1908" i="1" a="1"/>
  <c r="D1908" i="1" s="1"/>
  <c r="D1909" i="1" a="1"/>
  <c r="D1909" i="1" s="1"/>
  <c r="D1910" i="1" a="1"/>
  <c r="D1910" i="1" s="1"/>
  <c r="D1911" i="1" a="1"/>
  <c r="D1911" i="1" s="1"/>
  <c r="D1912" i="1" a="1"/>
  <c r="D1912" i="1" s="1"/>
  <c r="D1913" i="1" a="1"/>
  <c r="D1913" i="1" s="1"/>
  <c r="D1914" i="1" a="1"/>
  <c r="D1914" i="1" s="1"/>
  <c r="D1915" i="1" a="1"/>
  <c r="D1915" i="1" s="1"/>
  <c r="D1916" i="1" a="1"/>
  <c r="D1916" i="1" s="1"/>
  <c r="D1917" i="1" a="1"/>
  <c r="D1917" i="1" s="1"/>
  <c r="D1918" i="1" a="1"/>
  <c r="D1918" i="1" s="1"/>
  <c r="D1919" i="1" a="1"/>
  <c r="D1919" i="1" s="1"/>
  <c r="D1920" i="1" a="1"/>
  <c r="D1920" i="1" s="1"/>
  <c r="D1921" i="1" a="1"/>
  <c r="D1921" i="1" s="1"/>
  <c r="D1922" i="1" a="1"/>
  <c r="D1922" i="1" s="1"/>
  <c r="D1923" i="1" a="1"/>
  <c r="D1923" i="1" s="1"/>
  <c r="D1924" i="1" a="1"/>
  <c r="D1924" i="1" s="1"/>
  <c r="D1925" i="1" a="1"/>
  <c r="D1925" i="1" s="1"/>
  <c r="D1926" i="1" a="1"/>
  <c r="D1926" i="1" s="1"/>
  <c r="D1927" i="1" a="1"/>
  <c r="D1927" i="1" s="1"/>
  <c r="D1928" i="1" a="1"/>
  <c r="D1928" i="1" s="1"/>
  <c r="D1929" i="1" a="1"/>
  <c r="D1929" i="1" s="1"/>
  <c r="D1930" i="1" a="1"/>
  <c r="D1930" i="1" s="1"/>
  <c r="D1931" i="1" a="1"/>
  <c r="D1931" i="1" s="1"/>
  <c r="D1932" i="1" a="1"/>
  <c r="D1932" i="1" s="1"/>
  <c r="D1933" i="1" a="1"/>
  <c r="D1933" i="1" s="1"/>
  <c r="D1934" i="1" a="1"/>
  <c r="D1934" i="1" s="1"/>
  <c r="D1935" i="1" a="1"/>
  <c r="D1935" i="1" s="1"/>
  <c r="D1936" i="1" a="1"/>
  <c r="D1936" i="1" s="1"/>
  <c r="D1937" i="1" a="1"/>
  <c r="D1937" i="1" s="1"/>
  <c r="D1938" i="1" a="1"/>
  <c r="D1938" i="1" s="1"/>
  <c r="D1939" i="1" a="1"/>
  <c r="D1939" i="1" s="1"/>
  <c r="D1940" i="1" a="1"/>
  <c r="D1940" i="1" s="1"/>
  <c r="D1941" i="1" a="1"/>
  <c r="D1941" i="1" s="1"/>
  <c r="D1942" i="1" a="1"/>
  <c r="D1942" i="1" s="1"/>
  <c r="D1943" i="1" a="1"/>
  <c r="D1943" i="1" s="1"/>
  <c r="D1944" i="1" a="1"/>
  <c r="D1944" i="1" s="1"/>
  <c r="D1945" i="1" a="1"/>
  <c r="D1945" i="1" s="1"/>
  <c r="D1946" i="1" a="1"/>
  <c r="D1946" i="1" s="1"/>
  <c r="D1947" i="1" a="1"/>
  <c r="D1947" i="1" s="1"/>
  <c r="D1948" i="1" a="1"/>
  <c r="D1948" i="1" s="1"/>
  <c r="D1949" i="1" a="1"/>
  <c r="D1949" i="1" s="1"/>
  <c r="D1950" i="1" a="1"/>
  <c r="D1950" i="1" s="1"/>
  <c r="D1951" i="1" a="1"/>
  <c r="D1951" i="1" s="1"/>
  <c r="D1952" i="1" a="1"/>
  <c r="D1952" i="1" s="1"/>
  <c r="D1953" i="1" a="1"/>
  <c r="D1953" i="1" s="1"/>
  <c r="D1954" i="1" a="1"/>
  <c r="D1954" i="1" s="1"/>
  <c r="D1955" i="1" a="1"/>
  <c r="D1955" i="1" s="1"/>
  <c r="D1956" i="1" a="1"/>
  <c r="D1956" i="1" s="1"/>
  <c r="D1957" i="1" a="1"/>
  <c r="D1957" i="1" s="1"/>
  <c r="D1958" i="1" a="1"/>
  <c r="D1958" i="1" s="1"/>
  <c r="D1959" i="1" a="1"/>
  <c r="D1959" i="1" s="1"/>
  <c r="D1960" i="1" a="1"/>
  <c r="D1960" i="1" s="1"/>
  <c r="D1961" i="1" a="1"/>
  <c r="D1961" i="1" s="1"/>
  <c r="D1962" i="1" a="1"/>
  <c r="D1962" i="1" s="1"/>
  <c r="D1963" i="1" a="1"/>
  <c r="D1963" i="1" s="1"/>
  <c r="D1964" i="1" a="1"/>
  <c r="D1964" i="1" s="1"/>
  <c r="D1965" i="1" a="1"/>
  <c r="D1965" i="1" s="1"/>
  <c r="D1966" i="1" a="1"/>
  <c r="D1966" i="1" s="1"/>
  <c r="D1967" i="1" a="1"/>
  <c r="D1967" i="1" s="1"/>
  <c r="D1968" i="1" a="1"/>
  <c r="D1968" i="1" s="1"/>
  <c r="D1969" i="1" a="1"/>
  <c r="D1969" i="1" s="1"/>
  <c r="D1970" i="1" a="1"/>
  <c r="D1970" i="1" s="1"/>
  <c r="D1971" i="1" a="1"/>
  <c r="D1971" i="1" s="1"/>
  <c r="D1972" i="1" a="1"/>
  <c r="D1972" i="1" s="1"/>
  <c r="D1973" i="1" a="1"/>
  <c r="D1973" i="1" s="1"/>
  <c r="D1974" i="1" a="1"/>
  <c r="D1974" i="1" s="1"/>
  <c r="D1975" i="1" a="1"/>
  <c r="D1975" i="1" s="1"/>
  <c r="D1976" i="1" a="1"/>
  <c r="D1976" i="1" s="1"/>
  <c r="D1977" i="1" a="1"/>
  <c r="D1977" i="1" s="1"/>
  <c r="D1978" i="1" a="1"/>
  <c r="D1978" i="1" s="1"/>
  <c r="D1979" i="1" a="1"/>
  <c r="D1979" i="1" s="1"/>
  <c r="D1980" i="1" a="1"/>
  <c r="D1980" i="1" s="1"/>
  <c r="D1981" i="1" a="1"/>
  <c r="D1981" i="1" s="1"/>
  <c r="D1982" i="1" a="1"/>
  <c r="D1982" i="1" s="1"/>
  <c r="D1983" i="1" a="1"/>
  <c r="D1983" i="1" s="1"/>
  <c r="D1984" i="1" a="1"/>
  <c r="D1984" i="1" s="1"/>
  <c r="D1985" i="1" a="1"/>
  <c r="D1985" i="1" s="1"/>
  <c r="D1986" i="1" a="1"/>
  <c r="D1986" i="1" s="1"/>
  <c r="D1987" i="1" a="1"/>
  <c r="D1987" i="1" s="1"/>
  <c r="D1988" i="1" a="1"/>
  <c r="D1988" i="1" s="1"/>
  <c r="D1989" i="1" a="1"/>
  <c r="D1989" i="1" s="1"/>
  <c r="D1990" i="1" a="1"/>
  <c r="D1990" i="1" s="1"/>
  <c r="D1991" i="1" a="1"/>
  <c r="D1991" i="1" s="1"/>
  <c r="D1992" i="1" a="1"/>
  <c r="D1992" i="1" s="1"/>
  <c r="D1993" i="1" a="1"/>
  <c r="D1993" i="1" s="1"/>
  <c r="D1994" i="1" a="1"/>
  <c r="D1994" i="1" s="1"/>
  <c r="D1995" i="1" a="1"/>
  <c r="D1995" i="1" s="1"/>
  <c r="D1996" i="1" a="1"/>
  <c r="D1996" i="1" s="1"/>
  <c r="D1997" i="1" a="1"/>
  <c r="D1997" i="1" s="1"/>
  <c r="D1998" i="1" a="1"/>
  <c r="D1998" i="1" s="1"/>
  <c r="D1999" i="1" a="1"/>
  <c r="D1999" i="1" s="1"/>
  <c r="D2000" i="1" a="1"/>
  <c r="D2000" i="1" s="1"/>
  <c r="D2001" i="1" a="1"/>
  <c r="D2001" i="1" s="1"/>
  <c r="D2002" i="1" a="1"/>
  <c r="D2002" i="1" s="1"/>
  <c r="D2003" i="1" a="1"/>
  <c r="D2003" i="1" s="1"/>
  <c r="D2004" i="1" a="1"/>
  <c r="D2004" i="1" s="1"/>
  <c r="D2005" i="1" a="1"/>
  <c r="D2005" i="1" s="1"/>
  <c r="D2006" i="1" a="1"/>
  <c r="D2006" i="1" s="1"/>
  <c r="D2007" i="1" a="1"/>
  <c r="D2007" i="1" s="1"/>
  <c r="D2008" i="1" a="1"/>
  <c r="D2008" i="1" s="1"/>
  <c r="D2009" i="1" a="1"/>
  <c r="D2009" i="1" s="1"/>
  <c r="D2010" i="1" a="1"/>
  <c r="D2010" i="1" s="1"/>
  <c r="D2011" i="1" a="1"/>
  <c r="D2011" i="1" s="1"/>
  <c r="D2012" i="1" a="1"/>
  <c r="D2012" i="1" s="1"/>
  <c r="D2013" i="1" a="1"/>
  <c r="D2013" i="1" s="1"/>
  <c r="D2014" i="1" a="1"/>
  <c r="D2014" i="1" s="1"/>
  <c r="D2015" i="1" a="1"/>
  <c r="D2015" i="1" s="1"/>
  <c r="D2016" i="1" a="1"/>
  <c r="D2016" i="1" s="1"/>
  <c r="D2017" i="1" a="1"/>
  <c r="D2017" i="1" s="1"/>
  <c r="D2018" i="1" a="1"/>
  <c r="D2018" i="1" s="1"/>
  <c r="D2019" i="1" a="1"/>
  <c r="D2019" i="1" s="1"/>
  <c r="D2020" i="1" a="1"/>
  <c r="D2020" i="1" s="1"/>
  <c r="D2021" i="1" a="1"/>
  <c r="D2021" i="1" s="1"/>
  <c r="D2022" i="1" a="1"/>
  <c r="D2022" i="1" s="1"/>
  <c r="D2023" i="1" a="1"/>
  <c r="D2023" i="1" s="1"/>
  <c r="D2024" i="1" a="1"/>
  <c r="D2024" i="1" s="1"/>
  <c r="D2025" i="1" a="1"/>
  <c r="D2025" i="1" s="1"/>
  <c r="D2026" i="1" a="1"/>
  <c r="D2026" i="1" s="1"/>
  <c r="D2027" i="1" a="1"/>
  <c r="D2027" i="1" s="1"/>
  <c r="D2028" i="1" a="1"/>
  <c r="D2028" i="1" s="1"/>
  <c r="D2029" i="1" a="1"/>
  <c r="D2029" i="1" s="1"/>
  <c r="D2030" i="1" a="1"/>
  <c r="D2030" i="1" s="1"/>
  <c r="D2031" i="1" a="1"/>
  <c r="D2031" i="1" s="1"/>
  <c r="D2032" i="1" a="1"/>
  <c r="D2032" i="1" s="1"/>
  <c r="D2033" i="1" a="1"/>
  <c r="D2033" i="1" s="1"/>
  <c r="D2034" i="1" a="1"/>
  <c r="D2034" i="1" s="1"/>
  <c r="D2035" i="1" a="1"/>
  <c r="D2035" i="1" s="1"/>
  <c r="D2036" i="1" a="1"/>
  <c r="D2036" i="1" s="1"/>
  <c r="D2037" i="1" a="1"/>
  <c r="D2037" i="1" s="1"/>
  <c r="D2038" i="1" a="1"/>
  <c r="D2038" i="1" s="1"/>
  <c r="D2039" i="1" a="1"/>
  <c r="D2039" i="1" s="1"/>
  <c r="D2040" i="1" a="1"/>
  <c r="D2040" i="1" s="1"/>
  <c r="D2041" i="1" a="1"/>
  <c r="D2041" i="1" s="1"/>
  <c r="D2042" i="1" a="1"/>
  <c r="D2042" i="1" s="1"/>
  <c r="D2043" i="1" a="1"/>
  <c r="D2043" i="1" s="1"/>
  <c r="D2044" i="1" a="1"/>
  <c r="D2044" i="1" s="1"/>
  <c r="D2045" i="1" a="1"/>
  <c r="D2045" i="1" s="1"/>
  <c r="D2046" i="1" a="1"/>
  <c r="D2046" i="1" s="1"/>
  <c r="D2047" i="1" a="1"/>
  <c r="D2047" i="1" s="1"/>
  <c r="D2048" i="1" a="1"/>
  <c r="D2048" i="1" s="1"/>
  <c r="D2049" i="1" a="1"/>
  <c r="D2049" i="1" s="1"/>
  <c r="D2050" i="1" a="1"/>
  <c r="D2050" i="1" s="1"/>
  <c r="D2051" i="1" a="1"/>
  <c r="D2051" i="1" s="1"/>
  <c r="D2052" i="1" a="1"/>
  <c r="D2052" i="1" s="1"/>
  <c r="D2053" i="1" a="1"/>
  <c r="D2053" i="1" s="1"/>
  <c r="D2054" i="1" a="1"/>
  <c r="D2054" i="1" s="1"/>
  <c r="D2055" i="1" a="1"/>
  <c r="D2055" i="1" s="1"/>
  <c r="D2056" i="1" a="1"/>
  <c r="D2056" i="1" s="1"/>
  <c r="D2057" i="1" a="1"/>
  <c r="D2057" i="1" s="1"/>
  <c r="D2058" i="1" a="1"/>
  <c r="D2058" i="1" s="1"/>
  <c r="D2059" i="1" a="1"/>
  <c r="D2059" i="1" s="1"/>
  <c r="D2060" i="1" a="1"/>
  <c r="D2060" i="1" s="1"/>
  <c r="D2061" i="1" a="1"/>
  <c r="D2061" i="1" s="1"/>
  <c r="D2062" i="1" a="1"/>
  <c r="D2062" i="1" s="1"/>
  <c r="D2063" i="1" a="1"/>
  <c r="D2063" i="1" s="1"/>
  <c r="D2064" i="1" a="1"/>
  <c r="D2064" i="1" s="1"/>
  <c r="D2065" i="1" a="1"/>
  <c r="D2065" i="1" s="1"/>
  <c r="D2066" i="1" a="1"/>
  <c r="D2066" i="1" s="1"/>
  <c r="D2067" i="1" a="1"/>
  <c r="D2067" i="1" s="1"/>
  <c r="D2068" i="1" a="1"/>
  <c r="D2068" i="1" s="1"/>
  <c r="D2069" i="1" a="1"/>
  <c r="D2069" i="1" s="1"/>
  <c r="D2070" i="1" a="1"/>
  <c r="D2070" i="1" s="1"/>
  <c r="D2071" i="1" a="1"/>
  <c r="D2071" i="1" s="1"/>
  <c r="D2072" i="1" a="1"/>
  <c r="D2072" i="1" s="1"/>
  <c r="D2073" i="1" a="1"/>
  <c r="D2073" i="1" s="1"/>
  <c r="D2074" i="1" a="1"/>
  <c r="D2074" i="1" s="1"/>
  <c r="D2075" i="1" a="1"/>
  <c r="D2075" i="1" s="1"/>
  <c r="D2076" i="1" a="1"/>
  <c r="D2076" i="1" s="1"/>
  <c r="D2077" i="1" a="1"/>
  <c r="D2077" i="1" s="1"/>
  <c r="D2078" i="1" a="1"/>
  <c r="D2078" i="1" s="1"/>
  <c r="D2079" i="1" a="1"/>
  <c r="D2079" i="1" s="1"/>
  <c r="D2080" i="1" a="1"/>
  <c r="D2080" i="1" s="1"/>
  <c r="D2081" i="1" a="1"/>
  <c r="D2081" i="1" s="1"/>
  <c r="D2082" i="1" a="1"/>
  <c r="D2082" i="1" s="1"/>
  <c r="D2083" i="1" a="1"/>
  <c r="D2083" i="1" s="1"/>
  <c r="D2084" i="1" a="1"/>
  <c r="D2084" i="1" s="1"/>
  <c r="D2085" i="1" a="1"/>
  <c r="D2085" i="1" s="1"/>
  <c r="D2086" i="1" a="1"/>
  <c r="D2086" i="1" s="1"/>
  <c r="D2087" i="1" a="1"/>
  <c r="D2087" i="1" s="1"/>
  <c r="D2088" i="1" a="1"/>
  <c r="D2088" i="1" s="1"/>
  <c r="D2089" i="1" a="1"/>
  <c r="D2089" i="1" s="1"/>
  <c r="D2090" i="1" a="1"/>
  <c r="D2090" i="1" s="1"/>
  <c r="D2091" i="1" a="1"/>
  <c r="D2091" i="1" s="1"/>
  <c r="D2092" i="1" a="1"/>
  <c r="D2092" i="1" s="1"/>
  <c r="D2093" i="1" a="1"/>
  <c r="D2093" i="1" s="1"/>
  <c r="D2094" i="1" a="1"/>
  <c r="D2094" i="1" s="1"/>
  <c r="D2095" i="1" a="1"/>
  <c r="D2095" i="1" s="1"/>
  <c r="D2096" i="1" a="1"/>
  <c r="D2096" i="1" s="1"/>
  <c r="D2097" i="1" a="1"/>
  <c r="D2097" i="1" s="1"/>
  <c r="D2098" i="1" a="1"/>
  <c r="D2098" i="1" s="1"/>
  <c r="D2099" i="1" a="1"/>
  <c r="D2099" i="1" s="1"/>
  <c r="D2100" i="1" a="1"/>
  <c r="D2100" i="1" s="1"/>
  <c r="D2101" i="1" a="1"/>
  <c r="D2101" i="1" s="1"/>
  <c r="D2102" i="1" a="1"/>
  <c r="D2102" i="1" s="1"/>
  <c r="D2103" i="1" a="1"/>
  <c r="D2103" i="1" s="1"/>
  <c r="D2104" i="1" a="1"/>
  <c r="D2104" i="1" s="1"/>
  <c r="D2105" i="1" a="1"/>
  <c r="D2105" i="1" s="1"/>
  <c r="D2106" i="1" a="1"/>
  <c r="D2106" i="1" s="1"/>
  <c r="D2107" i="1" a="1"/>
  <c r="D2107" i="1" s="1"/>
  <c r="D2108" i="1" a="1"/>
  <c r="D2108" i="1" s="1"/>
  <c r="D2109" i="1" a="1"/>
  <c r="D2109" i="1" s="1"/>
  <c r="D2110" i="1" a="1"/>
  <c r="D2110" i="1" s="1"/>
  <c r="D2111" i="1" a="1"/>
  <c r="D2111" i="1" s="1"/>
  <c r="D2112" i="1" a="1"/>
  <c r="D2112" i="1" s="1"/>
  <c r="D2113" i="1" a="1"/>
  <c r="D2113" i="1" s="1"/>
  <c r="D2114" i="1" a="1"/>
  <c r="D2114" i="1" s="1"/>
  <c r="D2115" i="1" a="1"/>
  <c r="D2115" i="1" s="1"/>
  <c r="D2116" i="1" a="1"/>
  <c r="D2116" i="1" s="1"/>
  <c r="D2117" i="1" a="1"/>
  <c r="D2117" i="1" s="1"/>
  <c r="D2118" i="1" a="1"/>
  <c r="D2118" i="1" s="1"/>
  <c r="D2119" i="1" a="1"/>
  <c r="D2119" i="1" s="1"/>
  <c r="D2120" i="1" a="1"/>
  <c r="D2120" i="1" s="1"/>
  <c r="D2121" i="1" a="1"/>
  <c r="D2121" i="1" s="1"/>
  <c r="D2122" i="1" a="1"/>
  <c r="D2122" i="1" s="1"/>
  <c r="D2123" i="1" a="1"/>
  <c r="D2123" i="1" s="1"/>
  <c r="D2124" i="1" a="1"/>
  <c r="D2124" i="1" s="1"/>
  <c r="D2125" i="1" a="1"/>
  <c r="D2125" i="1" s="1"/>
  <c r="D2126" i="1" a="1"/>
  <c r="D2126" i="1" s="1"/>
  <c r="D2127" i="1" a="1"/>
  <c r="D2127" i="1" s="1"/>
  <c r="D2128" i="1" a="1"/>
  <c r="D2128" i="1" s="1"/>
  <c r="D2129" i="1" a="1"/>
  <c r="D2129" i="1" s="1"/>
  <c r="D2130" i="1" a="1"/>
  <c r="D2130" i="1" s="1"/>
  <c r="D2131" i="1" a="1"/>
  <c r="D2131" i="1" s="1"/>
  <c r="D2132" i="1" a="1"/>
  <c r="D2132" i="1" s="1"/>
  <c r="D2133" i="1" a="1"/>
  <c r="D2133" i="1" s="1"/>
  <c r="D2134" i="1" a="1"/>
  <c r="D2134" i="1" s="1"/>
  <c r="D2135" i="1" a="1"/>
  <c r="D2135" i="1" s="1"/>
  <c r="D2136" i="1" a="1"/>
  <c r="D2136" i="1" s="1"/>
  <c r="D2137" i="1" a="1"/>
  <c r="D2137" i="1" s="1"/>
  <c r="D2138" i="1" a="1"/>
  <c r="D2138" i="1" s="1"/>
  <c r="D2139" i="1" a="1"/>
  <c r="D2139" i="1" s="1"/>
  <c r="D2140" i="1" a="1"/>
  <c r="D2140" i="1" s="1"/>
  <c r="D2141" i="1" a="1"/>
  <c r="D2141" i="1" s="1"/>
  <c r="D2142" i="1" a="1"/>
  <c r="D2142" i="1" s="1"/>
  <c r="D2143" i="1" a="1"/>
  <c r="D2143" i="1" s="1"/>
  <c r="D2144" i="1" a="1"/>
  <c r="D2144" i="1" s="1"/>
  <c r="D2145" i="1" a="1"/>
  <c r="D2145" i="1" s="1"/>
  <c r="D2146" i="1" a="1"/>
  <c r="D2146" i="1" s="1"/>
  <c r="D2147" i="1" a="1"/>
  <c r="D2147" i="1" s="1"/>
  <c r="D2148" i="1" a="1"/>
  <c r="D2148" i="1" s="1"/>
  <c r="D2149" i="1" a="1"/>
  <c r="D2149" i="1" s="1"/>
  <c r="D2150" i="1" a="1"/>
  <c r="D2150" i="1" s="1"/>
  <c r="D2151" i="1" a="1"/>
  <c r="D2151" i="1" s="1"/>
  <c r="D2152" i="1" a="1"/>
  <c r="D2152" i="1" s="1"/>
  <c r="D2153" i="1" a="1"/>
  <c r="D2153" i="1" s="1"/>
  <c r="D2154" i="1" a="1"/>
  <c r="D2154" i="1" s="1"/>
  <c r="D2155" i="1" a="1"/>
  <c r="D2155" i="1" s="1"/>
  <c r="D2156" i="1" a="1"/>
  <c r="D2156" i="1" s="1"/>
  <c r="D2157" i="1" a="1"/>
  <c r="D2157" i="1" s="1"/>
  <c r="D2158" i="1" a="1"/>
  <c r="D2158" i="1" s="1"/>
  <c r="D2159" i="1" a="1"/>
  <c r="D2159" i="1" s="1"/>
  <c r="D2160" i="1" a="1"/>
  <c r="D2160" i="1" s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63" i="1"/>
  <c r="E264" i="1"/>
  <c r="E265" i="1"/>
  <c r="E266" i="1"/>
  <c r="E267" i="1"/>
  <c r="E268" i="1"/>
  <c r="E269" i="1"/>
  <c r="E270" i="1"/>
  <c r="E271" i="1"/>
  <c r="E272" i="1"/>
  <c r="E273" i="1"/>
  <c r="E274" i="1"/>
  <c r="E275" i="1"/>
  <c r="E276" i="1"/>
  <c r="E277" i="1"/>
  <c r="E278" i="1"/>
  <c r="E279" i="1"/>
  <c r="E280" i="1"/>
  <c r="E281" i="1"/>
  <c r="E282" i="1"/>
  <c r="E283" i="1"/>
  <c r="E284" i="1"/>
  <c r="E285" i="1"/>
  <c r="E286" i="1"/>
  <c r="E287" i="1"/>
  <c r="E288" i="1"/>
  <c r="E289" i="1"/>
  <c r="E290" i="1"/>
  <c r="E291" i="1"/>
  <c r="E292" i="1"/>
  <c r="E293" i="1"/>
  <c r="E294" i="1"/>
  <c r="E295" i="1"/>
  <c r="E296" i="1"/>
  <c r="E297" i="1"/>
  <c r="E298" i="1"/>
  <c r="E299" i="1"/>
  <c r="E300" i="1"/>
  <c r="E301" i="1"/>
  <c r="E302" i="1"/>
  <c r="E303" i="1"/>
  <c r="E304" i="1"/>
  <c r="E305" i="1"/>
  <c r="E306" i="1"/>
  <c r="E307" i="1"/>
  <c r="E308" i="1"/>
  <c r="E309" i="1"/>
  <c r="E310" i="1"/>
  <c r="E311" i="1"/>
  <c r="E312" i="1"/>
  <c r="E313" i="1"/>
  <c r="E314" i="1"/>
  <c r="E315" i="1"/>
  <c r="E316" i="1"/>
  <c r="E317" i="1"/>
  <c r="E318" i="1"/>
  <c r="E319" i="1"/>
  <c r="E320" i="1"/>
  <c r="E321" i="1"/>
  <c r="E322" i="1"/>
  <c r="E323" i="1"/>
  <c r="E324" i="1"/>
  <c r="E325" i="1"/>
  <c r="E326" i="1"/>
  <c r="E327" i="1"/>
  <c r="E328" i="1"/>
  <c r="E329" i="1"/>
  <c r="E330" i="1"/>
  <c r="E331" i="1"/>
  <c r="E332" i="1"/>
  <c r="E333" i="1"/>
  <c r="E334" i="1"/>
  <c r="E335" i="1"/>
  <c r="E336" i="1"/>
  <c r="E337" i="1"/>
  <c r="E338" i="1"/>
  <c r="E339" i="1"/>
  <c r="E340" i="1"/>
  <c r="E341" i="1"/>
  <c r="E342" i="1"/>
  <c r="E343" i="1"/>
  <c r="E344" i="1"/>
  <c r="E345" i="1"/>
  <c r="E346" i="1"/>
  <c r="E347" i="1"/>
  <c r="E348" i="1"/>
  <c r="E349" i="1"/>
  <c r="E350" i="1"/>
  <c r="E351" i="1"/>
  <c r="E352" i="1"/>
  <c r="E353" i="1"/>
  <c r="E354" i="1"/>
  <c r="E355" i="1"/>
  <c r="E356" i="1"/>
  <c r="E357" i="1"/>
  <c r="E358" i="1"/>
  <c r="E359" i="1"/>
  <c r="E360" i="1"/>
  <c r="E361" i="1"/>
  <c r="E362" i="1"/>
  <c r="E363" i="1"/>
  <c r="E364" i="1"/>
  <c r="E365" i="1"/>
  <c r="E366" i="1"/>
  <c r="E367" i="1"/>
  <c r="E368" i="1"/>
  <c r="E369" i="1"/>
  <c r="E370" i="1"/>
  <c r="E371" i="1"/>
  <c r="E372" i="1"/>
  <c r="E373" i="1"/>
  <c r="E374" i="1"/>
  <c r="E375" i="1"/>
  <c r="E376" i="1"/>
  <c r="E377" i="1"/>
  <c r="E378" i="1"/>
  <c r="E379" i="1"/>
  <c r="E380" i="1"/>
  <c r="E381" i="1"/>
  <c r="E382" i="1"/>
  <c r="E383" i="1"/>
  <c r="E384" i="1"/>
  <c r="E385" i="1"/>
  <c r="E386" i="1"/>
  <c r="E387" i="1"/>
  <c r="E388" i="1"/>
  <c r="E389" i="1"/>
  <c r="E390" i="1"/>
  <c r="E391" i="1"/>
  <c r="E392" i="1"/>
  <c r="E393" i="1"/>
  <c r="E394" i="1"/>
  <c r="E395" i="1"/>
  <c r="E396" i="1"/>
  <c r="E397" i="1"/>
  <c r="E398" i="1"/>
  <c r="E399" i="1"/>
  <c r="E400" i="1"/>
  <c r="E401" i="1"/>
  <c r="E402" i="1"/>
  <c r="E403" i="1"/>
  <c r="E404" i="1"/>
  <c r="E405" i="1"/>
  <c r="E406" i="1"/>
  <c r="E407" i="1"/>
  <c r="E408" i="1"/>
  <c r="E409" i="1"/>
  <c r="E410" i="1"/>
  <c r="E411" i="1"/>
  <c r="E412" i="1"/>
  <c r="E413" i="1"/>
  <c r="E414" i="1"/>
  <c r="E415" i="1"/>
  <c r="E416" i="1"/>
  <c r="E417" i="1"/>
  <c r="E418" i="1"/>
  <c r="E419" i="1"/>
  <c r="E420" i="1"/>
  <c r="E421" i="1"/>
  <c r="E422" i="1"/>
  <c r="E423" i="1"/>
  <c r="E424" i="1"/>
  <c r="E425" i="1"/>
  <c r="E426" i="1"/>
  <c r="E427" i="1"/>
  <c r="E428" i="1"/>
  <c r="E429" i="1"/>
  <c r="E430" i="1"/>
  <c r="E431" i="1"/>
  <c r="E432" i="1"/>
  <c r="E433" i="1"/>
  <c r="E434" i="1"/>
  <c r="E435" i="1"/>
  <c r="E436" i="1"/>
  <c r="E437" i="1"/>
  <c r="E438" i="1"/>
  <c r="E439" i="1"/>
  <c r="E440" i="1"/>
  <c r="E441" i="1"/>
  <c r="E442" i="1"/>
  <c r="E443" i="1"/>
  <c r="E444" i="1"/>
  <c r="E445" i="1"/>
  <c r="E446" i="1"/>
  <c r="E447" i="1"/>
  <c r="E448" i="1"/>
  <c r="E449" i="1"/>
  <c r="E450" i="1"/>
  <c r="E451" i="1"/>
  <c r="E452" i="1"/>
  <c r="E453" i="1"/>
  <c r="E454" i="1"/>
  <c r="E455" i="1"/>
  <c r="E456" i="1"/>
  <c r="E457" i="1"/>
  <c r="E458" i="1"/>
  <c r="E459" i="1"/>
  <c r="E460" i="1"/>
  <c r="E461" i="1"/>
  <c r="E462" i="1"/>
  <c r="E463" i="1"/>
  <c r="E464" i="1"/>
  <c r="E465" i="1"/>
  <c r="E466" i="1"/>
  <c r="E467" i="1"/>
  <c r="E468" i="1"/>
  <c r="E469" i="1"/>
  <c r="E470" i="1"/>
  <c r="E471" i="1"/>
  <c r="E472" i="1"/>
  <c r="E473" i="1"/>
  <c r="E474" i="1"/>
  <c r="E475" i="1"/>
  <c r="E476" i="1"/>
  <c r="E477" i="1"/>
  <c r="E478" i="1"/>
  <c r="E479" i="1"/>
  <c r="E480" i="1"/>
  <c r="E481" i="1"/>
  <c r="E482" i="1"/>
  <c r="E483" i="1"/>
  <c r="E484" i="1"/>
  <c r="E485" i="1"/>
  <c r="E486" i="1"/>
  <c r="E487" i="1"/>
  <c r="E488" i="1"/>
  <c r="E489" i="1"/>
  <c r="E490" i="1"/>
  <c r="E491" i="1"/>
  <c r="E492" i="1"/>
  <c r="E493" i="1"/>
  <c r="E494" i="1"/>
  <c r="E495" i="1"/>
  <c r="E496" i="1"/>
  <c r="E497" i="1"/>
  <c r="E498" i="1"/>
  <c r="E499" i="1"/>
  <c r="E500" i="1"/>
  <c r="E501" i="1"/>
  <c r="E502" i="1"/>
  <c r="E503" i="1"/>
  <c r="E504" i="1"/>
  <c r="E505" i="1"/>
  <c r="E506" i="1"/>
  <c r="E507" i="1"/>
  <c r="E508" i="1"/>
  <c r="E509" i="1"/>
  <c r="E510" i="1"/>
  <c r="E511" i="1"/>
  <c r="E512" i="1"/>
  <c r="E513" i="1"/>
  <c r="E514" i="1"/>
  <c r="E515" i="1"/>
  <c r="E516" i="1"/>
  <c r="E517" i="1"/>
  <c r="E518" i="1"/>
  <c r="E519" i="1"/>
  <c r="E520" i="1"/>
  <c r="E521" i="1"/>
  <c r="E522" i="1"/>
  <c r="E523" i="1"/>
  <c r="E524" i="1"/>
  <c r="E525" i="1"/>
  <c r="E526" i="1"/>
  <c r="E527" i="1"/>
  <c r="E528" i="1"/>
  <c r="E529" i="1"/>
  <c r="E530" i="1"/>
  <c r="E531" i="1"/>
  <c r="E532" i="1"/>
  <c r="E533" i="1"/>
  <c r="E534" i="1"/>
  <c r="E535" i="1"/>
  <c r="E536" i="1"/>
  <c r="E537" i="1"/>
  <c r="E538" i="1"/>
  <c r="E539" i="1"/>
  <c r="E540" i="1"/>
  <c r="E541" i="1"/>
  <c r="E542" i="1"/>
  <c r="E543" i="1"/>
  <c r="E544" i="1"/>
  <c r="E545" i="1"/>
  <c r="E546" i="1"/>
  <c r="E547" i="1"/>
  <c r="E548" i="1"/>
  <c r="E549" i="1"/>
  <c r="E550" i="1"/>
  <c r="E551" i="1"/>
  <c r="E552" i="1"/>
  <c r="E553" i="1"/>
  <c r="E554" i="1"/>
  <c r="E555" i="1"/>
  <c r="E556" i="1"/>
  <c r="E557" i="1"/>
  <c r="E558" i="1"/>
  <c r="E559" i="1"/>
  <c r="E560" i="1"/>
  <c r="E561" i="1"/>
  <c r="E562" i="1"/>
  <c r="E563" i="1"/>
  <c r="E564" i="1"/>
  <c r="E565" i="1"/>
  <c r="E566" i="1"/>
  <c r="E567" i="1"/>
  <c r="E568" i="1"/>
  <c r="E569" i="1"/>
  <c r="E570" i="1"/>
  <c r="E571" i="1"/>
  <c r="E572" i="1"/>
  <c r="E573" i="1"/>
  <c r="E574" i="1"/>
  <c r="E575" i="1"/>
  <c r="E576" i="1"/>
  <c r="E577" i="1"/>
  <c r="E578" i="1"/>
  <c r="E579" i="1"/>
  <c r="E580" i="1"/>
  <c r="E581" i="1"/>
  <c r="E582" i="1"/>
  <c r="E583" i="1"/>
  <c r="E584" i="1"/>
  <c r="E585" i="1"/>
  <c r="E586" i="1"/>
  <c r="E587" i="1"/>
  <c r="E588" i="1"/>
  <c r="E589" i="1"/>
  <c r="E590" i="1"/>
  <c r="E591" i="1"/>
  <c r="E592" i="1"/>
  <c r="E593" i="1"/>
  <c r="E594" i="1"/>
  <c r="E595" i="1"/>
  <c r="E596" i="1"/>
  <c r="E597" i="1"/>
  <c r="E598" i="1"/>
  <c r="E599" i="1"/>
  <c r="E600" i="1"/>
  <c r="E601" i="1"/>
  <c r="E602" i="1"/>
  <c r="E603" i="1"/>
  <c r="E604" i="1"/>
  <c r="E605" i="1"/>
  <c r="E606" i="1"/>
  <c r="E607" i="1"/>
  <c r="E608" i="1"/>
  <c r="E609" i="1"/>
  <c r="E610" i="1"/>
  <c r="E611" i="1"/>
  <c r="E612" i="1"/>
  <c r="E613" i="1"/>
  <c r="E614" i="1"/>
  <c r="E615" i="1"/>
  <c r="E616" i="1"/>
  <c r="E617" i="1"/>
  <c r="E618" i="1"/>
  <c r="E619" i="1"/>
  <c r="E620" i="1"/>
  <c r="E621" i="1"/>
  <c r="E622" i="1"/>
  <c r="E623" i="1"/>
  <c r="E624" i="1"/>
  <c r="E625" i="1"/>
  <c r="E626" i="1"/>
  <c r="E627" i="1"/>
  <c r="E628" i="1"/>
  <c r="E629" i="1"/>
  <c r="E630" i="1"/>
  <c r="E631" i="1"/>
  <c r="E632" i="1"/>
  <c r="E633" i="1"/>
  <c r="E634" i="1"/>
  <c r="E635" i="1"/>
  <c r="E636" i="1"/>
  <c r="E637" i="1"/>
  <c r="E638" i="1"/>
  <c r="E639" i="1"/>
  <c r="E640" i="1"/>
  <c r="E641" i="1"/>
  <c r="E642" i="1"/>
  <c r="E643" i="1"/>
  <c r="E644" i="1"/>
  <c r="E645" i="1"/>
  <c r="E646" i="1"/>
  <c r="E647" i="1"/>
  <c r="E648" i="1"/>
  <c r="E649" i="1"/>
  <c r="E650" i="1"/>
  <c r="E651" i="1"/>
  <c r="E652" i="1"/>
  <c r="E653" i="1"/>
  <c r="E654" i="1"/>
  <c r="E655" i="1"/>
  <c r="E656" i="1"/>
  <c r="E657" i="1"/>
  <c r="E658" i="1"/>
  <c r="E659" i="1"/>
  <c r="E660" i="1"/>
  <c r="E661" i="1"/>
  <c r="E662" i="1"/>
  <c r="E663" i="1"/>
  <c r="E664" i="1"/>
  <c r="E665" i="1"/>
  <c r="E666" i="1"/>
  <c r="E667" i="1"/>
  <c r="E668" i="1"/>
  <c r="E669" i="1"/>
  <c r="E670" i="1"/>
  <c r="E671" i="1"/>
  <c r="E672" i="1"/>
  <c r="E673" i="1"/>
  <c r="E674" i="1"/>
  <c r="E675" i="1"/>
  <c r="E676" i="1"/>
  <c r="E677" i="1"/>
  <c r="E678" i="1"/>
  <c r="E679" i="1"/>
  <c r="E680" i="1"/>
  <c r="E681" i="1"/>
  <c r="E682" i="1"/>
  <c r="E683" i="1"/>
  <c r="E684" i="1"/>
  <c r="E685" i="1"/>
  <c r="E686" i="1"/>
  <c r="E687" i="1"/>
  <c r="E688" i="1"/>
  <c r="E689" i="1"/>
  <c r="E690" i="1"/>
  <c r="E691" i="1"/>
  <c r="E692" i="1"/>
  <c r="E693" i="1"/>
  <c r="E694" i="1"/>
  <c r="E695" i="1"/>
  <c r="E696" i="1"/>
  <c r="E697" i="1"/>
  <c r="E698" i="1"/>
  <c r="E699" i="1"/>
  <c r="E700" i="1"/>
  <c r="E701" i="1"/>
  <c r="E702" i="1"/>
  <c r="E703" i="1"/>
  <c r="E704" i="1"/>
  <c r="E705" i="1"/>
  <c r="E706" i="1"/>
  <c r="E707" i="1"/>
  <c r="E708" i="1"/>
  <c r="E709" i="1"/>
  <c r="E710" i="1"/>
  <c r="E711" i="1"/>
  <c r="E712" i="1"/>
  <c r="E713" i="1"/>
  <c r="E714" i="1"/>
  <c r="E715" i="1"/>
  <c r="E716" i="1"/>
  <c r="E717" i="1"/>
  <c r="E718" i="1"/>
  <c r="E719" i="1"/>
  <c r="E720" i="1"/>
  <c r="E721" i="1"/>
  <c r="E722" i="1"/>
  <c r="E723" i="1"/>
  <c r="E724" i="1"/>
  <c r="E725" i="1"/>
  <c r="E726" i="1"/>
  <c r="E727" i="1"/>
  <c r="E728" i="1"/>
  <c r="E729" i="1"/>
  <c r="E730" i="1"/>
  <c r="E731" i="1"/>
  <c r="E732" i="1"/>
  <c r="E733" i="1"/>
  <c r="E734" i="1"/>
  <c r="E735" i="1"/>
  <c r="E736" i="1"/>
  <c r="E737" i="1"/>
  <c r="E738" i="1"/>
  <c r="E739" i="1"/>
  <c r="E740" i="1"/>
  <c r="E741" i="1"/>
  <c r="E742" i="1"/>
  <c r="E743" i="1"/>
  <c r="E744" i="1"/>
  <c r="E745" i="1"/>
  <c r="E746" i="1"/>
  <c r="E747" i="1"/>
  <c r="E748" i="1"/>
  <c r="E749" i="1"/>
  <c r="E750" i="1"/>
  <c r="E751" i="1"/>
  <c r="E752" i="1"/>
  <c r="E753" i="1"/>
  <c r="E754" i="1"/>
  <c r="E755" i="1"/>
  <c r="E756" i="1"/>
  <c r="E757" i="1"/>
  <c r="E758" i="1"/>
  <c r="E759" i="1"/>
  <c r="E760" i="1"/>
  <c r="E761" i="1"/>
  <c r="E762" i="1"/>
  <c r="E763" i="1"/>
  <c r="E764" i="1"/>
  <c r="E765" i="1"/>
  <c r="E766" i="1"/>
  <c r="E767" i="1"/>
  <c r="E768" i="1"/>
  <c r="E769" i="1"/>
  <c r="E770" i="1"/>
  <c r="E771" i="1"/>
  <c r="E772" i="1"/>
  <c r="E773" i="1"/>
  <c r="E774" i="1"/>
  <c r="E775" i="1"/>
  <c r="E776" i="1"/>
  <c r="E777" i="1"/>
  <c r="E778" i="1"/>
  <c r="E779" i="1"/>
  <c r="E780" i="1"/>
  <c r="E781" i="1"/>
  <c r="E782" i="1"/>
  <c r="E783" i="1"/>
  <c r="E784" i="1"/>
  <c r="E785" i="1"/>
  <c r="E786" i="1"/>
  <c r="E787" i="1"/>
  <c r="E788" i="1"/>
  <c r="E789" i="1"/>
  <c r="E790" i="1"/>
  <c r="E791" i="1"/>
  <c r="E792" i="1"/>
  <c r="E793" i="1"/>
  <c r="E794" i="1"/>
  <c r="E795" i="1"/>
  <c r="E796" i="1"/>
  <c r="E797" i="1"/>
  <c r="E798" i="1"/>
  <c r="E799" i="1"/>
  <c r="E800" i="1"/>
  <c r="E801" i="1"/>
  <c r="E802" i="1"/>
  <c r="E803" i="1"/>
  <c r="E804" i="1"/>
  <c r="E805" i="1"/>
  <c r="E806" i="1"/>
  <c r="E807" i="1"/>
  <c r="E808" i="1"/>
  <c r="E809" i="1"/>
  <c r="E810" i="1"/>
  <c r="E811" i="1"/>
  <c r="E812" i="1"/>
  <c r="E813" i="1"/>
  <c r="E814" i="1"/>
  <c r="E815" i="1"/>
  <c r="E816" i="1"/>
  <c r="E817" i="1"/>
  <c r="E818" i="1"/>
  <c r="E819" i="1"/>
  <c r="E820" i="1"/>
  <c r="E821" i="1"/>
  <c r="E822" i="1"/>
  <c r="E823" i="1"/>
  <c r="E824" i="1"/>
  <c r="E825" i="1"/>
  <c r="E826" i="1"/>
  <c r="E827" i="1"/>
  <c r="E828" i="1"/>
  <c r="E829" i="1"/>
  <c r="E830" i="1"/>
  <c r="E831" i="1"/>
  <c r="E832" i="1"/>
  <c r="E833" i="1"/>
  <c r="E834" i="1"/>
  <c r="E835" i="1"/>
  <c r="E836" i="1"/>
  <c r="E837" i="1"/>
  <c r="E838" i="1"/>
  <c r="E839" i="1"/>
  <c r="E840" i="1"/>
  <c r="E841" i="1"/>
  <c r="E842" i="1"/>
  <c r="E843" i="1"/>
  <c r="E844" i="1"/>
  <c r="E845" i="1"/>
  <c r="E846" i="1"/>
  <c r="E847" i="1"/>
  <c r="E848" i="1"/>
  <c r="E849" i="1"/>
  <c r="E850" i="1"/>
  <c r="E851" i="1"/>
  <c r="E852" i="1"/>
  <c r="E853" i="1"/>
  <c r="E854" i="1"/>
  <c r="E855" i="1"/>
  <c r="E856" i="1"/>
  <c r="E857" i="1"/>
  <c r="E858" i="1"/>
  <c r="E859" i="1"/>
  <c r="E860" i="1"/>
  <c r="E861" i="1"/>
  <c r="E862" i="1"/>
  <c r="E863" i="1"/>
  <c r="E864" i="1"/>
  <c r="E865" i="1"/>
  <c r="E866" i="1"/>
  <c r="E867" i="1"/>
  <c r="E868" i="1"/>
  <c r="E869" i="1"/>
  <c r="E870" i="1"/>
  <c r="E871" i="1"/>
  <c r="E872" i="1"/>
  <c r="E873" i="1"/>
  <c r="E874" i="1"/>
  <c r="E875" i="1"/>
  <c r="E876" i="1"/>
  <c r="E877" i="1"/>
  <c r="E878" i="1"/>
  <c r="E879" i="1"/>
  <c r="E880" i="1"/>
  <c r="E881" i="1"/>
  <c r="E882" i="1"/>
  <c r="E883" i="1"/>
  <c r="E884" i="1"/>
  <c r="E885" i="1"/>
  <c r="E886" i="1"/>
  <c r="E887" i="1"/>
  <c r="E888" i="1"/>
  <c r="E889" i="1"/>
  <c r="E890" i="1"/>
  <c r="E891" i="1"/>
  <c r="E892" i="1"/>
  <c r="E893" i="1"/>
  <c r="E894" i="1"/>
  <c r="E895" i="1"/>
  <c r="E896" i="1"/>
  <c r="E897" i="1"/>
  <c r="E898" i="1"/>
  <c r="E899" i="1"/>
  <c r="E900" i="1"/>
  <c r="E901" i="1"/>
  <c r="E902" i="1"/>
  <c r="E903" i="1"/>
  <c r="E904" i="1"/>
  <c r="E905" i="1"/>
  <c r="E906" i="1"/>
  <c r="E907" i="1"/>
  <c r="E908" i="1"/>
  <c r="E909" i="1"/>
  <c r="E910" i="1"/>
  <c r="E911" i="1"/>
  <c r="E912" i="1"/>
  <c r="E913" i="1"/>
  <c r="E914" i="1"/>
  <c r="E915" i="1"/>
  <c r="E916" i="1"/>
  <c r="E917" i="1"/>
  <c r="E918" i="1"/>
  <c r="E919" i="1"/>
  <c r="E920" i="1"/>
  <c r="E921" i="1"/>
  <c r="E922" i="1"/>
  <c r="E923" i="1"/>
  <c r="E924" i="1"/>
  <c r="E925" i="1"/>
  <c r="E926" i="1"/>
  <c r="E927" i="1"/>
  <c r="E928" i="1"/>
  <c r="E929" i="1"/>
  <c r="E930" i="1"/>
  <c r="E931" i="1"/>
  <c r="E932" i="1"/>
  <c r="E933" i="1"/>
  <c r="E934" i="1"/>
  <c r="E935" i="1"/>
  <c r="E936" i="1"/>
  <c r="E937" i="1"/>
  <c r="E938" i="1"/>
  <c r="E939" i="1"/>
  <c r="E940" i="1"/>
  <c r="E941" i="1"/>
  <c r="E942" i="1"/>
  <c r="E943" i="1"/>
  <c r="E944" i="1"/>
  <c r="E945" i="1"/>
  <c r="E946" i="1"/>
  <c r="E947" i="1"/>
  <c r="E948" i="1"/>
  <c r="E949" i="1"/>
  <c r="E950" i="1"/>
  <c r="E951" i="1"/>
  <c r="E952" i="1"/>
  <c r="E953" i="1"/>
  <c r="E954" i="1"/>
  <c r="E955" i="1"/>
  <c r="E956" i="1"/>
  <c r="E957" i="1"/>
  <c r="E958" i="1"/>
  <c r="E959" i="1"/>
  <c r="E960" i="1"/>
  <c r="E961" i="1"/>
  <c r="E962" i="1"/>
  <c r="E963" i="1"/>
  <c r="E964" i="1"/>
  <c r="E965" i="1"/>
  <c r="E966" i="1"/>
  <c r="E967" i="1"/>
  <c r="E968" i="1"/>
  <c r="E969" i="1"/>
  <c r="E970" i="1"/>
  <c r="E971" i="1"/>
  <c r="E972" i="1"/>
  <c r="E973" i="1"/>
  <c r="E974" i="1"/>
  <c r="E975" i="1"/>
  <c r="E976" i="1"/>
  <c r="E977" i="1"/>
  <c r="E978" i="1"/>
  <c r="E979" i="1"/>
  <c r="E980" i="1"/>
  <c r="E981" i="1"/>
  <c r="E982" i="1"/>
  <c r="E983" i="1"/>
  <c r="E984" i="1"/>
  <c r="E985" i="1"/>
  <c r="E986" i="1"/>
  <c r="E987" i="1"/>
  <c r="E988" i="1"/>
  <c r="E989" i="1"/>
  <c r="E990" i="1"/>
  <c r="E991" i="1"/>
  <c r="E992" i="1"/>
  <c r="E993" i="1"/>
  <c r="E994" i="1"/>
  <c r="E995" i="1"/>
  <c r="E996" i="1"/>
  <c r="E997" i="1"/>
  <c r="E998" i="1"/>
  <c r="E999" i="1"/>
  <c r="E1000" i="1"/>
  <c r="E1001" i="1"/>
  <c r="E1002" i="1"/>
  <c r="E1003" i="1"/>
  <c r="E1004" i="1"/>
  <c r="E1005" i="1"/>
  <c r="E1006" i="1"/>
  <c r="E1007" i="1"/>
  <c r="E1008" i="1"/>
  <c r="E1009" i="1"/>
  <c r="E1010" i="1"/>
  <c r="E1011" i="1"/>
  <c r="E1012" i="1"/>
  <c r="E1013" i="1"/>
  <c r="E1014" i="1"/>
  <c r="E1015" i="1"/>
  <c r="E1016" i="1"/>
  <c r="E1017" i="1"/>
  <c r="E1018" i="1"/>
  <c r="E1019" i="1"/>
  <c r="E1020" i="1"/>
  <c r="E1021" i="1"/>
  <c r="E1022" i="1"/>
  <c r="E1023" i="1"/>
  <c r="E1024" i="1"/>
  <c r="E1025" i="1"/>
  <c r="E1026" i="1"/>
  <c r="E1027" i="1"/>
  <c r="E1028" i="1"/>
  <c r="E1029" i="1"/>
  <c r="E1030" i="1"/>
  <c r="E1031" i="1"/>
  <c r="E1032" i="1"/>
  <c r="E1033" i="1"/>
  <c r="E1034" i="1"/>
  <c r="E1035" i="1"/>
  <c r="E1036" i="1"/>
  <c r="E1037" i="1"/>
  <c r="E1038" i="1"/>
  <c r="E1039" i="1"/>
  <c r="E1040" i="1"/>
  <c r="E1041" i="1"/>
  <c r="E1042" i="1"/>
  <c r="E1043" i="1"/>
  <c r="E1044" i="1"/>
  <c r="E1045" i="1"/>
  <c r="E1046" i="1"/>
  <c r="E1047" i="1"/>
  <c r="E1048" i="1"/>
  <c r="E1049" i="1"/>
  <c r="E1050" i="1"/>
  <c r="E1051" i="1"/>
  <c r="E1052" i="1"/>
  <c r="E1053" i="1"/>
  <c r="E1054" i="1"/>
  <c r="E1055" i="1"/>
  <c r="E1056" i="1"/>
  <c r="E1057" i="1"/>
  <c r="E1058" i="1"/>
  <c r="E1059" i="1"/>
  <c r="E1060" i="1"/>
  <c r="E1061" i="1"/>
  <c r="E1062" i="1"/>
  <c r="E1063" i="1"/>
  <c r="E1064" i="1"/>
  <c r="E1065" i="1"/>
  <c r="E1066" i="1"/>
  <c r="E1067" i="1"/>
  <c r="E1068" i="1"/>
  <c r="E1069" i="1"/>
  <c r="E1070" i="1"/>
  <c r="E1071" i="1"/>
  <c r="E1072" i="1"/>
  <c r="E1073" i="1"/>
  <c r="E1074" i="1"/>
  <c r="E1075" i="1"/>
  <c r="E1076" i="1"/>
  <c r="E1077" i="1"/>
  <c r="E1078" i="1"/>
  <c r="E1079" i="1"/>
  <c r="E1080" i="1"/>
  <c r="E1081" i="1"/>
  <c r="E1082" i="1"/>
  <c r="E1083" i="1"/>
  <c r="E1084" i="1"/>
  <c r="E1085" i="1"/>
  <c r="E1086" i="1"/>
  <c r="E1087" i="1"/>
  <c r="E1088" i="1"/>
  <c r="E1089" i="1"/>
  <c r="E1090" i="1"/>
  <c r="E1091" i="1"/>
  <c r="E1092" i="1"/>
  <c r="E1093" i="1"/>
  <c r="E1094" i="1"/>
  <c r="E1095" i="1"/>
  <c r="E1096" i="1"/>
  <c r="E1097" i="1"/>
  <c r="E1098" i="1"/>
  <c r="E1099" i="1"/>
  <c r="E1100" i="1"/>
  <c r="E1101" i="1"/>
  <c r="E1102" i="1"/>
  <c r="E1103" i="1"/>
  <c r="E1104" i="1"/>
  <c r="E1105" i="1"/>
  <c r="E1106" i="1"/>
  <c r="E1107" i="1"/>
  <c r="E1108" i="1"/>
  <c r="E1109" i="1"/>
  <c r="E1110" i="1"/>
  <c r="E1111" i="1"/>
  <c r="E1112" i="1"/>
  <c r="E1113" i="1"/>
  <c r="E1114" i="1"/>
  <c r="E1115" i="1"/>
  <c r="E1116" i="1"/>
  <c r="E1117" i="1"/>
  <c r="E1118" i="1"/>
  <c r="E1119" i="1"/>
  <c r="E1120" i="1"/>
  <c r="E1121" i="1"/>
  <c r="E1122" i="1"/>
  <c r="E1123" i="1"/>
  <c r="E1124" i="1"/>
  <c r="E1125" i="1"/>
  <c r="E1126" i="1"/>
  <c r="E1127" i="1"/>
  <c r="E1128" i="1"/>
  <c r="E1129" i="1"/>
  <c r="E1130" i="1"/>
  <c r="E1131" i="1"/>
  <c r="E1132" i="1"/>
  <c r="E1133" i="1"/>
  <c r="E1134" i="1"/>
  <c r="E1135" i="1"/>
  <c r="E1136" i="1"/>
  <c r="E1137" i="1"/>
  <c r="E1138" i="1"/>
  <c r="E1139" i="1"/>
  <c r="E1140" i="1"/>
  <c r="E1141" i="1"/>
  <c r="E1142" i="1"/>
  <c r="E1143" i="1"/>
  <c r="E1144" i="1"/>
  <c r="E1145" i="1"/>
  <c r="E1146" i="1"/>
  <c r="E1147" i="1"/>
  <c r="E1148" i="1"/>
  <c r="E1149" i="1"/>
  <c r="E1150" i="1"/>
  <c r="E1151" i="1"/>
  <c r="E1152" i="1"/>
  <c r="E1153" i="1"/>
  <c r="E1154" i="1"/>
  <c r="E1155" i="1"/>
  <c r="E1156" i="1"/>
  <c r="E1157" i="1"/>
  <c r="E1158" i="1"/>
  <c r="E1159" i="1"/>
  <c r="E1160" i="1"/>
  <c r="E1161" i="1"/>
  <c r="E1162" i="1"/>
  <c r="E1163" i="1"/>
  <c r="E1164" i="1"/>
  <c r="E1165" i="1"/>
  <c r="E1166" i="1"/>
  <c r="E1167" i="1"/>
  <c r="E1168" i="1"/>
  <c r="E1169" i="1"/>
  <c r="E1170" i="1"/>
  <c r="E1171" i="1"/>
  <c r="E1172" i="1"/>
  <c r="E1173" i="1"/>
  <c r="E1174" i="1"/>
  <c r="E1175" i="1"/>
  <c r="E1176" i="1"/>
  <c r="E1177" i="1"/>
  <c r="E1178" i="1"/>
  <c r="E1179" i="1"/>
  <c r="E1180" i="1"/>
  <c r="E1181" i="1"/>
  <c r="E1182" i="1"/>
  <c r="E1183" i="1"/>
  <c r="E1184" i="1"/>
  <c r="E1185" i="1"/>
  <c r="E1186" i="1"/>
  <c r="E1187" i="1"/>
  <c r="E1188" i="1"/>
  <c r="E1189" i="1"/>
  <c r="E1190" i="1"/>
  <c r="E1191" i="1"/>
  <c r="E1192" i="1"/>
  <c r="E1193" i="1"/>
  <c r="E1194" i="1"/>
  <c r="E1195" i="1"/>
  <c r="E1196" i="1"/>
  <c r="E1197" i="1"/>
  <c r="E1198" i="1"/>
  <c r="E1199" i="1"/>
  <c r="E1200" i="1"/>
  <c r="E1201" i="1"/>
  <c r="E1202" i="1"/>
  <c r="E1203" i="1"/>
  <c r="E1204" i="1"/>
  <c r="E1205" i="1"/>
  <c r="E1206" i="1"/>
  <c r="E1207" i="1"/>
  <c r="E1208" i="1"/>
  <c r="E1209" i="1"/>
  <c r="E1210" i="1"/>
  <c r="E1211" i="1"/>
  <c r="E1212" i="1"/>
  <c r="E1213" i="1"/>
  <c r="E1214" i="1"/>
  <c r="E1215" i="1"/>
  <c r="E1216" i="1"/>
  <c r="E1217" i="1"/>
  <c r="E1218" i="1"/>
  <c r="E1219" i="1"/>
  <c r="E1220" i="1"/>
  <c r="E1221" i="1"/>
  <c r="E1222" i="1"/>
  <c r="E1223" i="1"/>
  <c r="E1224" i="1"/>
  <c r="E1225" i="1"/>
  <c r="E1226" i="1"/>
  <c r="E1227" i="1"/>
  <c r="E1228" i="1"/>
  <c r="E1229" i="1"/>
  <c r="E1230" i="1"/>
  <c r="E1231" i="1"/>
  <c r="E1232" i="1"/>
  <c r="E1233" i="1"/>
  <c r="E1234" i="1"/>
  <c r="E1235" i="1"/>
  <c r="E1236" i="1"/>
  <c r="E1237" i="1"/>
  <c r="E1238" i="1"/>
  <c r="E1239" i="1"/>
  <c r="E1240" i="1"/>
  <c r="E1241" i="1"/>
  <c r="E1242" i="1"/>
  <c r="E1243" i="1"/>
  <c r="E1244" i="1"/>
  <c r="E1245" i="1"/>
  <c r="E1246" i="1"/>
  <c r="E1247" i="1"/>
  <c r="E1248" i="1"/>
  <c r="E1249" i="1"/>
  <c r="E1250" i="1"/>
  <c r="E1251" i="1"/>
  <c r="E1252" i="1"/>
  <c r="E1253" i="1"/>
  <c r="E1254" i="1"/>
  <c r="E1255" i="1"/>
  <c r="E1256" i="1"/>
  <c r="E1257" i="1"/>
  <c r="E1258" i="1"/>
  <c r="E1259" i="1"/>
  <c r="E1260" i="1"/>
  <c r="E1261" i="1"/>
  <c r="E1262" i="1"/>
  <c r="E1263" i="1"/>
  <c r="E1264" i="1"/>
  <c r="E1265" i="1"/>
  <c r="E1266" i="1"/>
  <c r="E1267" i="1"/>
  <c r="E1268" i="1"/>
  <c r="E1269" i="1"/>
  <c r="E1270" i="1"/>
  <c r="E1271" i="1"/>
  <c r="E1272" i="1"/>
  <c r="E1273" i="1"/>
  <c r="E1274" i="1"/>
  <c r="E1275" i="1"/>
  <c r="E1276" i="1"/>
  <c r="E1277" i="1"/>
  <c r="E1278" i="1"/>
  <c r="E1279" i="1"/>
  <c r="E1280" i="1"/>
  <c r="E1281" i="1"/>
  <c r="E1282" i="1"/>
  <c r="E1283" i="1"/>
  <c r="E1284" i="1"/>
  <c r="E1285" i="1"/>
  <c r="E1286" i="1"/>
  <c r="E1287" i="1"/>
  <c r="E1288" i="1"/>
  <c r="E1289" i="1"/>
  <c r="E1290" i="1"/>
  <c r="E1291" i="1"/>
  <c r="E1292" i="1"/>
  <c r="E1293" i="1"/>
  <c r="E1294" i="1"/>
  <c r="E1295" i="1"/>
  <c r="E1296" i="1"/>
  <c r="E1297" i="1"/>
  <c r="E1298" i="1"/>
  <c r="E1299" i="1"/>
  <c r="E1300" i="1"/>
  <c r="E1301" i="1"/>
  <c r="E1302" i="1"/>
  <c r="E1303" i="1"/>
  <c r="E1304" i="1"/>
  <c r="E1305" i="1"/>
  <c r="E1306" i="1"/>
  <c r="E1307" i="1"/>
  <c r="E1308" i="1"/>
  <c r="E1309" i="1"/>
  <c r="E1310" i="1"/>
  <c r="E1311" i="1"/>
  <c r="E1312" i="1"/>
  <c r="E1313" i="1"/>
  <c r="E1314" i="1"/>
  <c r="E1315" i="1"/>
  <c r="E1316" i="1"/>
  <c r="E1317" i="1"/>
  <c r="E1318" i="1"/>
  <c r="E1319" i="1"/>
  <c r="E1320" i="1"/>
  <c r="E1321" i="1"/>
  <c r="E1322" i="1"/>
  <c r="E1323" i="1"/>
  <c r="E1324" i="1"/>
  <c r="E1325" i="1"/>
  <c r="E1326" i="1"/>
  <c r="E1327" i="1"/>
  <c r="E1328" i="1"/>
  <c r="E1329" i="1"/>
  <c r="E1330" i="1"/>
  <c r="E1331" i="1"/>
  <c r="E1332" i="1"/>
  <c r="E1333" i="1"/>
  <c r="E1334" i="1"/>
  <c r="E1335" i="1"/>
  <c r="E1336" i="1"/>
  <c r="E1337" i="1"/>
  <c r="E1338" i="1"/>
  <c r="E1339" i="1"/>
  <c r="E1340" i="1"/>
  <c r="E1341" i="1"/>
  <c r="E1342" i="1"/>
  <c r="E1343" i="1"/>
  <c r="E1344" i="1"/>
  <c r="E1345" i="1"/>
  <c r="E1346" i="1"/>
  <c r="E1347" i="1"/>
  <c r="E1348" i="1"/>
  <c r="E1349" i="1"/>
  <c r="E1350" i="1"/>
  <c r="E1351" i="1"/>
  <c r="E1352" i="1"/>
  <c r="E1353" i="1"/>
  <c r="E1354" i="1"/>
  <c r="E1355" i="1"/>
  <c r="E1356" i="1"/>
  <c r="E1357" i="1"/>
  <c r="E1358" i="1"/>
  <c r="E1359" i="1"/>
  <c r="E1360" i="1"/>
  <c r="E1361" i="1"/>
  <c r="E1362" i="1"/>
  <c r="E1363" i="1"/>
  <c r="E1364" i="1"/>
  <c r="E1365" i="1"/>
  <c r="E1366" i="1"/>
  <c r="E1367" i="1"/>
  <c r="E1368" i="1"/>
  <c r="E1369" i="1"/>
  <c r="E1370" i="1"/>
  <c r="E1371" i="1"/>
  <c r="E1372" i="1"/>
  <c r="E1373" i="1"/>
  <c r="E1374" i="1"/>
  <c r="E1375" i="1"/>
  <c r="E1376" i="1"/>
  <c r="E1377" i="1"/>
  <c r="E1378" i="1"/>
  <c r="E1379" i="1"/>
  <c r="E1380" i="1"/>
  <c r="E1381" i="1"/>
  <c r="E1382" i="1"/>
  <c r="E1383" i="1"/>
  <c r="E1384" i="1"/>
  <c r="E1385" i="1"/>
  <c r="E1386" i="1"/>
  <c r="E1387" i="1"/>
  <c r="E1388" i="1"/>
  <c r="E1389" i="1"/>
  <c r="E1390" i="1"/>
  <c r="E1391" i="1"/>
  <c r="E1392" i="1"/>
  <c r="E1393" i="1"/>
  <c r="E1394" i="1"/>
  <c r="E1395" i="1"/>
  <c r="E1396" i="1"/>
  <c r="E1397" i="1"/>
  <c r="E1398" i="1"/>
  <c r="E1399" i="1"/>
  <c r="E1400" i="1"/>
  <c r="E1401" i="1"/>
  <c r="E1402" i="1"/>
  <c r="E1403" i="1"/>
  <c r="E1404" i="1"/>
  <c r="E1405" i="1"/>
  <c r="E1406" i="1"/>
  <c r="E1407" i="1"/>
  <c r="E1408" i="1"/>
  <c r="E1409" i="1"/>
  <c r="E1410" i="1"/>
  <c r="E1411" i="1"/>
  <c r="E1412" i="1"/>
  <c r="E1413" i="1"/>
  <c r="E1414" i="1"/>
  <c r="E1415" i="1"/>
  <c r="E1416" i="1"/>
  <c r="E1417" i="1"/>
  <c r="E1418" i="1"/>
  <c r="E1419" i="1"/>
  <c r="E1420" i="1"/>
  <c r="E1421" i="1"/>
  <c r="E1422" i="1"/>
  <c r="E1423" i="1"/>
  <c r="E1424" i="1"/>
  <c r="E1425" i="1"/>
  <c r="E1426" i="1"/>
  <c r="E1427" i="1"/>
  <c r="E1428" i="1"/>
  <c r="E1429" i="1"/>
  <c r="E1430" i="1"/>
  <c r="E1431" i="1"/>
  <c r="E1432" i="1"/>
  <c r="E1433" i="1"/>
  <c r="E1434" i="1"/>
  <c r="E1435" i="1"/>
  <c r="E1436" i="1"/>
  <c r="E1437" i="1"/>
  <c r="E1438" i="1"/>
  <c r="E1439" i="1"/>
  <c r="E1440" i="1"/>
  <c r="E1441" i="1"/>
  <c r="E1442" i="1"/>
  <c r="E1443" i="1"/>
  <c r="E1444" i="1"/>
  <c r="E1445" i="1"/>
  <c r="E1446" i="1"/>
  <c r="E1447" i="1"/>
  <c r="E1448" i="1"/>
  <c r="E1449" i="1"/>
  <c r="E1450" i="1"/>
  <c r="E1451" i="1"/>
  <c r="E1452" i="1"/>
  <c r="E1453" i="1"/>
  <c r="E1454" i="1"/>
  <c r="E1455" i="1"/>
  <c r="E1456" i="1"/>
  <c r="E1457" i="1"/>
  <c r="E1458" i="1"/>
  <c r="E1459" i="1"/>
  <c r="E1460" i="1"/>
  <c r="E1461" i="1"/>
  <c r="E1462" i="1"/>
  <c r="E1463" i="1"/>
  <c r="E1464" i="1"/>
  <c r="E1465" i="1"/>
  <c r="E1466" i="1"/>
  <c r="E1467" i="1"/>
  <c r="E1468" i="1"/>
  <c r="E1469" i="1"/>
  <c r="E1470" i="1"/>
  <c r="E1471" i="1"/>
  <c r="E1472" i="1"/>
  <c r="E1473" i="1"/>
  <c r="E1474" i="1"/>
  <c r="E1475" i="1"/>
  <c r="E1476" i="1"/>
  <c r="E1477" i="1"/>
  <c r="E1478" i="1"/>
  <c r="E1479" i="1"/>
  <c r="E1480" i="1"/>
  <c r="E1481" i="1"/>
  <c r="E1482" i="1"/>
  <c r="E1483" i="1"/>
  <c r="E1484" i="1"/>
  <c r="E1485" i="1"/>
  <c r="E1486" i="1"/>
  <c r="E1487" i="1"/>
  <c r="E1488" i="1"/>
  <c r="E1489" i="1"/>
  <c r="E1490" i="1"/>
  <c r="E1491" i="1"/>
  <c r="E1492" i="1"/>
  <c r="E1493" i="1"/>
  <c r="E1494" i="1"/>
  <c r="E1495" i="1"/>
  <c r="E1496" i="1"/>
  <c r="E1497" i="1"/>
  <c r="E1498" i="1"/>
  <c r="E1499" i="1"/>
  <c r="E1500" i="1"/>
  <c r="E1501" i="1"/>
  <c r="E1502" i="1"/>
  <c r="E1503" i="1"/>
  <c r="E1504" i="1"/>
  <c r="E1505" i="1"/>
  <c r="E1506" i="1"/>
  <c r="E1507" i="1"/>
  <c r="E1508" i="1"/>
  <c r="E1509" i="1"/>
  <c r="E1510" i="1"/>
  <c r="E1511" i="1"/>
  <c r="E1512" i="1"/>
  <c r="E1513" i="1"/>
  <c r="E1514" i="1"/>
  <c r="E1515" i="1"/>
  <c r="E1516" i="1"/>
  <c r="E1517" i="1"/>
  <c r="E1518" i="1"/>
  <c r="E1519" i="1"/>
  <c r="E1520" i="1"/>
  <c r="E1521" i="1"/>
  <c r="E1522" i="1"/>
  <c r="E1523" i="1"/>
  <c r="E1524" i="1"/>
  <c r="E1525" i="1"/>
  <c r="E1526" i="1"/>
  <c r="E1527" i="1"/>
  <c r="E1528" i="1"/>
  <c r="E1529" i="1"/>
  <c r="E1530" i="1"/>
  <c r="E1531" i="1"/>
  <c r="E1532" i="1"/>
  <c r="E1533" i="1"/>
  <c r="E1534" i="1"/>
  <c r="E1535" i="1"/>
  <c r="E1536" i="1"/>
  <c r="E1537" i="1"/>
  <c r="E1538" i="1"/>
  <c r="E1539" i="1"/>
  <c r="E1540" i="1"/>
  <c r="E1541" i="1"/>
  <c r="E1542" i="1"/>
  <c r="E1543" i="1"/>
  <c r="E1544" i="1"/>
  <c r="E1545" i="1"/>
  <c r="E1546" i="1"/>
  <c r="E1547" i="1"/>
  <c r="E1548" i="1"/>
  <c r="E1549" i="1"/>
  <c r="E1550" i="1"/>
  <c r="E1551" i="1"/>
  <c r="E1552" i="1"/>
  <c r="E1553" i="1"/>
  <c r="E1554" i="1"/>
  <c r="E1555" i="1"/>
  <c r="E1556" i="1"/>
  <c r="E1557" i="1"/>
  <c r="E1558" i="1"/>
  <c r="E1559" i="1"/>
  <c r="E1560" i="1"/>
  <c r="E1561" i="1"/>
  <c r="E1562" i="1"/>
  <c r="E1563" i="1"/>
  <c r="E1564" i="1"/>
  <c r="E1565" i="1"/>
  <c r="E1566" i="1"/>
  <c r="E1567" i="1"/>
  <c r="E1568" i="1"/>
  <c r="E1569" i="1"/>
  <c r="E1570" i="1"/>
  <c r="E1571" i="1"/>
  <c r="E1572" i="1"/>
  <c r="E1573" i="1"/>
  <c r="E1574" i="1"/>
  <c r="E1575" i="1"/>
  <c r="E1576" i="1"/>
  <c r="E1577" i="1"/>
  <c r="E1578" i="1"/>
  <c r="E1579" i="1"/>
  <c r="E1580" i="1"/>
  <c r="E1581" i="1"/>
  <c r="E1582" i="1"/>
  <c r="E1583" i="1"/>
  <c r="E1584" i="1"/>
  <c r="E1585" i="1"/>
  <c r="E1586" i="1"/>
  <c r="E1587" i="1"/>
  <c r="E1588" i="1"/>
  <c r="E1589" i="1"/>
  <c r="E1590" i="1"/>
  <c r="E1591" i="1"/>
  <c r="E1592" i="1"/>
  <c r="E1593" i="1"/>
  <c r="E1594" i="1"/>
  <c r="E1595" i="1"/>
  <c r="E1596" i="1"/>
  <c r="E1597" i="1"/>
  <c r="E1598" i="1"/>
  <c r="E1599" i="1"/>
  <c r="E1600" i="1"/>
  <c r="E1601" i="1"/>
  <c r="E1602" i="1"/>
  <c r="E1603" i="1"/>
  <c r="E1604" i="1"/>
  <c r="E1605" i="1"/>
  <c r="E1606" i="1"/>
  <c r="E1607" i="1"/>
  <c r="E1608" i="1"/>
  <c r="E1609" i="1"/>
  <c r="E1610" i="1"/>
  <c r="E1611" i="1"/>
  <c r="E1612" i="1"/>
  <c r="E1613" i="1"/>
  <c r="E1614" i="1"/>
  <c r="E1615" i="1"/>
  <c r="E1616" i="1"/>
  <c r="E1617" i="1"/>
  <c r="E1618" i="1"/>
  <c r="E1619" i="1"/>
  <c r="E1620" i="1"/>
  <c r="E1621" i="1"/>
  <c r="E1622" i="1"/>
  <c r="E1623" i="1"/>
  <c r="E1624" i="1"/>
  <c r="E1625" i="1"/>
  <c r="E1626" i="1"/>
  <c r="E1627" i="1"/>
  <c r="E1628" i="1"/>
  <c r="E1629" i="1"/>
  <c r="E1630" i="1"/>
  <c r="E1631" i="1"/>
  <c r="E1632" i="1"/>
  <c r="E1633" i="1"/>
  <c r="E1634" i="1"/>
  <c r="E1635" i="1"/>
  <c r="E1636" i="1"/>
  <c r="E1637" i="1"/>
  <c r="E1638" i="1"/>
  <c r="E1639" i="1"/>
  <c r="E1640" i="1"/>
  <c r="E1641" i="1"/>
  <c r="E1642" i="1"/>
  <c r="E1643" i="1"/>
  <c r="E1644" i="1"/>
  <c r="E1645" i="1"/>
  <c r="E1646" i="1"/>
  <c r="E1647" i="1"/>
  <c r="E1648" i="1"/>
  <c r="E1649" i="1"/>
  <c r="E1650" i="1"/>
  <c r="E1651" i="1"/>
  <c r="E1652" i="1"/>
  <c r="E1653" i="1"/>
  <c r="E1654" i="1"/>
  <c r="E1655" i="1"/>
  <c r="E1656" i="1"/>
  <c r="E1657" i="1"/>
  <c r="E1658" i="1"/>
  <c r="E1659" i="1"/>
  <c r="E1660" i="1"/>
  <c r="E1661" i="1"/>
  <c r="E1662" i="1"/>
  <c r="E1663" i="1"/>
  <c r="E1664" i="1"/>
  <c r="E1665" i="1"/>
  <c r="E1666" i="1"/>
  <c r="E1667" i="1"/>
  <c r="E1668" i="1"/>
  <c r="E1669" i="1"/>
  <c r="E1670" i="1"/>
  <c r="E1671" i="1"/>
  <c r="E1672" i="1"/>
  <c r="E1673" i="1"/>
  <c r="E1674" i="1"/>
  <c r="E1675" i="1"/>
  <c r="E1676" i="1"/>
  <c r="E1677" i="1"/>
  <c r="E1678" i="1"/>
  <c r="E1679" i="1"/>
  <c r="E1680" i="1"/>
  <c r="E1681" i="1"/>
  <c r="E1682" i="1"/>
  <c r="E1683" i="1"/>
  <c r="E1684" i="1"/>
  <c r="E1685" i="1"/>
  <c r="E1686" i="1"/>
  <c r="E1687" i="1"/>
  <c r="E1688" i="1"/>
  <c r="E1689" i="1"/>
  <c r="E1690" i="1"/>
  <c r="E1691" i="1"/>
  <c r="E1692" i="1"/>
  <c r="E1693" i="1"/>
  <c r="E1694" i="1"/>
  <c r="E1695" i="1"/>
  <c r="E1696" i="1"/>
  <c r="E1697" i="1"/>
  <c r="E1698" i="1"/>
  <c r="E1699" i="1"/>
  <c r="E1700" i="1"/>
  <c r="E1701" i="1"/>
  <c r="E1702" i="1"/>
  <c r="E1703" i="1"/>
  <c r="E1704" i="1"/>
  <c r="E1705" i="1"/>
  <c r="E1706" i="1"/>
  <c r="E1707" i="1"/>
  <c r="E1708" i="1"/>
  <c r="E1709" i="1"/>
  <c r="E1710" i="1"/>
  <c r="E1711" i="1"/>
  <c r="E1712" i="1"/>
  <c r="E1713" i="1"/>
  <c r="E1714" i="1"/>
  <c r="E1715" i="1"/>
  <c r="E1716" i="1"/>
  <c r="E1717" i="1"/>
  <c r="E1718" i="1"/>
  <c r="E1719" i="1"/>
  <c r="E1720" i="1"/>
  <c r="E1721" i="1"/>
  <c r="E1722" i="1"/>
  <c r="E1723" i="1"/>
  <c r="E1724" i="1"/>
  <c r="E1725" i="1"/>
  <c r="E1726" i="1"/>
  <c r="E1727" i="1"/>
  <c r="E1728" i="1"/>
  <c r="E1729" i="1"/>
  <c r="E1730" i="1"/>
  <c r="E1731" i="1"/>
  <c r="E1732" i="1"/>
  <c r="E1733" i="1"/>
  <c r="E1734" i="1"/>
  <c r="E1735" i="1"/>
  <c r="E1736" i="1"/>
  <c r="E1737" i="1"/>
  <c r="E1738" i="1"/>
  <c r="E1739" i="1"/>
  <c r="E1740" i="1"/>
  <c r="E1741" i="1"/>
  <c r="E1742" i="1"/>
  <c r="E1743" i="1"/>
  <c r="E1744" i="1"/>
  <c r="E1745" i="1"/>
  <c r="E1746" i="1"/>
  <c r="E1747" i="1"/>
  <c r="E1748" i="1"/>
  <c r="E1749" i="1"/>
  <c r="E1750" i="1"/>
  <c r="E1751" i="1"/>
  <c r="E1752" i="1"/>
  <c r="E1753" i="1"/>
  <c r="E1754" i="1"/>
  <c r="E1755" i="1"/>
  <c r="E1756" i="1"/>
  <c r="E1757" i="1"/>
  <c r="E1758" i="1"/>
  <c r="E1759" i="1"/>
  <c r="E1760" i="1"/>
  <c r="E1761" i="1"/>
  <c r="E1762" i="1"/>
  <c r="E1763" i="1"/>
  <c r="E1764" i="1"/>
  <c r="E1765" i="1"/>
  <c r="E1766" i="1"/>
  <c r="E1767" i="1"/>
  <c r="E1768" i="1"/>
  <c r="E1769" i="1"/>
  <c r="E1770" i="1"/>
  <c r="E1771" i="1"/>
  <c r="E1772" i="1"/>
  <c r="E1773" i="1"/>
  <c r="E1774" i="1"/>
  <c r="E1775" i="1"/>
  <c r="E1776" i="1"/>
  <c r="E1777" i="1"/>
  <c r="E1778" i="1"/>
  <c r="E1779" i="1"/>
  <c r="E1780" i="1"/>
  <c r="E1781" i="1"/>
  <c r="E1782" i="1"/>
  <c r="E1783" i="1"/>
  <c r="E1784" i="1"/>
  <c r="E1785" i="1"/>
  <c r="E1786" i="1"/>
  <c r="E1787" i="1"/>
  <c r="E1788" i="1"/>
  <c r="E1789" i="1"/>
  <c r="E1790" i="1"/>
  <c r="E1791" i="1"/>
  <c r="E1792" i="1"/>
  <c r="E1793" i="1"/>
  <c r="E1794" i="1"/>
  <c r="E1795" i="1"/>
  <c r="E1796" i="1"/>
  <c r="E1797" i="1"/>
  <c r="E1798" i="1"/>
  <c r="E1799" i="1"/>
  <c r="E1800" i="1"/>
  <c r="E1801" i="1"/>
  <c r="E1802" i="1"/>
  <c r="E1803" i="1"/>
  <c r="E1804" i="1"/>
  <c r="E1805" i="1"/>
  <c r="E1806" i="1"/>
  <c r="E1807" i="1"/>
  <c r="E1808" i="1"/>
  <c r="E1809" i="1"/>
  <c r="E1810" i="1"/>
  <c r="E1811" i="1"/>
  <c r="E1812" i="1"/>
  <c r="E1813" i="1"/>
  <c r="E1814" i="1"/>
  <c r="E1815" i="1"/>
  <c r="E1816" i="1"/>
  <c r="E1817" i="1"/>
  <c r="E1818" i="1"/>
  <c r="E1819" i="1"/>
  <c r="E1820" i="1"/>
  <c r="E1821" i="1"/>
  <c r="E1822" i="1"/>
  <c r="E1823" i="1"/>
  <c r="E1824" i="1"/>
  <c r="E1825" i="1"/>
  <c r="E1826" i="1"/>
  <c r="E1827" i="1"/>
  <c r="E1828" i="1"/>
  <c r="E1829" i="1"/>
  <c r="E1830" i="1"/>
  <c r="E1831" i="1"/>
  <c r="E1832" i="1"/>
  <c r="E1833" i="1"/>
  <c r="E1834" i="1"/>
  <c r="E1835" i="1"/>
  <c r="E1836" i="1"/>
  <c r="E1837" i="1"/>
  <c r="E1838" i="1"/>
  <c r="E1839" i="1"/>
  <c r="E1840" i="1"/>
  <c r="E1841" i="1"/>
  <c r="E1842" i="1"/>
  <c r="E1843" i="1"/>
  <c r="E1844" i="1"/>
  <c r="E1845" i="1"/>
  <c r="E1846" i="1"/>
  <c r="E1847" i="1"/>
  <c r="E1848" i="1"/>
  <c r="E1849" i="1"/>
  <c r="E1850" i="1"/>
  <c r="E1851" i="1"/>
  <c r="E1852" i="1"/>
  <c r="E1853" i="1"/>
  <c r="E1854" i="1"/>
  <c r="E1855" i="1"/>
  <c r="E1856" i="1"/>
  <c r="E1857" i="1"/>
  <c r="E1858" i="1"/>
  <c r="E1859" i="1"/>
  <c r="E1860" i="1"/>
  <c r="E1861" i="1"/>
  <c r="E1862" i="1"/>
  <c r="E1863" i="1"/>
  <c r="E1864" i="1"/>
  <c r="E1865" i="1"/>
  <c r="E1866" i="1"/>
  <c r="E1867" i="1"/>
  <c r="E1868" i="1"/>
  <c r="E1869" i="1"/>
  <c r="E1870" i="1"/>
  <c r="E1871" i="1"/>
  <c r="E1872" i="1"/>
  <c r="E1873" i="1"/>
  <c r="E1874" i="1"/>
  <c r="E1875" i="1"/>
  <c r="E1876" i="1"/>
  <c r="E1877" i="1"/>
  <c r="E1878" i="1"/>
  <c r="E1879" i="1"/>
  <c r="E1880" i="1"/>
  <c r="E1881" i="1"/>
  <c r="E1882" i="1"/>
  <c r="E1883" i="1"/>
  <c r="E1884" i="1"/>
  <c r="E1885" i="1"/>
  <c r="E1886" i="1"/>
  <c r="E1887" i="1"/>
  <c r="E1888" i="1"/>
  <c r="E1889" i="1"/>
  <c r="E1890" i="1"/>
  <c r="E1891" i="1"/>
  <c r="E1892" i="1"/>
  <c r="E1893" i="1"/>
  <c r="E1894" i="1"/>
  <c r="E1895" i="1"/>
  <c r="E1896" i="1"/>
  <c r="E1897" i="1"/>
  <c r="E1898" i="1"/>
  <c r="E1899" i="1"/>
  <c r="E1900" i="1"/>
  <c r="E1901" i="1"/>
  <c r="E1902" i="1"/>
  <c r="E1903" i="1"/>
  <c r="E1904" i="1"/>
  <c r="E1905" i="1"/>
  <c r="E1906" i="1"/>
  <c r="E1907" i="1"/>
  <c r="E1908" i="1"/>
  <c r="E1909" i="1"/>
  <c r="E1910" i="1"/>
  <c r="E1911" i="1"/>
  <c r="E1912" i="1"/>
  <c r="E1913" i="1"/>
  <c r="E1914" i="1"/>
  <c r="E1915" i="1"/>
  <c r="E1916" i="1"/>
  <c r="E1917" i="1"/>
  <c r="E1918" i="1"/>
  <c r="E1919" i="1"/>
  <c r="E1920" i="1"/>
  <c r="E1921" i="1"/>
  <c r="E1922" i="1"/>
  <c r="E1923" i="1"/>
  <c r="E1924" i="1"/>
  <c r="E1925" i="1"/>
  <c r="E1926" i="1"/>
  <c r="E1927" i="1"/>
  <c r="E1928" i="1"/>
  <c r="E1929" i="1"/>
  <c r="E1930" i="1"/>
  <c r="E1931" i="1"/>
  <c r="E1932" i="1"/>
  <c r="E1933" i="1"/>
  <c r="E1934" i="1"/>
  <c r="E1935" i="1"/>
  <c r="E1936" i="1"/>
  <c r="E1937" i="1"/>
  <c r="E1938" i="1"/>
  <c r="E1939" i="1"/>
  <c r="E1940" i="1"/>
  <c r="E1941" i="1"/>
  <c r="E1942" i="1"/>
  <c r="E1943" i="1"/>
  <c r="E1944" i="1"/>
  <c r="E1945" i="1"/>
  <c r="E1946" i="1"/>
  <c r="E1947" i="1"/>
  <c r="E1948" i="1"/>
  <c r="E1949" i="1"/>
  <c r="E1950" i="1"/>
  <c r="E1951" i="1"/>
  <c r="E1952" i="1"/>
  <c r="E1953" i="1"/>
  <c r="E1954" i="1"/>
  <c r="E1955" i="1"/>
  <c r="E1956" i="1"/>
  <c r="E1957" i="1"/>
  <c r="E1958" i="1"/>
  <c r="E1959" i="1"/>
  <c r="E1960" i="1"/>
  <c r="E1961" i="1"/>
  <c r="E1962" i="1"/>
  <c r="E1963" i="1"/>
  <c r="E1964" i="1"/>
  <c r="E1965" i="1"/>
  <c r="E1966" i="1"/>
  <c r="E1967" i="1"/>
  <c r="E1968" i="1"/>
  <c r="E1969" i="1"/>
  <c r="E1970" i="1"/>
  <c r="E1971" i="1"/>
  <c r="E1972" i="1"/>
  <c r="E1973" i="1"/>
  <c r="E1974" i="1"/>
  <c r="E1975" i="1"/>
  <c r="E1976" i="1"/>
  <c r="E1977" i="1"/>
  <c r="E1978" i="1"/>
  <c r="E1979" i="1"/>
  <c r="E1980" i="1"/>
  <c r="E1981" i="1"/>
  <c r="E1982" i="1"/>
  <c r="E1983" i="1"/>
  <c r="E1984" i="1"/>
  <c r="E1985" i="1"/>
  <c r="E1986" i="1"/>
  <c r="E1987" i="1"/>
  <c r="E1988" i="1"/>
  <c r="E1989" i="1"/>
  <c r="E1990" i="1"/>
  <c r="E1991" i="1"/>
  <c r="E1992" i="1"/>
  <c r="E1993" i="1"/>
  <c r="E1994" i="1"/>
  <c r="E1995" i="1"/>
  <c r="E1996" i="1"/>
  <c r="E1997" i="1"/>
  <c r="E1998" i="1"/>
  <c r="E1999" i="1"/>
  <c r="E2000" i="1"/>
  <c r="E2001" i="1"/>
  <c r="E2002" i="1"/>
  <c r="E2003" i="1"/>
  <c r="E2004" i="1"/>
  <c r="E2005" i="1"/>
  <c r="E2006" i="1"/>
  <c r="E2007" i="1"/>
  <c r="E2008" i="1"/>
  <c r="E2009" i="1"/>
  <c r="E2010" i="1"/>
  <c r="E2011" i="1"/>
  <c r="E2012" i="1"/>
  <c r="E2013" i="1"/>
  <c r="E2014" i="1"/>
  <c r="E2015" i="1"/>
  <c r="E2016" i="1"/>
  <c r="E2017" i="1"/>
  <c r="E2018" i="1"/>
  <c r="E2019" i="1"/>
  <c r="E2020" i="1"/>
  <c r="E2021" i="1"/>
  <c r="E2022" i="1"/>
  <c r="E2023" i="1"/>
  <c r="E2024" i="1"/>
  <c r="E2025" i="1"/>
  <c r="E2026" i="1"/>
  <c r="E2027" i="1"/>
  <c r="E2028" i="1"/>
  <c r="E2029" i="1"/>
  <c r="E2030" i="1"/>
  <c r="E2031" i="1"/>
  <c r="E2032" i="1"/>
  <c r="E2033" i="1"/>
  <c r="E2034" i="1"/>
  <c r="E2035" i="1"/>
  <c r="E2036" i="1"/>
  <c r="E2037" i="1"/>
  <c r="E2038" i="1"/>
  <c r="E2039" i="1"/>
  <c r="E2040" i="1"/>
  <c r="E2041" i="1"/>
  <c r="E2042" i="1"/>
  <c r="E2043" i="1"/>
  <c r="E2044" i="1"/>
  <c r="E2045" i="1"/>
  <c r="E2046" i="1"/>
  <c r="E2047" i="1"/>
  <c r="E2048" i="1"/>
  <c r="E2049" i="1"/>
  <c r="E2050" i="1"/>
  <c r="E2051" i="1"/>
  <c r="E2052" i="1"/>
  <c r="E2053" i="1"/>
  <c r="E2054" i="1"/>
  <c r="E2055" i="1"/>
  <c r="E2056" i="1"/>
  <c r="E2057" i="1"/>
  <c r="E2058" i="1"/>
  <c r="E2059" i="1"/>
  <c r="E2060" i="1"/>
  <c r="E2061" i="1"/>
  <c r="E2062" i="1"/>
  <c r="E2063" i="1"/>
  <c r="E2064" i="1"/>
  <c r="E2065" i="1"/>
  <c r="E2066" i="1"/>
  <c r="E2067" i="1"/>
  <c r="E2068" i="1"/>
  <c r="E2069" i="1"/>
  <c r="E2070" i="1"/>
  <c r="E2071" i="1"/>
  <c r="E2072" i="1"/>
  <c r="E2073" i="1"/>
  <c r="E2074" i="1"/>
  <c r="E2075" i="1"/>
  <c r="E2076" i="1"/>
  <c r="E2077" i="1"/>
  <c r="E2078" i="1"/>
  <c r="E2079" i="1"/>
  <c r="E2080" i="1"/>
  <c r="E2081" i="1"/>
  <c r="E2082" i="1"/>
  <c r="E2083" i="1"/>
  <c r="E2084" i="1"/>
  <c r="E2085" i="1"/>
  <c r="E2086" i="1"/>
  <c r="E2087" i="1"/>
  <c r="E2088" i="1"/>
  <c r="E2089" i="1"/>
  <c r="E2090" i="1"/>
  <c r="E2091" i="1"/>
  <c r="E2092" i="1"/>
  <c r="E2093" i="1"/>
  <c r="E2094" i="1"/>
  <c r="E2095" i="1"/>
  <c r="E2096" i="1"/>
  <c r="E2097" i="1"/>
  <c r="E2098" i="1"/>
  <c r="E2099" i="1"/>
  <c r="E2100" i="1"/>
  <c r="E2101" i="1"/>
  <c r="E2102" i="1"/>
  <c r="E2103" i="1"/>
  <c r="E2104" i="1"/>
  <c r="E2105" i="1"/>
  <c r="E2106" i="1"/>
  <c r="E2107" i="1"/>
  <c r="E2108" i="1"/>
  <c r="E2109" i="1"/>
  <c r="E2110" i="1"/>
  <c r="E2111" i="1"/>
  <c r="E2112" i="1"/>
  <c r="E2113" i="1"/>
  <c r="E2114" i="1"/>
  <c r="E2115" i="1"/>
  <c r="E2116" i="1"/>
  <c r="E2117" i="1"/>
  <c r="E2118" i="1"/>
  <c r="E2119" i="1"/>
  <c r="E2120" i="1"/>
  <c r="E2121" i="1"/>
  <c r="E2122" i="1"/>
  <c r="E2123" i="1"/>
  <c r="E2124" i="1"/>
  <c r="E2125" i="1"/>
  <c r="E2126" i="1"/>
  <c r="E2127" i="1"/>
  <c r="E2128" i="1"/>
  <c r="E2129" i="1"/>
  <c r="E2130" i="1"/>
  <c r="E2131" i="1"/>
  <c r="E2132" i="1"/>
  <c r="E2133" i="1"/>
  <c r="E2134" i="1"/>
  <c r="E2135" i="1"/>
  <c r="E2136" i="1"/>
  <c r="E2137" i="1"/>
  <c r="E2138" i="1"/>
  <c r="E2139" i="1"/>
  <c r="E2140" i="1"/>
  <c r="E2141" i="1"/>
  <c r="E2142" i="1"/>
  <c r="E2143" i="1"/>
  <c r="E2144" i="1"/>
  <c r="E2145" i="1"/>
  <c r="E2146" i="1"/>
  <c r="E2147" i="1"/>
  <c r="E2148" i="1"/>
  <c r="E2149" i="1"/>
  <c r="E2150" i="1"/>
  <c r="E2151" i="1"/>
  <c r="E2152" i="1"/>
  <c r="E2153" i="1"/>
  <c r="E2154" i="1"/>
  <c r="E2155" i="1"/>
  <c r="E2156" i="1"/>
  <c r="E2157" i="1"/>
  <c r="E2158" i="1"/>
  <c r="E2159" i="1"/>
  <c r="E2160" i="1"/>
  <c r="E2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<sst xmlns="http://schemas.openxmlformats.org/spreadsheetml/2006/main" count="2164" uniqueCount="2164">
  <si>
    <t>Douglas-fir (west OR) Wet Other Other Decrease Medium 0.018</t>
  </si>
  <si>
    <t>Douglas-fir (west OR) Wet Other Other Decrease Large 0.006</t>
  </si>
  <si>
    <t>Douglas-fir (west OR) Wet Other Other None Small 0.046</t>
  </si>
  <si>
    <t>Douglas-fir (west OR) Wet Other Other None Medium 0.020</t>
  </si>
  <si>
    <t>Douglas-fir (west OR) Wet Other Other None Large 0.007</t>
  </si>
  <si>
    <t>Douglas-fir (west OR) Wet Other Other Increase Small 0.056</t>
  </si>
  <si>
    <t>Douglas-fir (west OR) Wet Other Other Increase Medium 0.025</t>
  </si>
  <si>
    <t>Douglas-fir (west OR) Wet Other Other Increase Large 0.008</t>
  </si>
  <si>
    <t>Douglas-fir (west OR) Wet Other Ridgetop Decrease Small 0.073</t>
  </si>
  <si>
    <t>Douglas-fir (west OR) Wet Other Ridgetop Decrease Medium 0.033</t>
  </si>
  <si>
    <t>Douglas-fir (west OR) Wet Other Ridgetop Decrease Large 0.011</t>
  </si>
  <si>
    <t>Douglas-fir (west OR) Wet Other Ridgetop None Small 0.075</t>
  </si>
  <si>
    <t>Douglas-fir (west OR) Wet Other Ridgetop None Medium 0.034</t>
  </si>
  <si>
    <t>Douglas-fir (west OR) Wet Other Ridgetop None Large 0.011</t>
  </si>
  <si>
    <t>Douglas-fir (west OR) Wet Other Ridgetop Increase Small 0.080</t>
  </si>
  <si>
    <t>Douglas-fir (west OR) Wet Other Ridgetop Increase Medium 0.036</t>
  </si>
  <si>
    <t>Douglas-fir (west OR) Wet Other Ridgetop Increase Large 0.012</t>
  </si>
  <si>
    <t>Douglas-fir (west OR) Wet Shallow Other Decrease Small 0.052</t>
  </si>
  <si>
    <t>Douglas-fir (west OR) Wet Shallow Other Decrease Medium 0.023</t>
  </si>
  <si>
    <t>Douglas-fir (west OR) Wet Shallow Other Decrease Large 0.008</t>
  </si>
  <si>
    <t>Douglas-fir (west OR) Wet Shallow Other None Small 0.056</t>
  </si>
  <si>
    <t>Douglas-fir (west OR) Wet Shallow Other None Medium 0.025</t>
  </si>
  <si>
    <t>Douglas-fir (west OR) Wet Shallow Other None Large 0.008</t>
  </si>
  <si>
    <t>Douglas-fir (west OR) Wet Shallow Other Increase Small 0.056</t>
  </si>
  <si>
    <t>Douglas-fir (west OR) Wet Shallow Other Increase Medium 0.025</t>
  </si>
  <si>
    <t>Douglas-fir (west OR) Wet Shallow Other Increase Large 0.008</t>
  </si>
  <si>
    <t>Douglas-fir (west OR) Wet Shallow Ridgetop Decrease Small 0.094</t>
  </si>
  <si>
    <t>Douglas-fir (west OR) Wet Shallow Ridgetop Decrease Medium 0.042</t>
  </si>
  <si>
    <t>Douglas-fir (west OR) Wet Shallow Ridgetop Decrease Large 0.014</t>
  </si>
  <si>
    <t>Douglas-fir (west OR) Wet Shallow Ridgetop None Small 0.094</t>
  </si>
  <si>
    <t>Douglas-fir (west OR) Wet Shallow Ridgetop None Medium 0.042</t>
  </si>
  <si>
    <t>Douglas-fir (west OR) Wet Shallow Ridgetop None Large 0.014</t>
  </si>
  <si>
    <t>Douglas-fir (west OR) Wet Shallow Ridgetop Increase Small 0.094</t>
  </si>
  <si>
    <t>Douglas-fir (west OR) Wet Shallow Ridgetop Increase Medium 0.042</t>
  </si>
  <si>
    <t>Douglas-fir (west OR) Wet Shallow Ridgetop Increase Large 0.014</t>
  </si>
  <si>
    <t>Douglas-fir (west OR) Mesic Other Other Decrease Small 0.042</t>
  </si>
  <si>
    <t>Douglas-fir (west OR) Mesic Other Other Decrease Medium 0.019</t>
  </si>
  <si>
    <t>Douglas-fir (west OR) Mesic Other Other Decrease Large 0.006</t>
  </si>
  <si>
    <t>Douglas-fir (west OR) Mesic Other Other None Small 0.047</t>
  </si>
  <si>
    <t>Douglas-fir (west OR) Mesic Other Other None Medium 0.021</t>
  </si>
  <si>
    <t>Douglas-fir (west OR) Mesic Other Other None Large 0.007</t>
  </si>
  <si>
    <t>Douglas-fir (west OR) Mesic Other Other Increase Small 0.056</t>
  </si>
  <si>
    <t>Douglas-fir (west OR) Mesic Other Other Increase Medium 0.025</t>
  </si>
  <si>
    <t>Douglas-fir (west OR) Mesic Other Other Increase Large 0.008</t>
  </si>
  <si>
    <t>Douglas-fir (west OR) Mesic Other Ridgetop Decrease Small 0.080</t>
  </si>
  <si>
    <t>Douglas-fir (west OR) Mesic Other Ridgetop Decrease Medium 0.036</t>
  </si>
  <si>
    <t>Douglas-fir (west OR) Mesic Other Ridgetop Decrease Large 0.012</t>
  </si>
  <si>
    <t>Douglas-fir (west OR) Mesic Other Ridgetop None Small 0.080</t>
  </si>
  <si>
    <t>Douglas-fir (west OR) Mesic Other Ridgetop None Medium 0.036</t>
  </si>
  <si>
    <t>Douglas-fir (west OR) Mesic Other Ridgetop None Large 0.012</t>
  </si>
  <si>
    <t>Douglas-fir (west OR) Mesic Other Ridgetop Increase Small 0.085</t>
  </si>
  <si>
    <t>Douglas-fir (west OR) Mesic Other Ridgetop Increase Medium 0.038</t>
  </si>
  <si>
    <t>Douglas-fir (west OR) Mesic Other Ridgetop Increase Large 0.013</t>
  </si>
  <si>
    <t>Douglas-fir (west OR) Mesic Shallow Other Decrease Small 0.052</t>
  </si>
  <si>
    <t>Douglas-fir (west OR) Mesic Shallow Other Decrease Medium 0.023</t>
  </si>
  <si>
    <t>Douglas-fir (west OR) Mesic Shallow Other Decrease Large 0.008</t>
  </si>
  <si>
    <t>Douglas-fir (west OR) Mesic Shallow Other None Small 0.056</t>
  </si>
  <si>
    <t>Douglas-fir (west OR) Mesic Shallow Other None Medium 0.025</t>
  </si>
  <si>
    <t>Douglas-fir (west OR) Mesic Shallow Other None Large 0.008</t>
  </si>
  <si>
    <t>Douglas-fir (west OR) Mesic Shallow Other Increase Small 0.056</t>
  </si>
  <si>
    <t>Douglas-fir (west OR) Mesic Shallow Other Increase Medium 0.025</t>
  </si>
  <si>
    <t>Douglas-fir (west OR) Mesic Shallow Other Increase Large 0.008</t>
  </si>
  <si>
    <t>Douglas-fir (west OR) Mesic Shallow Ridgetop Decrease Small 0.094</t>
  </si>
  <si>
    <t>Douglas-fir (west OR) Mesic Shallow Ridgetop Decrease Medium 0.042</t>
  </si>
  <si>
    <t>Douglas-fir (west OR) Mesic Shallow Ridgetop Decrease Large 0.014</t>
  </si>
  <si>
    <t>Douglas-fir (west OR) Mesic Shallow Ridgetop None Small 0.094</t>
  </si>
  <si>
    <t>Douglas-fir (west OR) Mesic Shallow Ridgetop None Medium 0.042</t>
  </si>
  <si>
    <t>Douglas-fir (west OR) Mesic Shallow Ridgetop None Large 0.014</t>
  </si>
  <si>
    <t>Douglas-fir (west OR) Mesic Shallow Ridgetop Increase Small 0.094</t>
  </si>
  <si>
    <t>Douglas-fir (west OR) Mesic Shallow Ridgetop Increase Medium 0.042</t>
  </si>
  <si>
    <t>Douglas-fir (west OR) Mesic Shallow Ridgetop Increase Large 0.014</t>
  </si>
  <si>
    <t>Douglas-fir (west OR) Dry Other Other Decrease Small 0.046</t>
  </si>
  <si>
    <t>Douglas-fir (west OR) Dry Other Other Decrease Medium 0.020</t>
  </si>
  <si>
    <t>Douglas-fir (west OR) Dry Other Other Decrease Large 0.007</t>
  </si>
  <si>
    <t>Douglas-fir (west OR) Dry Other Other None Small 0.052</t>
  </si>
  <si>
    <t>Douglas-fir (west OR) Dry Other Other None Medium 0.023</t>
  </si>
  <si>
    <t>Douglas-fir (west OR) Dry Other Other None Large 0.008</t>
  </si>
  <si>
    <t>Douglas-fir (west OR) Dry Other Other Increase Small 0.056</t>
  </si>
  <si>
    <t>Douglas-fir (west OR) Dry Other Other Increase Medium 0.025</t>
  </si>
  <si>
    <t>Douglas-fir (west OR) Dry Other Other Increase Large 0.008</t>
  </si>
  <si>
    <t>Douglas-fir (west OR) Dry Other Ridgetop Decrease Small 0.087</t>
  </si>
  <si>
    <t>Douglas-fir (west OR) Dry Other Ridgetop Decrease Medium 0.039</t>
  </si>
  <si>
    <t>Douglas-fir (west OR) Dry Other Ridgetop Decrease Large 0.013</t>
  </si>
  <si>
    <t>Douglas-fir (west OR) Dry Other Ridgetop None Small 0.087</t>
  </si>
  <si>
    <t>Douglas-fir (west OR) Dry Other Ridgetop None Medium 0.039</t>
  </si>
  <si>
    <t>Douglas-fir (west OR) Dry Other Ridgetop None Large 0.013</t>
  </si>
  <si>
    <t>Douglas-fir (west OR) Dry Other Ridgetop Increase Small 0.089</t>
  </si>
  <si>
    <t>Douglas-fir (west OR) Dry Other Ridgetop Increase Medium 0.040</t>
  </si>
  <si>
    <t>Douglas-fir (west OR) Dry Other Ridgetop Increase Large 0.013</t>
  </si>
  <si>
    <t>Douglas-fir (west OR) Dry Shallow Other Decrease Small 0.052</t>
  </si>
  <si>
    <t>Douglas-fir (west OR) Dry Shallow Other Decrease Medium 0.023</t>
  </si>
  <si>
    <t>Douglas-fir (west OR) Dry Shallow Other Decrease Large 0.008</t>
  </si>
  <si>
    <t>Douglas-fir (west OR) Dry Shallow Other None Small 0.056</t>
  </si>
  <si>
    <t>Douglas-fir (west OR) Dry Shallow Other None Medium 0.025</t>
  </si>
  <si>
    <t>Douglas-fir (west OR) Dry Shallow Other None Large 0.008</t>
  </si>
  <si>
    <t>Douglas-fir (west OR) Dry Shallow Other Increase Small 0.056</t>
  </si>
  <si>
    <t>Douglas-fir (west OR) Dry Shallow Other Increase Medium 0.025</t>
  </si>
  <si>
    <t>Douglas-fir (west OR) Dry Shallow Other Increase Large 0.008</t>
  </si>
  <si>
    <t>Douglas-fir (west OR) Dry Shallow Ridgetop Decrease Small 0.094</t>
  </si>
  <si>
    <t>Douglas-fir (west OR) Dry Shallow Ridgetop Decrease Medium 0.042</t>
  </si>
  <si>
    <t>Douglas-fir (west OR) Dry Shallow Ridgetop Decrease Large 0.014</t>
  </si>
  <si>
    <t>Douglas-fir (west OR) Dry Shallow Ridgetop None Small 0.094</t>
  </si>
  <si>
    <t>Douglas-fir (west OR) Dry Shallow Ridgetop None Medium 0.042</t>
  </si>
  <si>
    <t>Douglas-fir (west OR) Dry Shallow Ridgetop None Large 0.014</t>
  </si>
  <si>
    <t>Douglas-fir (west OR) Dry Shallow Ridgetop Increase Small 0.094</t>
  </si>
  <si>
    <t>Douglas-fir (west OR) Dry Shallow Ridgetop Increase Medium 0.042</t>
  </si>
  <si>
    <t>Douglas-fir (west OR) Dry Shallow Ridgetop Increase Large 0.014</t>
  </si>
  <si>
    <t>Douglas-fir (west WA) Wet Other Other Decrease Small 0.032</t>
  </si>
  <si>
    <t>Douglas-fir (west WA) Wet Other Other Decrease Medium 0.016</t>
  </si>
  <si>
    <t>Douglas-fir (west WA) Wet Other Other Decrease Large 0.009</t>
  </si>
  <si>
    <t>Douglas-fir (west WA) Wet Other Other None Small 0.035</t>
  </si>
  <si>
    <t>Douglas-fir (west WA) Wet Other Other None Medium 0.018</t>
  </si>
  <si>
    <t>Douglas-fir (west WA) Wet Other Other None Large 0.010</t>
  </si>
  <si>
    <t>Douglas-fir (west WA) Wet Other Other Increase Small 0.043</t>
  </si>
  <si>
    <t>Douglas-fir (west WA) Wet Other Other Increase Medium 0.022</t>
  </si>
  <si>
    <t>Douglas-fir (west WA) Wet Other Other Increase Large 0.012</t>
  </si>
  <si>
    <t>Douglas-fir (west WA) Wet Other Ridgetop Decrease Small 0.056</t>
  </si>
  <si>
    <t>Douglas-fir (west WA) Wet Other Ridgetop Decrease Medium 0.028</t>
  </si>
  <si>
    <t>Douglas-fir (west WA) Wet Other Ridgetop Decrease Large 0.016</t>
  </si>
  <si>
    <t>Douglas-fir (west WA) Wet Other Ridgetop None Small 0.058</t>
  </si>
  <si>
    <t>Douglas-fir (west WA) Wet Other Ridgetop None Medium 0.029</t>
  </si>
  <si>
    <t>Douglas-fir (west WA) Wet Other Ridgetop None Large 0.016</t>
  </si>
  <si>
    <t>Douglas-fir (west WA) Wet Other Ridgetop Increase Small 0.061</t>
  </si>
  <si>
    <t>Douglas-fir (west WA) Wet Other Ridgetop Increase Medium 0.031</t>
  </si>
  <si>
    <t>Douglas-fir (west WA) Wet Other Ridgetop Increase Large 0.017</t>
  </si>
  <si>
    <t>Douglas-fir (west WA) Wet Shallow Other Decrease Small 0.040</t>
  </si>
  <si>
    <t>Douglas-fir (west WA) Wet Shallow Other Decrease Medium 0.020</t>
  </si>
  <si>
    <t>Douglas-fir (west WA) Wet Shallow Other Decrease Large 0.011</t>
  </si>
  <si>
    <t>Douglas-fir (west WA) Wet Shallow Other None Small 0.043</t>
  </si>
  <si>
    <t>Douglas-fir (west WA) Wet Shallow Other None Medium 0.022</t>
  </si>
  <si>
    <t>Douglas-fir (west WA) Wet Shallow Other None Large 0.012</t>
  </si>
  <si>
    <t>Douglas-fir (west WA) Wet Shallow Other Increase Small 0.043</t>
  </si>
  <si>
    <t>Douglas-fir (west WA) Wet Shallow Other Increase Medium 0.022</t>
  </si>
  <si>
    <t>Douglas-fir (west WA) Wet Shallow Other Increase Large 0.012</t>
  </si>
  <si>
    <t>Douglas-fir (west WA) Wet Shallow Ridgetop Decrease Small 0.072</t>
  </si>
  <si>
    <t>Douglas-fir (west WA) Wet Shallow Ridgetop Decrease Medium 0.036</t>
  </si>
  <si>
    <t>Douglas-fir (west WA) Wet Shallow Ridgetop Decrease Large 0.020</t>
  </si>
  <si>
    <t>Douglas-fir (west WA) Wet Shallow Ridgetop None Small 0.072</t>
  </si>
  <si>
    <t>Douglas-fir (west WA) Wet Shallow Ridgetop None Medium 0.036</t>
  </si>
  <si>
    <t>Douglas-fir (west WA) Wet Shallow Ridgetop None Large 0.020</t>
  </si>
  <si>
    <t>Douglas-fir (west WA) Wet Shallow Ridgetop Increase Small 0.072</t>
  </si>
  <si>
    <t>Douglas-fir (west WA) Wet Shallow Ridgetop Increase Medium 0.036</t>
  </si>
  <si>
    <t>Douglas-fir (west WA) Wet Shallow Ridgetop Increase Large 0.020</t>
  </si>
  <si>
    <t>Douglas-fir (west WA) Mesic Other Other Decrease Small 0.032</t>
  </si>
  <si>
    <t>Douglas-fir (west WA) Mesic Other Other Decrease Medium 0.016</t>
  </si>
  <si>
    <t>Douglas-fir (west WA) Mesic Other Other Decrease Large 0.009</t>
  </si>
  <si>
    <t>Douglas-fir (west WA) Mesic Other Other None Small 0.036</t>
  </si>
  <si>
    <t>Douglas-fir (west WA) Mesic Other Other None Medium 0.018</t>
  </si>
  <si>
    <t>Douglas-fir (west WA) Mesic Other Other None Large 0.010</t>
  </si>
  <si>
    <t>Douglas-fir (west WA) Mesic Other Other Increase Small 0.043</t>
  </si>
  <si>
    <t>Douglas-fir (west WA) Mesic Other Other Increase Medium 0.022</t>
  </si>
  <si>
    <t>Douglas-fir (west WA) Mesic Other Other Increase Large 0.012</t>
  </si>
  <si>
    <t>Douglas-fir (west WA) Mesic Other Ridgetop Decrease Small 0.061</t>
  </si>
  <si>
    <t>Douglas-fir (west WA) Mesic Other Ridgetop Decrease Medium 0.031</t>
  </si>
  <si>
    <t>Douglas-fir (west WA) Mesic Other Ridgetop Decrease Large 0.017</t>
  </si>
  <si>
    <t>Douglas-fir (west WA) Mesic Other Ridgetop None Small 0.061</t>
  </si>
  <si>
    <t>Douglas-fir (west WA) Mesic Other Ridgetop None Medium 0.031</t>
  </si>
  <si>
    <t>Douglas-fir (west WA) Mesic Other Ridgetop None Large 0.017</t>
  </si>
  <si>
    <t>Douglas-fir (west WA) Mesic Other Ridgetop Increase Small 0.065</t>
  </si>
  <si>
    <t>Douglas-fir (west WA) Mesic Other Ridgetop Increase Medium 0.032</t>
  </si>
  <si>
    <t>Douglas-fir (west WA) Mesic Other Ridgetop Increase Large 0.018</t>
  </si>
  <si>
    <t>Douglas-fir (west WA) Mesic Shallow Other Decrease Small 0.040</t>
  </si>
  <si>
    <t>Douglas-fir (west WA) Mesic Shallow Other Decrease Medium 0.020</t>
  </si>
  <si>
    <t>Douglas-fir (west WA) Mesic Shallow Other Decrease Large 0.011</t>
  </si>
  <si>
    <t>Douglas-fir (west WA) Mesic Shallow Other None Small 0.043</t>
  </si>
  <si>
    <t>Douglas-fir (west WA) Mesic Shallow Other None Medium 0.022</t>
  </si>
  <si>
    <t>Douglas-fir (west WA) Mesic Shallow Other None Large 0.012</t>
  </si>
  <si>
    <t>Douglas-fir (west WA) Mesic Shallow Other Increase Small 0.043</t>
  </si>
  <si>
    <t>Douglas-fir (west WA) Mesic Shallow Other Increase Medium 0.022</t>
  </si>
  <si>
    <t>Douglas-fir (west WA) Mesic Shallow Other Increase Large 0.012</t>
  </si>
  <si>
    <t>Douglas-fir (west WA) Mesic Shallow Ridgetop Decrease Small 0.072</t>
  </si>
  <si>
    <t>Douglas-fir (west WA) Mesic Shallow Ridgetop Decrease Medium 0.036</t>
  </si>
  <si>
    <t>Douglas-fir (west WA) Mesic Shallow Ridgetop Decrease Large 0.020</t>
  </si>
  <si>
    <t>Douglas-fir (west WA) Mesic Shallow Ridgetop None Small 0.072</t>
  </si>
  <si>
    <t>Douglas-fir (west WA) Mesic Shallow Ridgetop None Medium 0.036</t>
  </si>
  <si>
    <t>Douglas-fir (west WA) Mesic Shallow Ridgetop None Large 0.020</t>
  </si>
  <si>
    <t>Douglas-fir (west WA) Mesic Shallow Ridgetop Increase Small 0.072</t>
  </si>
  <si>
    <t>Douglas-fir (west WA) Mesic Shallow Ridgetop Increase Medium 0.036</t>
  </si>
  <si>
    <t>Douglas-fir (west WA) Mesic Shallow Ridgetop Increase Large 0.020</t>
  </si>
  <si>
    <t>Douglas-fir (west WA) Dry Other Other Decrease Small 0.035</t>
  </si>
  <si>
    <t>Douglas-fir (west WA) Dry Other Other Decrease Medium 0.018</t>
  </si>
  <si>
    <t>Douglas-fir (west WA) Dry Other Other Decrease Large 0.010</t>
  </si>
  <si>
    <t>Douglas-fir (west WA) Dry Other Other None Small 0.040</t>
  </si>
  <si>
    <t>Douglas-fir (west WA) Dry Other Other None Medium 0.020</t>
  </si>
  <si>
    <t>Douglas-fir (west WA) Dry Other Other None Large 0.011</t>
  </si>
  <si>
    <t>Douglas-fir (west WA) Dry Other Other Increase Small 0.043</t>
  </si>
  <si>
    <t>Douglas-fir (west WA) Dry Other Other Increase Medium 0.022</t>
  </si>
  <si>
    <t>Douglas-fir (west WA) Dry Other Other Increase Large 0.012</t>
  </si>
  <si>
    <t>Douglas-fir (west WA) Dry Other Ridgetop Decrease Small 0.067</t>
  </si>
  <si>
    <t>Douglas-fir (west WA) Dry Other Ridgetop Decrease Medium 0.033</t>
  </si>
  <si>
    <t>Douglas-fir (west WA) Dry Other Ridgetop Decrease Large 0.019</t>
  </si>
  <si>
    <t>Douglas-fir (west WA) Dry Other Ridgetop None Small 0.067</t>
  </si>
  <si>
    <t>Douglas-fir (west WA) Dry Other Ridgetop None Medium 0.033</t>
  </si>
  <si>
    <t>Douglas-fir (west WA) Dry Other Ridgetop None Large 0.019</t>
  </si>
  <si>
    <t>Douglas-fir (west WA) Dry Other Ridgetop Increase Small 0.068</t>
  </si>
  <si>
    <t>Douglas-fir (west WA) Dry Other Ridgetop Increase Medium 0.034</t>
  </si>
  <si>
    <t>Douglas-fir (west WA) Dry Other Ridgetop Increase Large 0.019</t>
  </si>
  <si>
    <t>Douglas-fir (west WA) Dry Shallow Other Decrease Small 0.040</t>
  </si>
  <si>
    <t>Douglas-fir (west WA) Dry Shallow Other Decrease Medium 0.020</t>
  </si>
  <si>
    <t>Douglas-fir (west WA) Dry Shallow Other Decrease Large 0.011</t>
  </si>
  <si>
    <t>Douglas-fir (west WA) Dry Shallow Other None Small 0.043</t>
  </si>
  <si>
    <t>Douglas-fir (west WA) Dry Shallow Other None Medium 0.022</t>
  </si>
  <si>
    <t>Douglas-fir (west WA) Dry Shallow Other None Large 0.012</t>
  </si>
  <si>
    <t>Douglas-fir (west WA) Dry Shallow Other Increase Small 0.043</t>
  </si>
  <si>
    <t>Douglas-fir (west WA) Dry Shallow Other Increase Medium 0.022</t>
  </si>
  <si>
    <t>Douglas-fir (west WA) Dry Shallow Other Increase Large 0.012</t>
  </si>
  <si>
    <t>Douglas-fir (west WA) Dry Shallow Ridgetop Decrease Small 0.072</t>
  </si>
  <si>
    <t>Douglas-fir (west WA) Dry Shallow Ridgetop Decrease Medium 0.036</t>
  </si>
  <si>
    <t>Douglas-fir (west WA) Dry Shallow Ridgetop Decrease Large 0.020</t>
  </si>
  <si>
    <t>Douglas-fir (west WA) Dry Shallow Ridgetop None Small 0.072</t>
  </si>
  <si>
    <t>Douglas-fir (west WA) Dry Shallow Ridgetop None Medium 0.036</t>
  </si>
  <si>
    <t>Douglas-fir (west WA) Dry Shallow Ridgetop None Large 0.020</t>
  </si>
  <si>
    <t>Douglas-fir (west WA) Dry Shallow Ridgetop Increase Small 0.072</t>
  </si>
  <si>
    <t>Douglas-fir (west WA) Dry Shallow Ridgetop Increase Medium 0.036</t>
  </si>
  <si>
    <t>Douglas-fir (west WA) Dry Shallow Ridgetop Increase Large 0.020</t>
  </si>
  <si>
    <t>Douglas-fir (east OR) Wet Other Other Decrease Small 0.067</t>
  </si>
  <si>
    <t>Douglas-fir (east OR) Wet Other Other Decrease Medium 0.028</t>
  </si>
  <si>
    <t>Douglas-fir (east OR) Wet Other Other Decrease Large 0.016</t>
  </si>
  <si>
    <t>Douglas-fir (east OR) Wet Other Other None Small 0.074</t>
  </si>
  <si>
    <t>Douglas-fir (east OR) Wet Other Other None Medium 0.031</t>
  </si>
  <si>
    <t>Douglas-fir (east OR) Wet Other Other None Large 0.018</t>
  </si>
  <si>
    <t>Douglas-fir (east OR) Wet Other Other Increase Small 0.091</t>
  </si>
  <si>
    <t>Douglas-fir (east OR) Wet Other Other Increase Medium 0.038</t>
  </si>
  <si>
    <t>Douglas-fir (east OR) Wet Other Other Increase Large 0.022</t>
  </si>
  <si>
    <t>Douglas-fir (east OR) Wet Other Ridgetop Decrease Small 0.118</t>
  </si>
  <si>
    <t>Douglas-fir (east OR) Wet Other Ridgetop Decrease Medium 0.050</t>
  </si>
  <si>
    <t>Douglas-fir (east OR) Wet Other Ridgetop Decrease Large 0.028</t>
  </si>
  <si>
    <t>Douglas-fir (east OR) Wet Other Ridgetop None Small 0.122</t>
  </si>
  <si>
    <t>Douglas-fir (east OR) Wet Other Ridgetop None Medium 0.051</t>
  </si>
  <si>
    <t>Douglas-fir (east OR) Wet Other Ridgetop None Large 0.029</t>
  </si>
  <si>
    <t>Douglas-fir (east OR) Wet Other Ridgetop Increase Small 0.129</t>
  </si>
  <si>
    <t>Douglas-fir (east OR) Wet Other Ridgetop Increase Medium 0.054</t>
  </si>
  <si>
    <t>Douglas-fir (east OR) Wet Other Ridgetop Increase Large 0.031</t>
  </si>
  <si>
    <t>Douglas-fir (east OR) Wet Shallow Other Decrease Small 0.084</t>
  </si>
  <si>
    <t>Douglas-fir (east OR) Wet Shallow Other Decrease Medium 0.035</t>
  </si>
  <si>
    <t>Douglas-fir (east OR) Wet Shallow Other Decrease Large 0.020</t>
  </si>
  <si>
    <t>Douglas-fir (east OR) Wet Shallow Other None Small 0.091</t>
  </si>
  <si>
    <t>Douglas-fir (east OR) Wet Shallow Other None Medium 0.038</t>
  </si>
  <si>
    <t>Douglas-fir (east OR) Wet Shallow Other None Large 0.022</t>
  </si>
  <si>
    <t>Douglas-fir (east OR) Wet Shallow Other Increase Small 0.091</t>
  </si>
  <si>
    <t>Douglas-fir (east OR) Wet Shallow Other Increase Medium 0.038</t>
  </si>
  <si>
    <t>Douglas-fir (east OR) Wet Shallow Other Increase Large 0.022</t>
  </si>
  <si>
    <t>Douglas-fir (east OR) Wet Shallow Ridgetop Decrease Small 0.152</t>
  </si>
  <si>
    <t>Douglas-fir (east OR) Wet Shallow Ridgetop Decrease Medium 0.064</t>
  </si>
  <si>
    <t>Douglas-fir (east OR) Wet Shallow Ridgetop Decrease Large 0.036</t>
  </si>
  <si>
    <t>Douglas-fir (east OR) Wet Shallow Ridgetop None Small 0.152</t>
  </si>
  <si>
    <t>Douglas-fir (east OR) Wet Shallow Ridgetop None Medium 0.064</t>
  </si>
  <si>
    <t>Douglas-fir (east OR) Wet Shallow Ridgetop None Large 0.036</t>
  </si>
  <si>
    <t>Douglas-fir (east OR) Wet Shallow Ridgetop Increase Small 0.152</t>
  </si>
  <si>
    <t>Douglas-fir (east OR) Wet Shallow Ridgetop Increase Medium 0.064</t>
  </si>
  <si>
    <t>Douglas-fir (east OR) Wet Shallow Ridgetop Increase Large 0.036</t>
  </si>
  <si>
    <t>Douglas-fir (east OR) Mesic Other Other Decrease Small 0.068</t>
  </si>
  <si>
    <t>Douglas-fir (east OR) Mesic Other Other Decrease Medium 0.029</t>
  </si>
  <si>
    <t>Douglas-fir (east OR) Mesic Other Other Decrease Large 0.016</t>
  </si>
  <si>
    <t>Douglas-fir (east OR) Mesic Other Other None Small 0.076</t>
  </si>
  <si>
    <t>Douglas-fir (east OR) Mesic Other Other None Medium 0.032</t>
  </si>
  <si>
    <t>Douglas-fir (east OR) Mesic Other Other None Large 0.018</t>
  </si>
  <si>
    <t>Douglas-fir (east OR) Mesic Other Other Increase Small 0.091</t>
  </si>
  <si>
    <t>Douglas-fir (east OR) Mesic Other Other Increase Medium 0.038</t>
  </si>
  <si>
    <t>Douglas-fir (east OR) Mesic Other Other Increase Large 0.022</t>
  </si>
  <si>
    <t>Douglas-fir (east OR) Mesic Other Ridgetop Decrease Small 0.129</t>
  </si>
  <si>
    <t>Douglas-fir (east OR) Mesic Other Ridgetop Decrease Medium 0.054</t>
  </si>
  <si>
    <t>Douglas-fir (east OR) Mesic Other Ridgetop Decrease Large 0.031</t>
  </si>
  <si>
    <t>Douglas-fir (east OR) Mesic Other Ridgetop None Small 0.129</t>
  </si>
  <si>
    <t>Douglas-fir (east OR) Mesic Other Ridgetop None Medium 0.054</t>
  </si>
  <si>
    <t>Douglas-fir (east OR) Mesic Other Ridgetop None Large 0.031</t>
  </si>
  <si>
    <t>Douglas-fir (east OR) Mesic Other Ridgetop Increase Small 0.137</t>
  </si>
  <si>
    <t>Douglas-fir (east OR) Mesic Other Ridgetop Increase Medium 0.058</t>
  </si>
  <si>
    <t>Douglas-fir (east OR) Mesic Other Ridgetop Increase Large 0.032</t>
  </si>
  <si>
    <t>Douglas-fir (east OR) Mesic Shallow Other Decrease Small 0.084</t>
  </si>
  <si>
    <t>Douglas-fir (east OR) Mesic Shallow Other Decrease Medium 0.035</t>
  </si>
  <si>
    <t>Douglas-fir (east OR) Mesic Shallow Other Decrease Large 0.020</t>
  </si>
  <si>
    <t>Douglas-fir (east OR) Mesic Shallow Other None Small 0.091</t>
  </si>
  <si>
    <t>Douglas-fir (east OR) Mesic Shallow Other None Medium 0.038</t>
  </si>
  <si>
    <t>Douglas-fir (east OR) Mesic Shallow Other None Large 0.022</t>
  </si>
  <si>
    <t>Douglas-fir (east OR) Mesic Shallow Other Increase Small 0.091</t>
  </si>
  <si>
    <t>Douglas-fir (east OR) Mesic Shallow Other Increase Medium 0.038</t>
  </si>
  <si>
    <t>Douglas-fir (east OR) Mesic Shallow Other Increase Large 0.022</t>
  </si>
  <si>
    <t>Douglas-fir (east OR) Mesic Shallow Ridgetop Decrease Small 0.152</t>
  </si>
  <si>
    <t>Douglas-fir (east OR) Mesic Shallow Ridgetop Decrease Medium 0.064</t>
  </si>
  <si>
    <t>Douglas-fir (east OR) Mesic Shallow Ridgetop Decrease Large 0.036</t>
  </si>
  <si>
    <t>Douglas-fir (east OR) Mesic Shallow Ridgetop None Small 0.152</t>
  </si>
  <si>
    <t>Douglas-fir (east OR) Mesic Shallow Ridgetop None Medium 0.064</t>
  </si>
  <si>
    <t>Douglas-fir (east OR) Mesic Shallow Ridgetop None Large 0.036</t>
  </si>
  <si>
    <t>Douglas-fir (east OR) Mesic Shallow Ridgetop Increase Small 0.152</t>
  </si>
  <si>
    <t>Douglas-fir (east OR) Mesic Shallow Ridgetop Increase Medium 0.064</t>
  </si>
  <si>
    <t>Douglas-fir (east OR) Mesic Shallow Ridgetop Increase Large 0.036</t>
  </si>
  <si>
    <t>Douglas-fir (east OR) Dry Other Other Decrease Small 0.074</t>
  </si>
  <si>
    <t>Douglas-fir (east OR) Dry Other Other Decrease Medium 0.031</t>
  </si>
  <si>
    <t>Douglas-fir (east OR) Dry Other Other Decrease Large 0.018</t>
  </si>
  <si>
    <t>Douglas-fir (east OR) Dry Other Other None Small 0.084</t>
  </si>
  <si>
    <t>Douglas-fir (east OR) Dry Other Other None Medium 0.035</t>
  </si>
  <si>
    <t>Douglas-fir (east OR) Dry Other Other None Large 0.020</t>
  </si>
  <si>
    <t>Douglas-fir (east OR) Dry Other Other Increase Small 0.091</t>
  </si>
  <si>
    <t>Douglas-fir (east OR) Dry Other Other Increase Medium 0.038</t>
  </si>
  <si>
    <t>Douglas-fir (east OR) Dry Other Other Increase Large 0.022</t>
  </si>
  <si>
    <t>Douglas-fir (east OR) Dry Other Ridgetop Decrease Small 0.141</t>
  </si>
  <si>
    <t>Douglas-fir (east OR) Dry Other Ridgetop Decrease Medium 0.059</t>
  </si>
  <si>
    <t>Douglas-fir (east OR) Dry Other Ridgetop Decrease Large 0.033</t>
  </si>
  <si>
    <t>Douglas-fir (east OR) Dry Other Ridgetop None Small 0.141</t>
  </si>
  <si>
    <t>Douglas-fir (east OR) Dry Other Ridgetop None Medium 0.059</t>
  </si>
  <si>
    <t>Douglas-fir (east OR) Dry Other Ridgetop None Large 0.033</t>
  </si>
  <si>
    <t>Douglas-fir (east OR) Dry Other Ridgetop Increase Small 0.144</t>
  </si>
  <si>
    <t>Douglas-fir (east OR) Dry Other Ridgetop Increase Medium 0.061</t>
  </si>
  <si>
    <t>Douglas-fir (east OR) Dry Other Ridgetop Increase Large 0.034</t>
  </si>
  <si>
    <t>Douglas-fir (east OR) Dry Shallow Other Decrease Small 0.084</t>
  </si>
  <si>
    <t>Douglas-fir (east OR) Dry Shallow Other Decrease Medium 0.035</t>
  </si>
  <si>
    <t>Douglas-fir (east OR) Dry Shallow Other Decrease Large 0.020</t>
  </si>
  <si>
    <t>Douglas-fir (east OR) Dry Shallow Other None Small 0.091</t>
  </si>
  <si>
    <t>Douglas-fir (east OR) Dry Shallow Other None Medium 0.038</t>
  </si>
  <si>
    <t>Douglas-fir (east OR) Dry Shallow Other None Large 0.022</t>
  </si>
  <si>
    <t>Douglas-fir (east OR) Dry Shallow Other Increase Small 0.091</t>
  </si>
  <si>
    <t>Douglas-fir (east OR) Dry Shallow Other Increase Medium 0.038</t>
  </si>
  <si>
    <t>Douglas-fir (east OR) Dry Shallow Other Increase Large 0.022</t>
  </si>
  <si>
    <t>Douglas-fir (east OR) Dry Shallow Ridgetop Decrease Small 0.152</t>
  </si>
  <si>
    <t>Douglas-fir (east OR) Dry Shallow Ridgetop Decrease Medium 0.064</t>
  </si>
  <si>
    <t>Douglas-fir (east OR) Dry Shallow Ridgetop Decrease Large 0.036</t>
  </si>
  <si>
    <t>Douglas-fir (east OR) Dry Shallow Ridgetop None Small 0.152</t>
  </si>
  <si>
    <t>Douglas-fir (east OR) Dry Shallow Ridgetop None Medium 0.064</t>
  </si>
  <si>
    <t>Douglas-fir (east OR) Dry Shallow Ridgetop None Large 0.036</t>
  </si>
  <si>
    <t>Douglas-fir (east OR) Dry Shallow Ridgetop Increase Small 0.152</t>
  </si>
  <si>
    <t>Douglas-fir (east OR) Dry Shallow Ridgetop Increase Medium 0.064</t>
  </si>
  <si>
    <t>Douglas-fir (east OR) Dry Shallow Ridgetop Increase Large 0.036</t>
  </si>
  <si>
    <t>Douglas-fir (east WA) Wet Other Other Decrease Small 0.051</t>
  </si>
  <si>
    <t>Douglas-fir (east WA) Wet Other Other Decrease Medium 0.022</t>
  </si>
  <si>
    <t>Douglas-fir (east WA) Wet Other Other Decrease Large 0.016</t>
  </si>
  <si>
    <t>Douglas-fir (east WA) Wet Other Other None Small 0.057</t>
  </si>
  <si>
    <t>Douglas-fir (east WA) Wet Other Other None Medium 0.024</t>
  </si>
  <si>
    <t>Douglas-fir (east WA) Wet Other Other None Large 0.018</t>
  </si>
  <si>
    <t>Douglas-fir (east WA) Wet Other Other Increase Small 0.070</t>
  </si>
  <si>
    <t>Douglas-fir (east WA) Wet Other Other Increase Medium 0.030</t>
  </si>
  <si>
    <t>Douglas-fir (east WA) Wet Other Other Increase Large 0.022</t>
  </si>
  <si>
    <t>Douglas-fir (east WA) Wet Other Ridgetop Decrease Small 0.090</t>
  </si>
  <si>
    <t>Douglas-fir (east WA) Wet Other Ridgetop Decrease Medium 0.039</t>
  </si>
  <si>
    <t>Douglas-fir (east WA) Wet Other Ridgetop Decrease Large 0.028</t>
  </si>
  <si>
    <t>Douglas-fir (east WA) Wet Other Ridgetop None Small 0.093</t>
  </si>
  <si>
    <t>Douglas-fir (east WA) Wet Other Ridgetop None Medium 0.040</t>
  </si>
  <si>
    <t>Douglas-fir (east WA) Wet Other Ridgetop None Large 0.029</t>
  </si>
  <si>
    <t>Douglas-fir (east WA) Wet Other Ridgetop Increase Small 0.099</t>
  </si>
  <si>
    <t>Douglas-fir (east WA) Wet Other Ridgetop Increase Medium 0.043</t>
  </si>
  <si>
    <t>Douglas-fir (east WA) Wet Other Ridgetop Increase Large 0.031</t>
  </si>
  <si>
    <t>Douglas-fir (east WA) Wet Shallow Other Decrease Small 0.064</t>
  </si>
  <si>
    <t>Douglas-fir (east WA) Wet Shallow Other Decrease Medium 0.028</t>
  </si>
  <si>
    <t>Douglas-fir (east WA) Wet Shallow Other Decrease Large 0.020</t>
  </si>
  <si>
    <t>Douglas-fir (east WA) Wet Shallow Other None Small 0.070</t>
  </si>
  <si>
    <t>Douglas-fir (east WA) Wet Shallow Other None Medium 0.030</t>
  </si>
  <si>
    <t>Douglas-fir (east WA) Wet Shallow Other None Large 0.022</t>
  </si>
  <si>
    <t>Douglas-fir (east WA) Wet Shallow Other Increase Small 0.070</t>
  </si>
  <si>
    <t>Douglas-fir (east WA) Wet Shallow Other Increase Medium 0.030</t>
  </si>
  <si>
    <t>Douglas-fir (east WA) Wet Shallow Other Increase Large 0.022</t>
  </si>
  <si>
    <t>Douglas-fir (east WA) Wet Shallow Ridgetop Decrease Small 0.116</t>
  </si>
  <si>
    <t>Douglas-fir (east WA) Wet Shallow Ridgetop Decrease Medium 0.050</t>
  </si>
  <si>
    <t>Douglas-fir (east WA) Wet Shallow Ridgetop Decrease Large 0.036</t>
  </si>
  <si>
    <t>Douglas-fir (east WA) Wet Shallow Ridgetop None Small 0.116</t>
  </si>
  <si>
    <t>Douglas-fir (east WA) Wet Shallow Ridgetop None Medium 0.050</t>
  </si>
  <si>
    <t>Douglas-fir (east WA) Wet Shallow Ridgetop None Large 0.036</t>
  </si>
  <si>
    <t>Douglas-fir (east WA) Wet Shallow Ridgetop Increase Small 0.116</t>
  </si>
  <si>
    <t>Douglas-fir (east WA) Wet Shallow Ridgetop Increase Medium 0.050</t>
  </si>
  <si>
    <t>Douglas-fir (east WA) Wet Shallow Ridgetop Increase Large 0.036</t>
  </si>
  <si>
    <t>Douglas-fir (east WA) Mesic Other Other Decrease Small 0.052</t>
  </si>
  <si>
    <t>Douglas-fir (east WA) Mesic Other Other Decrease Medium 0.023</t>
  </si>
  <si>
    <t>Douglas-fir (east WA) Mesic Other Other Decrease Large 0.016</t>
  </si>
  <si>
    <t>Douglas-fir (east WA) Mesic Other Other None Small 0.058</t>
  </si>
  <si>
    <t>Douglas-fir (east WA) Mesic Other Other None Medium 0.025</t>
  </si>
  <si>
    <t>Douglas-fir (east WA) Mesic Other Other None Large 0.018</t>
  </si>
  <si>
    <t>Douglas-fir (east WA) Mesic Other Other Increase Small 0.070</t>
  </si>
  <si>
    <t>Douglas-fir (east WA) Mesic Other Other Increase Medium 0.030</t>
  </si>
  <si>
    <t>Douglas-fir (east WA) Mesic Other Other Increase Large 0.022</t>
  </si>
  <si>
    <t>Douglas-fir (east WA) Mesic Other Ridgetop Decrease Small 0.099</t>
  </si>
  <si>
    <t>Douglas-fir (east WA) Mesic Other Ridgetop Decrease Medium 0.043</t>
  </si>
  <si>
    <t>Douglas-fir (east WA) Mesic Other Ridgetop Decrease Large 0.031</t>
  </si>
  <si>
    <t>Douglas-fir (east WA) Mesic Other Ridgetop None Small 0.099</t>
  </si>
  <si>
    <t>Douglas-fir (east WA) Mesic Other Ridgetop None Medium 0.043</t>
  </si>
  <si>
    <t>Douglas-fir (east WA) Mesic Other Ridgetop None Large 0.031</t>
  </si>
  <si>
    <t>Douglas-fir (east WA) Mesic Other Ridgetop Increase Small 0.104</t>
  </si>
  <si>
    <t>Douglas-fir (east WA) Mesic Other Ridgetop Increase Medium 0.045</t>
  </si>
  <si>
    <t>Douglas-fir (east WA) Mesic Other Ridgetop Increase Large 0.032</t>
  </si>
  <si>
    <t>Douglas-fir (east WA) Mesic Shallow Other Decrease Small 0.064</t>
  </si>
  <si>
    <t>Douglas-fir (east WA) Mesic Shallow Other Decrease Medium 0.028</t>
  </si>
  <si>
    <t>Douglas-fir (east WA) Mesic Shallow Other Decrease Large 0.020</t>
  </si>
  <si>
    <t>Douglas-fir (east WA) Mesic Shallow Other None Small 0.070</t>
  </si>
  <si>
    <t>Douglas-fir (east WA) Mesic Shallow Other None Medium 0.030</t>
  </si>
  <si>
    <t>Douglas-fir (east WA) Mesic Shallow Other None Large 0.022</t>
  </si>
  <si>
    <t>Douglas-fir (east WA) Mesic Shallow Other Increase Small 0.070</t>
  </si>
  <si>
    <t>Douglas-fir (east WA) Mesic Shallow Other Increase Medium 0.030</t>
  </si>
  <si>
    <t>Douglas-fir (east WA) Mesic Shallow Other Increase Large 0.022</t>
  </si>
  <si>
    <t>Douglas-fir (east WA) Mesic Shallow Ridgetop Decrease Small 0.116</t>
  </si>
  <si>
    <t>Douglas-fir (east WA) Mesic Shallow Ridgetop Decrease Medium 0.050</t>
  </si>
  <si>
    <t>Douglas-fir (east WA) Mesic Shallow Ridgetop Decrease Large 0.036</t>
  </si>
  <si>
    <t>Douglas-fir (east WA) Mesic Shallow Ridgetop None Small 0.116</t>
  </si>
  <si>
    <t>Douglas-fir (east WA) Mesic Shallow Ridgetop None Medium 0.050</t>
  </si>
  <si>
    <t>Douglas-fir (east WA) Mesic Shallow Ridgetop None Large 0.036</t>
  </si>
  <si>
    <t>Douglas-fir (east WA) Mesic Shallow Ridgetop Increase Small 0.116</t>
  </si>
  <si>
    <t>Douglas-fir (east WA) Mesic Shallow Ridgetop Increase Medium 0.050</t>
  </si>
  <si>
    <t>Douglas-fir (east WA) Mesic Shallow Ridgetop Increase Large 0.036</t>
  </si>
  <si>
    <t>Douglas-fir (east WA) Dry Other Other Decrease Small 0.057</t>
  </si>
  <si>
    <t>Douglas-fir (east WA) Dry Other Other Decrease Medium 0.024</t>
  </si>
  <si>
    <t>Douglas-fir (east WA) Dry Other Other Decrease Large 0.018</t>
  </si>
  <si>
    <t>Douglas-fir (east WA) Dry Other Other None Small 0.064</t>
  </si>
  <si>
    <t>Douglas-fir (east WA) Dry Other Other None Medium 0.028</t>
  </si>
  <si>
    <t>Douglas-fir (east WA) Dry Other Other None Large 0.020</t>
  </si>
  <si>
    <t>Douglas-fir (east WA) Dry Other Other Increase Small 0.070</t>
  </si>
  <si>
    <t>Douglas-fir (east WA) Dry Other Other Increase Medium 0.030</t>
  </si>
  <si>
    <t>Douglas-fir (east WA) Dry Other Other Increase Large 0.022</t>
  </si>
  <si>
    <t>Douglas-fir (east WA) Dry Other Ridgetop Decrease Small 0.107</t>
  </si>
  <si>
    <t>Douglas-fir (east WA) Dry Other Ridgetop Decrease Medium 0.046</t>
  </si>
  <si>
    <t>Douglas-fir (east WA) Dry Other Ridgetop Decrease Large 0.033</t>
  </si>
  <si>
    <t>Douglas-fir (east WA) Dry Other Ridgetop None Small 0.107</t>
  </si>
  <si>
    <t>Douglas-fir (east WA) Dry Other Ridgetop None Medium 0.046</t>
  </si>
  <si>
    <t>Douglas-fir (east WA) Dry Other Ridgetop None Large 0.033</t>
  </si>
  <si>
    <t>Douglas-fir (east WA) Dry Other Ridgetop Increase Small 0.110</t>
  </si>
  <si>
    <t>Douglas-fir (east WA) Dry Other Ridgetop Increase Medium 0.048</t>
  </si>
  <si>
    <t>Douglas-fir (east WA) Dry Other Ridgetop Increase Large 0.034</t>
  </si>
  <si>
    <t>Douglas-fir (east WA) Dry Shallow Other Decrease Small 0.064</t>
  </si>
  <si>
    <t>Douglas-fir (east WA) Dry Shallow Other Decrease Medium 0.028</t>
  </si>
  <si>
    <t>Douglas-fir (east WA) Dry Shallow Other Decrease Large 0.020</t>
  </si>
  <si>
    <t>Douglas-fir (east WA) Dry Shallow Other None Small 0.070</t>
  </si>
  <si>
    <t>Douglas-fir (east WA) Dry Shallow Other None Medium 0.030</t>
  </si>
  <si>
    <t>Douglas-fir (east WA) Dry Shallow Other None Large 0.022</t>
  </si>
  <si>
    <t>Douglas-fir (east WA) Dry Shallow Other Increase Small 0.070</t>
  </si>
  <si>
    <t>Douglas-fir (east WA) Dry Shallow Other Increase Medium 0.030</t>
  </si>
  <si>
    <t>Douglas-fir (east WA) Dry Shallow Other Increase Large 0.022</t>
  </si>
  <si>
    <t>Douglas-fir (east WA) Dry Shallow Ridgetop Decrease Small 0.116</t>
  </si>
  <si>
    <t>Douglas-fir (east WA) Dry Shallow Ridgetop Decrease Medium 0.050</t>
  </si>
  <si>
    <t>Douglas-fir (east WA) Dry Shallow Ridgetop Decrease Large 0.036</t>
  </si>
  <si>
    <t>Douglas-fir (east WA) Dry Shallow Ridgetop None Small 0.116</t>
  </si>
  <si>
    <t>Douglas-fir (east WA) Dry Shallow Ridgetop None Medium 0.050</t>
  </si>
  <si>
    <t>Douglas-fir (east WA) Dry Shallow Ridgetop None Large 0.036</t>
  </si>
  <si>
    <t>Douglas-fir (east WA) Dry Shallow Ridgetop Increase Small 0.116</t>
  </si>
  <si>
    <t>Douglas-fir (east WA) Dry Shallow Ridgetop Increase Medium 0.050</t>
  </si>
  <si>
    <t>Douglas-fir (east WA) Dry Shallow Ridgetop Increase Large 0.036</t>
  </si>
  <si>
    <t>Western white pine Wet Other Other Decrease Small 0.030</t>
  </si>
  <si>
    <t>Western white pine Wet Other Other Decrease Medium 0.012</t>
  </si>
  <si>
    <t>Western white pine Wet Other Other Decrease Large 0.011</t>
  </si>
  <si>
    <t>Western white pine Wet Other Other None Small 0.033</t>
  </si>
  <si>
    <t>Western white pine Wet Other Other None Medium 0.014</t>
  </si>
  <si>
    <t>Western white pine Wet Other Other None Large 0.012</t>
  </si>
  <si>
    <t>Western white pine Wet Other Other Increase Small 0.041</t>
  </si>
  <si>
    <t>Western white pine Wet Other Other Increase Medium 0.017</t>
  </si>
  <si>
    <t>Western white pine Wet Other Other Increase Large 0.014</t>
  </si>
  <si>
    <t>Western white pine Wet Other Ridgetop Decrease Small 0.053</t>
  </si>
  <si>
    <t>Western white pine Wet Other Ridgetop Decrease Medium 0.022</t>
  </si>
  <si>
    <t>Western white pine Wet Other Ridgetop Decrease Large 0.019</t>
  </si>
  <si>
    <t>Western white pine Wet Other Ridgetop None Small 0.054</t>
  </si>
  <si>
    <t>Western white pine Wet Other Ridgetop None Medium 0.022</t>
  </si>
  <si>
    <t>Western white pine Wet Other Ridgetop None Large 0.019</t>
  </si>
  <si>
    <t>Western white pine Wet Other Ridgetop Increase Small 0.058</t>
  </si>
  <si>
    <t>Western white pine Wet Other Ridgetop Increase Medium 0.024</t>
  </si>
  <si>
    <t>Western white pine Wet Other Ridgetop Increase Large 0.020</t>
  </si>
  <si>
    <t>Western white pine Wet Shallow Other Decrease Small 0.037</t>
  </si>
  <si>
    <t>Western white pine Wet Shallow Other Decrease Medium 0.015</t>
  </si>
  <si>
    <t>Western white pine Wet Shallow Other Decrease Large 0.013</t>
  </si>
  <si>
    <t>Western white pine Wet Shallow Other None Small 0.041</t>
  </si>
  <si>
    <t>Western white pine Wet Shallow Other None Medium 0.017</t>
  </si>
  <si>
    <t>Western white pine Wet Shallow Other None Large 0.014</t>
  </si>
  <si>
    <t>Western white pine Wet Shallow Other Increase Small 0.041</t>
  </si>
  <si>
    <t>Western white pine Wet Shallow Other Increase Medium 0.017</t>
  </si>
  <si>
    <t>Western white pine Wet Shallow Other Increase Large 0.014</t>
  </si>
  <si>
    <t>Western white pine Wet Shallow Ridgetop Decrease Small 0.068</t>
  </si>
  <si>
    <t>Western white pine Wet Shallow Ridgetop Decrease Medium 0.028</t>
  </si>
  <si>
    <t>Western white pine Wet Shallow Ridgetop Decrease Large 0.024</t>
  </si>
  <si>
    <t>Western white pine Wet Shallow Ridgetop None Small 0.068</t>
  </si>
  <si>
    <t>Western white pine Wet Shallow Ridgetop None Medium 0.028</t>
  </si>
  <si>
    <t>Western white pine Wet Shallow Ridgetop None Large 0.024</t>
  </si>
  <si>
    <t>Western white pine Wet Shallow Ridgetop Increase Small 0.068</t>
  </si>
  <si>
    <t>Western white pine Wet Shallow Ridgetop Increase Medium 0.028</t>
  </si>
  <si>
    <t>Western white pine Wet Shallow Ridgetop Increase Large 0.024</t>
  </si>
  <si>
    <t>Western white pine Mesic Other Other Decrease Small 0.031</t>
  </si>
  <si>
    <t>Western white pine Mesic Other Other Decrease Medium 0.013</t>
  </si>
  <si>
    <t>Western white pine Mesic Other Other Decrease Large 0.011</t>
  </si>
  <si>
    <t>Western white pine Mesic Other Other None Small 0.034</t>
  </si>
  <si>
    <t>Western white pine Mesic Other Other None Medium 0.014</t>
  </si>
  <si>
    <t>Western white pine Mesic Other Other None Large 0.012</t>
  </si>
  <si>
    <t>Western white pine Mesic Other Other Increase Small 0.041</t>
  </si>
  <si>
    <t>Western white pine Mesic Other Other Increase Medium 0.017</t>
  </si>
  <si>
    <t>Western white pine Mesic Other Other Increase Large 0.014</t>
  </si>
  <si>
    <t>Western white pine Mesic Other Ridgetop Decrease Small 0.058</t>
  </si>
  <si>
    <t>Western white pine Mesic Other Ridgetop Decrease Medium 0.024</t>
  </si>
  <si>
    <t>Western white pine Mesic Other Ridgetop Decrease Large 0.020</t>
  </si>
  <si>
    <t>Western white pine Mesic Other Ridgetop None Small 0.058</t>
  </si>
  <si>
    <t>Western white pine Mesic Other Ridgetop None Medium 0.024</t>
  </si>
  <si>
    <t>Western white pine Mesic Other Ridgetop None Large 0.020</t>
  </si>
  <si>
    <t>Western white pine Mesic Other Ridgetop Increase Small 0.061</t>
  </si>
  <si>
    <t>Western white pine Mesic Other Ridgetop Increase Medium 0.025</t>
  </si>
  <si>
    <t>Western white pine Mesic Other Ridgetop Increase Large 0.022</t>
  </si>
  <si>
    <t>Western white pine Mesic Shallow Other Decrease Small 0.037</t>
  </si>
  <si>
    <t>Western white pine Mesic Shallow Other Decrease Medium 0.015</t>
  </si>
  <si>
    <t>Western white pine Mesic Shallow Other Decrease Large 0.013</t>
  </si>
  <si>
    <t>Western white pine Mesic Shallow Other None Small 0.041</t>
  </si>
  <si>
    <t>Western white pine Mesic Shallow Other None Medium 0.017</t>
  </si>
  <si>
    <t>Western white pine Mesic Shallow Other None Large 0.014</t>
  </si>
  <si>
    <t>Western white pine Mesic Shallow Other Increase Small 0.041</t>
  </si>
  <si>
    <t>Western white pine Mesic Shallow Other Increase Medium 0.017</t>
  </si>
  <si>
    <t>Western white pine Mesic Shallow Other Increase Large 0.014</t>
  </si>
  <si>
    <t>Western white pine Mesic Shallow Ridgetop Decrease Small 0.068</t>
  </si>
  <si>
    <t>Western white pine Mesic Shallow Ridgetop Decrease Medium 0.028</t>
  </si>
  <si>
    <t>Western white pine Mesic Shallow Ridgetop Decrease Large 0.024</t>
  </si>
  <si>
    <t>Western white pine Mesic Shallow Ridgetop None Small 0.068</t>
  </si>
  <si>
    <t>Western white pine Mesic Shallow Ridgetop None Medium 0.028</t>
  </si>
  <si>
    <t>Western white pine Mesic Shallow Ridgetop None Large 0.024</t>
  </si>
  <si>
    <t>Western white pine Mesic Shallow Ridgetop Increase Small 0.068</t>
  </si>
  <si>
    <t>Western white pine Mesic Shallow Ridgetop Increase Medium 0.028</t>
  </si>
  <si>
    <t>Western white pine Mesic Shallow Ridgetop Increase Large 0.024</t>
  </si>
  <si>
    <t>Western white pine Dry Other Other Decrease Small 0.033</t>
  </si>
  <si>
    <t>Western white pine Dry Other Other Decrease Medium 0.014</t>
  </si>
  <si>
    <t>Western white pine Dry Other Other Decrease Large 0.012</t>
  </si>
  <si>
    <t>Western white pine Dry Other Other None Small 0.037</t>
  </si>
  <si>
    <t>Western white pine Dry Other Other None Medium 0.015</t>
  </si>
  <si>
    <t>Western white pine Dry Other Other None Large 0.013</t>
  </si>
  <si>
    <t>Western white pine Dry Other Other Increase Small 0.041</t>
  </si>
  <si>
    <t>Western white pine Dry Other Other Increase Medium 0.017</t>
  </si>
  <si>
    <t>Western white pine Dry Other Other Increase Large 0.014</t>
  </si>
  <si>
    <t>Western white pine Dry Other Ridgetop Decrease Small 0.063</t>
  </si>
  <si>
    <t>Western white pine Dry Other Ridgetop Decrease Medium 0.026</t>
  </si>
  <si>
    <t>Western white pine Dry Other Ridgetop Decrease Large 0.022</t>
  </si>
  <si>
    <t>Western white pine Dry Other Ridgetop None Small 0.063</t>
  </si>
  <si>
    <t>Western white pine Dry Other Ridgetop None Medium 0.026</t>
  </si>
  <si>
    <t>Western white pine Dry Other Ridgetop None Large 0.022</t>
  </si>
  <si>
    <t>Western white pine Dry Other Ridgetop Increase Small 0.065</t>
  </si>
  <si>
    <t>Western white pine Dry Other Ridgetop Increase Medium 0.027</t>
  </si>
  <si>
    <t>Western white pine Dry Other Ridgetop Increase Large 0.023</t>
  </si>
  <si>
    <t>Western white pine Dry Shallow Other Decrease Small 0.037</t>
  </si>
  <si>
    <t>Western white pine Dry Shallow Other Decrease Medium 0.015</t>
  </si>
  <si>
    <t>Western white pine Dry Shallow Other Decrease Large 0.013</t>
  </si>
  <si>
    <t>Western white pine Dry Shallow Other None Small 0.041</t>
  </si>
  <si>
    <t>Western white pine Dry Shallow Other None Medium 0.017</t>
  </si>
  <si>
    <t>Western white pine Dry Shallow Other None Large 0.014</t>
  </si>
  <si>
    <t>Western white pine Dry Shallow Other Increase Small 0.041</t>
  </si>
  <si>
    <t>Western white pine Dry Shallow Other Increase Medium 0.017</t>
  </si>
  <si>
    <t>Western white pine Dry Shallow Other Increase Large 0.014</t>
  </si>
  <si>
    <t>Western white pine Dry Shallow Ridgetop Decrease Small 0.068</t>
  </si>
  <si>
    <t>Western white pine Dry Shallow Ridgetop Decrease Medium 0.028</t>
  </si>
  <si>
    <t>Western white pine Dry Shallow Ridgetop Decrease Large 0.024</t>
  </si>
  <si>
    <t>Western white pine Dry Shallow Ridgetop None Small 0.068</t>
  </si>
  <si>
    <t>Western white pine Dry Shallow Ridgetop None Medium 0.028</t>
  </si>
  <si>
    <t>Western white pine Dry Shallow Ridgetop None Large 0.024</t>
  </si>
  <si>
    <t>Western white pine Dry Shallow Ridgetop Increase Small 0.068</t>
  </si>
  <si>
    <t>Western white pine Dry Shallow Ridgetop Increase Medium 0.028</t>
  </si>
  <si>
    <t>Western white pine Dry Shallow Ridgetop Increase Large 0.024</t>
  </si>
  <si>
    <t>Western larch Wet Other Other Decrease Small 0.054</t>
  </si>
  <si>
    <t>Western larch Wet Other Other Decrease Medium 0.028</t>
  </si>
  <si>
    <t>Western larch Wet Other Other Decrease Large 0.025</t>
  </si>
  <si>
    <t>Western larch Wet Other Other None Small 0.060</t>
  </si>
  <si>
    <t>Western larch Wet Other Other None Medium 0.031</t>
  </si>
  <si>
    <t>Western larch Wet Other Other None Large 0.027</t>
  </si>
  <si>
    <t>Western larch Wet Other Other Increase Small 0.074</t>
  </si>
  <si>
    <t>Western larch Wet Other Other Increase Medium 0.038</t>
  </si>
  <si>
    <t>Western larch Wet Other Other Increase Large 0.034</t>
  </si>
  <si>
    <t>Western larch Wet Other Ridgetop Decrease Small 0.096</t>
  </si>
  <si>
    <t>Western larch Wet Other Ridgetop Decrease Medium 0.050</t>
  </si>
  <si>
    <t>Western larch Wet Other Ridgetop Decrease Large 0.043</t>
  </si>
  <si>
    <t>Western larch Wet Other Ridgetop None Small 0.099</t>
  </si>
  <si>
    <t>Western larch Wet Other Ridgetop None Medium 0.051</t>
  </si>
  <si>
    <t>Western larch Wet Other Ridgetop None Large 0.045</t>
  </si>
  <si>
    <t>Western larch Wet Other Ridgetop Increase Small 0.105</t>
  </si>
  <si>
    <t>Western larch Wet Other Ridgetop Increase Medium 0.054</t>
  </si>
  <si>
    <t>Western larch Wet Other Ridgetop Increase Large 0.048</t>
  </si>
  <si>
    <t>Western larch Wet Shallow Other Decrease Small 0.068</t>
  </si>
  <si>
    <t>Western larch Wet Shallow Other Decrease Medium 0.035</t>
  </si>
  <si>
    <t>Western larch Wet Shallow Other Decrease Large 0.031</t>
  </si>
  <si>
    <t>Western larch Wet Shallow Other None Small 0.074</t>
  </si>
  <si>
    <t>Western larch Wet Shallow Other None Medium 0.038</t>
  </si>
  <si>
    <t>Western larch Wet Shallow Other None Large 0.034</t>
  </si>
  <si>
    <t>Western larch Wet Shallow Other Increase Small 0.074</t>
  </si>
  <si>
    <t>Western larch Wet Shallow Other Increase Medium 0.038</t>
  </si>
  <si>
    <t>Western larch Wet Shallow Other Increase Large 0.034</t>
  </si>
  <si>
    <t>Western larch Wet Shallow Ridgetop Decrease Small 0.124</t>
  </si>
  <si>
    <t>Western larch Wet Shallow Ridgetop Decrease Medium 0.064</t>
  </si>
  <si>
    <t>Western larch Wet Shallow Ridgetop Decrease Large 0.056</t>
  </si>
  <si>
    <t>Western larch Wet Shallow Ridgetop None Small 0.124</t>
  </si>
  <si>
    <t>Western larch Wet Shallow Ridgetop None Medium 0.064</t>
  </si>
  <si>
    <t>Western larch Wet Shallow Ridgetop None Large 0.056</t>
  </si>
  <si>
    <t>Western larch Wet Shallow Ridgetop Increase Small 0.124</t>
  </si>
  <si>
    <t>Western larch Wet Shallow Ridgetop Increase Medium 0.064</t>
  </si>
  <si>
    <t>Western larch Wet Shallow Ridgetop Increase Large 0.056</t>
  </si>
  <si>
    <t>Western larch Mesic Other Other Decrease Small 0.056</t>
  </si>
  <si>
    <t>Western larch Mesic Other Other Decrease Medium 0.029</t>
  </si>
  <si>
    <t>Western larch Mesic Other Other Decrease Large 0.025</t>
  </si>
  <si>
    <t>Western larch Mesic Other Other None Small 0.062</t>
  </si>
  <si>
    <t>Western larch Mesic Other Other None Medium 0.032</t>
  </si>
  <si>
    <t>Western larch Mesic Other Other None Large 0.028</t>
  </si>
  <si>
    <t>Western larch Mesic Other Other Increase Small 0.074</t>
  </si>
  <si>
    <t>Western larch Mesic Other Other Increase Medium 0.038</t>
  </si>
  <si>
    <t>Western larch Mesic Other Other Increase Large 0.034</t>
  </si>
  <si>
    <t>Western larch Mesic Other Ridgetop Decrease Small 0.105</t>
  </si>
  <si>
    <t>Western larch Mesic Other Ridgetop Decrease Medium 0.054</t>
  </si>
  <si>
    <t>Western larch Mesic Other Ridgetop Decrease Large 0.048</t>
  </si>
  <si>
    <t>Western larch Mesic Other Ridgetop None Small 0.105</t>
  </si>
  <si>
    <t>Western larch Mesic Other Ridgetop None Medium 0.054</t>
  </si>
  <si>
    <t>Western larch Mesic Other Ridgetop None Large 0.048</t>
  </si>
  <si>
    <t>Western larch Mesic Other Ridgetop Increase Small 0.112</t>
  </si>
  <si>
    <t>Western larch Mesic Other Ridgetop Increase Medium 0.058</t>
  </si>
  <si>
    <t>Western larch Mesic Other Ridgetop Increase Large 0.050</t>
  </si>
  <si>
    <t>Western larch Mesic Shallow Other Decrease Small 0.068</t>
  </si>
  <si>
    <t>Western larch Mesic Shallow Other Decrease Medium 0.035</t>
  </si>
  <si>
    <t>Western larch Mesic Shallow Other Decrease Large 0.031</t>
  </si>
  <si>
    <t>Western larch Mesic Shallow Other None Small 0.074</t>
  </si>
  <si>
    <t>Western larch Mesic Shallow Other None Medium 0.038</t>
  </si>
  <si>
    <t>Western larch Mesic Shallow Other None Large 0.034</t>
  </si>
  <si>
    <t>Western larch Mesic Shallow Other Increase Small 0.074</t>
  </si>
  <si>
    <t>Western larch Mesic Shallow Other Increase Medium 0.038</t>
  </si>
  <si>
    <t>Western larch Mesic Shallow Other Increase Large 0.034</t>
  </si>
  <si>
    <t>Western larch Mesic Shallow Ridgetop Decrease Small 0.124</t>
  </si>
  <si>
    <t>Western larch Mesic Shallow Ridgetop Decrease Medium 0.064</t>
  </si>
  <si>
    <t>Western larch Mesic Shallow Ridgetop Decrease Large 0.056</t>
  </si>
  <si>
    <t>Western larch Mesic Shallow Ridgetop None Small 0.124</t>
  </si>
  <si>
    <t>Western larch Mesic Shallow Ridgetop None Medium 0.064</t>
  </si>
  <si>
    <t>Western larch Mesic Shallow Ridgetop None Large 0.056</t>
  </si>
  <si>
    <t>Western larch Mesic Shallow Ridgetop Increase Small 0.124</t>
  </si>
  <si>
    <t>Western larch Mesic Shallow Ridgetop Increase Medium 0.064</t>
  </si>
  <si>
    <t>Western larch Mesic Shallow Ridgetop Increase Large 0.056</t>
  </si>
  <si>
    <t>Western larch Dry Other Other Decrease Small 0.060</t>
  </si>
  <si>
    <t>Western larch Dry Other Other Decrease Medium 0.031</t>
  </si>
  <si>
    <t>Western larch Dry Other Other Decrease Large 0.027</t>
  </si>
  <si>
    <t>Western larch Dry Other Other None Small 0.068</t>
  </si>
  <si>
    <t>Western larch Dry Other Other None Medium 0.035</t>
  </si>
  <si>
    <t>Western larch Dry Other Other None Large 0.031</t>
  </si>
  <si>
    <t>Western larch Dry Other Other Increase Small 0.074</t>
  </si>
  <si>
    <t>Western larch Dry Other Other Increase Medium 0.038</t>
  </si>
  <si>
    <t>Western larch Dry Other Other Increase Large 0.034</t>
  </si>
  <si>
    <t>Western larch Dry Other Ridgetop Decrease Small 0.115</t>
  </si>
  <si>
    <t>Western larch Dry Other Ridgetop Decrease Medium 0.059</t>
  </si>
  <si>
    <t>Western larch Dry Other Ridgetop Decrease Large 0.052</t>
  </si>
  <si>
    <t>Western larch Dry Other Ridgetop None Small 0.115</t>
  </si>
  <si>
    <t>Western larch Dry Other Ridgetop None Medium 0.059</t>
  </si>
  <si>
    <t>Western larch Dry Other Ridgetop None Large 0.052</t>
  </si>
  <si>
    <t>Western larch Dry Other Ridgetop Increase Small 0.118</t>
  </si>
  <si>
    <t>Western larch Dry Other Ridgetop Increase Medium 0.061</t>
  </si>
  <si>
    <t>Western larch Dry Other Ridgetop Increase Large 0.053</t>
  </si>
  <si>
    <t>Western larch Dry Shallow Other Decrease Small 0.068</t>
  </si>
  <si>
    <t>Western larch Dry Shallow Other Decrease Medium 0.035</t>
  </si>
  <si>
    <t>Western larch Dry Shallow Other Decrease Large 0.031</t>
  </si>
  <si>
    <t>Western larch Dry Shallow Other None Small 0.074</t>
  </si>
  <si>
    <t>Western larch Dry Shallow Other None Medium 0.038</t>
  </si>
  <si>
    <t>Western larch Dry Shallow Other None Large 0.034</t>
  </si>
  <si>
    <t>Western larch Dry Shallow Other Increase Small 0.074</t>
  </si>
  <si>
    <t>Western larch Dry Shallow Other Increase Medium 0.038</t>
  </si>
  <si>
    <t>Western larch Dry Shallow Other Increase Large 0.034</t>
  </si>
  <si>
    <t>Western larch Dry Shallow Ridgetop Decrease Small 0.124</t>
  </si>
  <si>
    <t>Western larch Dry Shallow Ridgetop Decrease Medium 0.064</t>
  </si>
  <si>
    <t>Western larch Dry Shallow Ridgetop Decrease Large 0.056</t>
  </si>
  <si>
    <t>Western larch Dry Shallow Ridgetop None Small 0.124</t>
  </si>
  <si>
    <t>Western larch Dry Shallow Ridgetop None Medium 0.064</t>
  </si>
  <si>
    <t>Western larch Dry Shallow Ridgetop None Large 0.056</t>
  </si>
  <si>
    <t>Western larch Dry Shallow Ridgetop Increase Small 0.124</t>
  </si>
  <si>
    <t>Western larch Dry Shallow Ridgetop Increase Medium 0.064</t>
  </si>
  <si>
    <t>Western larch Dry Shallow Ridgetop Increase Large 0.056</t>
  </si>
  <si>
    <t>Western redcedar Wet Other Other Decrease Small 0.036</t>
  </si>
  <si>
    <t>Western redcedar Wet Other Other Decrease Medium 0.009</t>
  </si>
  <si>
    <t>Western redcedar Wet Other Other Decrease Large 0.007</t>
  </si>
  <si>
    <t>Western redcedar Wet Other Other None Small 0.040</t>
  </si>
  <si>
    <t>Western redcedar Wet Other Other None Medium 0.010</t>
  </si>
  <si>
    <t>Western redcedar Wet Other Other None Large 0.008</t>
  </si>
  <si>
    <t>Western redcedar Wet Other Other Increase Small 0.049</t>
  </si>
  <si>
    <t>Western redcedar Wet Other Other Increase Medium 0.012</t>
  </si>
  <si>
    <t>Western redcedar Wet Other Other Increase Large 0.010</t>
  </si>
  <si>
    <t>Western redcedar Wet Other Ridgetop Decrease Small 0.064</t>
  </si>
  <si>
    <t>Western redcedar Wet Other Ridgetop Decrease Medium 0.016</t>
  </si>
  <si>
    <t>Western redcedar Wet Other Ridgetop Decrease Large 0.012</t>
  </si>
  <si>
    <t>Western redcedar Wet Other Ridgetop None Small 0.066</t>
  </si>
  <si>
    <t>Western redcedar Wet Other Ridgetop None Medium 0.016</t>
  </si>
  <si>
    <t>Western redcedar Wet Other Ridgetop None Large 0.013</t>
  </si>
  <si>
    <t>Western redcedar Wet Other Ridgetop Increase Small 0.070</t>
  </si>
  <si>
    <t>Western redcedar Wet Other Ridgetop Increase Medium 0.017</t>
  </si>
  <si>
    <t>Western redcedar Wet Other Ridgetop Increase Large 0.014</t>
  </si>
  <si>
    <t>Western redcedar Wet Shallow Other Decrease Small 0.045</t>
  </si>
  <si>
    <t>Western redcedar Wet Shallow Other Decrease Medium 0.011</t>
  </si>
  <si>
    <t>Western redcedar Wet Shallow Other Decrease Large 0.009</t>
  </si>
  <si>
    <t>Western redcedar Wet Shallow Other None Small 0.049</t>
  </si>
  <si>
    <t>Western redcedar Wet Shallow Other None Medium 0.012</t>
  </si>
  <si>
    <t>Western redcedar Wet Shallow Other None Large 0.010</t>
  </si>
  <si>
    <t>Western redcedar Wet Shallow Other Increase Small 0.049</t>
  </si>
  <si>
    <t>Western redcedar Wet Shallow Other Increase Medium 0.012</t>
  </si>
  <si>
    <t>Western redcedar Wet Shallow Other Increase Large 0.010</t>
  </si>
  <si>
    <t>Western redcedar Wet Shallow Ridgetop Decrease Small 0.082</t>
  </si>
  <si>
    <t>Western redcedar Wet Shallow Ridgetop Decrease Medium 0.020</t>
  </si>
  <si>
    <t>Western redcedar Wet Shallow Ridgetop Decrease Large 0.016</t>
  </si>
  <si>
    <t>Western redcedar Wet Shallow Ridgetop None Small 0.082</t>
  </si>
  <si>
    <t>Western redcedar Wet Shallow Ridgetop None Medium 0.020</t>
  </si>
  <si>
    <t>Western redcedar Wet Shallow Ridgetop None Large 0.016</t>
  </si>
  <si>
    <t>Western redcedar Wet Shallow Ridgetop Increase Small 0.082</t>
  </si>
  <si>
    <t>Western redcedar Wet Shallow Ridgetop Increase Medium 0.020</t>
  </si>
  <si>
    <t>Western redcedar Wet Shallow Ridgetop Increase Large 0.016</t>
  </si>
  <si>
    <t>Western redcedar Mesic Other Other Decrease Small 0.037</t>
  </si>
  <si>
    <t>Western redcedar Mesic Other Other Decrease Medium 0.009</t>
  </si>
  <si>
    <t>Western redcedar Mesic Other Other Decrease Large 0.007</t>
  </si>
  <si>
    <t>Western redcedar Mesic Other Other None Small 0.041</t>
  </si>
  <si>
    <t>Western redcedar Mesic Other Other None Medium 0.010</t>
  </si>
  <si>
    <t>Western redcedar Mesic Other Other None Large 0.008</t>
  </si>
  <si>
    <t>Western redcedar Mesic Other Other Increase Small 0.049</t>
  </si>
  <si>
    <t>Western redcedar Mesic Other Other Increase Medium 0.012</t>
  </si>
  <si>
    <t>Western redcedar Mesic Other Other Increase Large 0.010</t>
  </si>
  <si>
    <t>Western redcedar Mesic Other Ridgetop Decrease Small 0.070</t>
  </si>
  <si>
    <t>Western redcedar Mesic Other Ridgetop Decrease Medium 0.017</t>
  </si>
  <si>
    <t>Western redcedar Mesic Other Ridgetop Decrease Large 0.014</t>
  </si>
  <si>
    <t>Western redcedar Mesic Other Ridgetop None Small 0.070</t>
  </si>
  <si>
    <t>Western redcedar Mesic Other Ridgetop None Medium 0.017</t>
  </si>
  <si>
    <t>Western redcedar Mesic Other Ridgetop None Large 0.014</t>
  </si>
  <si>
    <t>Western redcedar Mesic Other Ridgetop Increase Small 0.074</t>
  </si>
  <si>
    <t>Western redcedar Mesic Other Ridgetop Increase Medium 0.018</t>
  </si>
  <si>
    <t>Western redcedar Mesic Other Ridgetop Increase Large 0.014</t>
  </si>
  <si>
    <t>Western redcedar Mesic Shallow Other Decrease Small 0.045</t>
  </si>
  <si>
    <t>Western redcedar Mesic Shallow Other Decrease Medium 0.011</t>
  </si>
  <si>
    <t>Western redcedar Mesic Shallow Other Decrease Large 0.009</t>
  </si>
  <si>
    <t>Western redcedar Mesic Shallow Other None Small 0.049</t>
  </si>
  <si>
    <t>Western redcedar Mesic Shallow Other None Medium 0.012</t>
  </si>
  <si>
    <t>Western redcedar Mesic Shallow Other None Large 0.010</t>
  </si>
  <si>
    <t>Western redcedar Mesic Shallow Other Increase Small 0.049</t>
  </si>
  <si>
    <t>Western redcedar Mesic Shallow Other Increase Medium 0.012</t>
  </si>
  <si>
    <t>Western redcedar Mesic Shallow Other Increase Large 0.010</t>
  </si>
  <si>
    <t>Western redcedar Mesic Shallow Ridgetop Decrease Small 0.082</t>
  </si>
  <si>
    <t>Western redcedar Mesic Shallow Ridgetop Decrease Medium 0.020</t>
  </si>
  <si>
    <t>Western redcedar Mesic Shallow Ridgetop Decrease Large 0.016</t>
  </si>
  <si>
    <t>Western redcedar Mesic Shallow Ridgetop None Small 0.082</t>
  </si>
  <si>
    <t>Western redcedar Mesic Shallow Ridgetop None Medium 0.020</t>
  </si>
  <si>
    <t>Western redcedar Mesic Shallow Ridgetop None Large 0.016</t>
  </si>
  <si>
    <t>Western redcedar Mesic Shallow Ridgetop Increase Small 0.082</t>
  </si>
  <si>
    <t>Western redcedar Mesic Shallow Ridgetop Increase Medium 0.020</t>
  </si>
  <si>
    <t>Western redcedar Mesic Shallow Ridgetop Increase Large 0.016</t>
  </si>
  <si>
    <t>Western redcedar Dry Other Other Decrease Small 0.040</t>
  </si>
  <si>
    <t>Western redcedar Dry Other Other Decrease Medium 0.010</t>
  </si>
  <si>
    <t>Western redcedar Dry Other Other Decrease Large 0.008</t>
  </si>
  <si>
    <t>Western redcedar Dry Other Other None Small 0.045</t>
  </si>
  <si>
    <t>Western redcedar Dry Other Other None Medium 0.011</t>
  </si>
  <si>
    <t>Western redcedar Dry Other Other None Large 0.009</t>
  </si>
  <si>
    <t>Western redcedar Dry Other Other Increase Small 0.049</t>
  </si>
  <si>
    <t>Western redcedar Dry Other Other Increase Medium 0.012</t>
  </si>
  <si>
    <t>Western redcedar Dry Other Other Increase Large 0.010</t>
  </si>
  <si>
    <t>Western redcedar Dry Other Ridgetop Decrease Small 0.076</t>
  </si>
  <si>
    <t>Western redcedar Dry Other Ridgetop Decrease Medium 0.019</t>
  </si>
  <si>
    <t>Western redcedar Dry Other Ridgetop Decrease Large 0.015</t>
  </si>
  <si>
    <t>Western redcedar Dry Other Ridgetop None Small 0.076</t>
  </si>
  <si>
    <t>Western redcedar Dry Other Ridgetop None Medium 0.019</t>
  </si>
  <si>
    <t>Western redcedar Dry Other Ridgetop None Large 0.015</t>
  </si>
  <si>
    <t>Western redcedar Dry Other Ridgetop Increase Small 0.078</t>
  </si>
  <si>
    <t>Western redcedar Dry Other Ridgetop Increase Medium 0.019</t>
  </si>
  <si>
    <t>Western redcedar Dry Other Ridgetop Increase Large 0.015</t>
  </si>
  <si>
    <t>Western redcedar Dry Shallow Other Decrease Small 0.045</t>
  </si>
  <si>
    <t>Western redcedar Dry Shallow Other Decrease Medium 0.011</t>
  </si>
  <si>
    <t>Western redcedar Dry Shallow Other Decrease Large 0.009</t>
  </si>
  <si>
    <t>Western redcedar Dry Shallow Other None Small 0.049</t>
  </si>
  <si>
    <t>Western redcedar Dry Shallow Other None Medium 0.012</t>
  </si>
  <si>
    <t>Western redcedar Dry Shallow Other None Large 0.010</t>
  </si>
  <si>
    <t>Western redcedar Dry Shallow Other Increase Small 0.049</t>
  </si>
  <si>
    <t>Western redcedar Dry Shallow Other Increase Medium 0.012</t>
  </si>
  <si>
    <t>Western redcedar Dry Shallow Other Increase Large 0.010</t>
  </si>
  <si>
    <t>Western redcedar Dry Shallow Ridgetop Decrease Small 0.082</t>
  </si>
  <si>
    <t>Western redcedar Dry Shallow Ridgetop Decrease Medium 0.020</t>
  </si>
  <si>
    <t>Western redcedar Dry Shallow Ridgetop Decrease Large 0.016</t>
  </si>
  <si>
    <t>Western redcedar Dry Shallow Ridgetop None Small 0.082</t>
  </si>
  <si>
    <t>Western redcedar Dry Shallow Ridgetop None Medium 0.020</t>
  </si>
  <si>
    <t>Western redcedar Dry Shallow Ridgetop None Large 0.016</t>
  </si>
  <si>
    <t>Western redcedar Dry Shallow Ridgetop Increase Small 0.082</t>
  </si>
  <si>
    <t>Western redcedar Dry Shallow Ridgetop Increase Medium 0.020</t>
  </si>
  <si>
    <t>Western redcedar Dry Shallow Ridgetop Increase Large 0.016</t>
  </si>
  <si>
    <t>Pacific madrone Wet Other Other Decrease Small 0.067</t>
  </si>
  <si>
    <t>Pacific madrone Wet Other Other Decrease Medium 0.066</t>
  </si>
  <si>
    <t>Pacific madrone Wet Other Other Decrease Large 0.066</t>
  </si>
  <si>
    <t>Pacific madrone Wet Other Other None Small 0.075</t>
  </si>
  <si>
    <t>Pacific madrone Wet Other Other None Medium 0.073</t>
  </si>
  <si>
    <t>Pacific madrone Wet Other Other None Large 0.073</t>
  </si>
  <si>
    <t>Pacific madrone Wet Other Other Increase Small 0.092</t>
  </si>
  <si>
    <t>Pacific madrone Wet Other Other Increase Medium 0.090</t>
  </si>
  <si>
    <t>Pacific madrone Wet Other Other Increase Large 0.090</t>
  </si>
  <si>
    <t>Pacific madrone Wet Other Ridgetop Decrease Small 0.119</t>
  </si>
  <si>
    <t>Pacific madrone Wet Other Ridgetop Decrease Medium 0.116</t>
  </si>
  <si>
    <t>Pacific madrone Wet Other Ridgetop Decrease Large 0.116</t>
  </si>
  <si>
    <t>Pacific madrone Wet Other Ridgetop None Small 0.123</t>
  </si>
  <si>
    <t>Pacific madrone Wet Other Ridgetop None Medium 0.120</t>
  </si>
  <si>
    <t>Pacific madrone Wet Other Ridgetop None Large 0.120</t>
  </si>
  <si>
    <t>Pacific madrone Wet Other Ridgetop Increase Small 0.131</t>
  </si>
  <si>
    <t>Pacific madrone Wet Other Ridgetop Increase Medium 0.128</t>
  </si>
  <si>
    <t>Pacific madrone Wet Other Ridgetop Increase Large 0.128</t>
  </si>
  <si>
    <t>Pacific madrone Wet Shallow Other Decrease Small 0.085</t>
  </si>
  <si>
    <t>Pacific madrone Wet Shallow Other Decrease Medium 0.083</t>
  </si>
  <si>
    <t>Pacific madrone Wet Shallow Other Decrease Large 0.083</t>
  </si>
  <si>
    <t>Pacific madrone Wet Shallow Other None Small 0.092</t>
  </si>
  <si>
    <t>Pacific madrone Wet Shallow Other None Medium 0.090</t>
  </si>
  <si>
    <t>Pacific madrone Wet Shallow Other None Large 0.090</t>
  </si>
  <si>
    <t>Pacific madrone Wet Shallow Other Increase Small 0.092</t>
  </si>
  <si>
    <t>Pacific madrone Wet Shallow Other Increase Medium 0.090</t>
  </si>
  <si>
    <t>Pacific madrone Wet Shallow Other Increase Large 0.090</t>
  </si>
  <si>
    <t>Pacific madrone Wet Shallow Ridgetop Decrease Small 0.154</t>
  </si>
  <si>
    <t>Pacific madrone Wet Shallow Ridgetop Decrease Medium 0.150</t>
  </si>
  <si>
    <t>Pacific madrone Wet Shallow Ridgetop Decrease Large 0.150</t>
  </si>
  <si>
    <t>Pacific madrone Wet Shallow Ridgetop None Small 0.154</t>
  </si>
  <si>
    <t>Pacific madrone Wet Shallow Ridgetop None Medium 0.150</t>
  </si>
  <si>
    <t>Pacific madrone Wet Shallow Ridgetop None Large 0.150</t>
  </si>
  <si>
    <t>Pacific madrone Wet Shallow Ridgetop Increase Small 0.154</t>
  </si>
  <si>
    <t>Pacific madrone Wet Shallow Ridgetop Increase Medium 0.150</t>
  </si>
  <si>
    <t>Pacific madrone Wet Shallow Ridgetop Increase Large 0.150</t>
  </si>
  <si>
    <t>Pacific madrone Mesic Other Other Decrease Small 0.069</t>
  </si>
  <si>
    <t>Pacific madrone Mesic Other Other Decrease Medium 0.068</t>
  </si>
  <si>
    <t>Pacific madrone Mesic Other Other Decrease Large 0.068</t>
  </si>
  <si>
    <t>Pacific madrone Mesic Other Other None Small 0.077</t>
  </si>
  <si>
    <t>Pacific madrone Mesic Other Other None Medium 0.075</t>
  </si>
  <si>
    <t>Pacific madrone Mesic Other Other None Large 0.075</t>
  </si>
  <si>
    <t>Pacific madrone Mesic Other Other Increase Small 0.092</t>
  </si>
  <si>
    <t>Pacific madrone Mesic Other Other Increase Medium 0.090</t>
  </si>
  <si>
    <t>Pacific madrone Mesic Other Other Increase Large 0.090</t>
  </si>
  <si>
    <t>Pacific madrone Mesic Other Ridgetop Decrease Small 0.131</t>
  </si>
  <si>
    <t>Pacific madrone Mesic Other Ridgetop Decrease Medium 0.128</t>
  </si>
  <si>
    <t>Pacific madrone Mesic Other Ridgetop Decrease Large 0.128</t>
  </si>
  <si>
    <t>Pacific madrone Mesic Other Ridgetop None Small 0.131</t>
  </si>
  <si>
    <t>Pacific madrone Mesic Other Ridgetop None Medium 0.128</t>
  </si>
  <si>
    <t>Pacific madrone Mesic Other Ridgetop None Large 0.128</t>
  </si>
  <si>
    <t>Pacific madrone Mesic Other Ridgetop Increase Small 0.139</t>
  </si>
  <si>
    <t>Pacific madrone Mesic Other Ridgetop Increase Medium 0.135</t>
  </si>
  <si>
    <t>Pacific madrone Mesic Other Ridgetop Increase Large 0.135</t>
  </si>
  <si>
    <t>Pacific madrone Mesic Shallow Other Decrease Small 0.085</t>
  </si>
  <si>
    <t>Pacific madrone Mesic Shallow Other Decrease Medium 0.083</t>
  </si>
  <si>
    <t>Pacific madrone Mesic Shallow Other Decrease Large 0.083</t>
  </si>
  <si>
    <t>Pacific madrone Mesic Shallow Other None Small 0.092</t>
  </si>
  <si>
    <t>Pacific madrone Mesic Shallow Other None Medium 0.090</t>
  </si>
  <si>
    <t>Pacific madrone Mesic Shallow Other None Large 0.090</t>
  </si>
  <si>
    <t>Pacific madrone Mesic Shallow Other Increase Small 0.092</t>
  </si>
  <si>
    <t>Pacific madrone Mesic Shallow Other Increase Medium 0.090</t>
  </si>
  <si>
    <t>Pacific madrone Mesic Shallow Other Increase Large 0.090</t>
  </si>
  <si>
    <t>Pacific madrone Mesic Shallow Ridgetop Decrease Small 0.154</t>
  </si>
  <si>
    <t>Pacific madrone Mesic Shallow Ridgetop Decrease Medium 0.150</t>
  </si>
  <si>
    <t>Pacific madrone Mesic Shallow Ridgetop Decrease Large 0.150</t>
  </si>
  <si>
    <t>Pacific madrone Mesic Shallow Ridgetop None Small 0.154</t>
  </si>
  <si>
    <t>Pacific madrone Mesic Shallow Ridgetop None Medium 0.150</t>
  </si>
  <si>
    <t>Pacific madrone Mesic Shallow Ridgetop None Large 0.150</t>
  </si>
  <si>
    <t>Pacific madrone Mesic Shallow Ridgetop Increase Small 0.154</t>
  </si>
  <si>
    <t>Pacific madrone Mesic Shallow Ridgetop Increase Medium 0.150</t>
  </si>
  <si>
    <t>Pacific madrone Mesic Shallow Ridgetop Increase Large 0.150</t>
  </si>
  <si>
    <t>Pacific madrone Dry Other Other Decrease Small 0.075</t>
  </si>
  <si>
    <t>Pacific madrone Dry Other Other Decrease Medium 0.073</t>
  </si>
  <si>
    <t>Pacific madrone Dry Other Other Decrease Large 0.073</t>
  </si>
  <si>
    <t>Pacific madrone Dry Other Other None Small 0.085</t>
  </si>
  <si>
    <t>Pacific madrone Dry Other Other None Medium 0.083</t>
  </si>
  <si>
    <t>Pacific madrone Dry Other Other None Large 0.083</t>
  </si>
  <si>
    <t>Pacific madrone Dry Other Other Increase Small 0.092</t>
  </si>
  <si>
    <t>Pacific madrone Dry Other Other Increase Medium 0.090</t>
  </si>
  <si>
    <t>Pacific madrone Dry Other Other Increase Large 0.090</t>
  </si>
  <si>
    <t>Pacific madrone Dry Other Ridgetop Decrease Small 0.142</t>
  </si>
  <si>
    <t>Pacific madrone Dry Other Ridgetop Decrease Medium 0.139</t>
  </si>
  <si>
    <t>Pacific madrone Dry Other Ridgetop Decrease Large 0.139</t>
  </si>
  <si>
    <t>Pacific madrone Dry Other Ridgetop None Small 0.142</t>
  </si>
  <si>
    <t>Pacific madrone Dry Other Ridgetop None Medium 0.139</t>
  </si>
  <si>
    <t>Pacific madrone Dry Other Ridgetop None Large 0.139</t>
  </si>
  <si>
    <t>Pacific madrone Dry Other Ridgetop Increase Small 0.146</t>
  </si>
  <si>
    <t>Pacific madrone Dry Other Ridgetop Increase Medium 0.143</t>
  </si>
  <si>
    <t>Pacific madrone Dry Other Ridgetop Increase Large 0.143</t>
  </si>
  <si>
    <t>Pacific madrone Dry Shallow Other Decrease Small 0.085</t>
  </si>
  <si>
    <t>Pacific madrone Dry Shallow Other Decrease Medium 0.083</t>
  </si>
  <si>
    <t>Pacific madrone Dry Shallow Other Decrease Large 0.083</t>
  </si>
  <si>
    <t>Pacific madrone Dry Shallow Other None Small 0.092</t>
  </si>
  <si>
    <t>Pacific madrone Dry Shallow Other None Medium 0.090</t>
  </si>
  <si>
    <t>Pacific madrone Dry Shallow Other None Large 0.090</t>
  </si>
  <si>
    <t>Pacific madrone Dry Shallow Other Increase Small 0.092</t>
  </si>
  <si>
    <t>Pacific madrone Dry Shallow Other Increase Medium 0.090</t>
  </si>
  <si>
    <t>Pacific madrone Dry Shallow Other Increase Large 0.090</t>
  </si>
  <si>
    <t>Pacific madrone Dry Shallow Ridgetop Decrease Small 0.154</t>
  </si>
  <si>
    <t>Pacific madrone Dry Shallow Ridgetop Decrease Medium 0.150</t>
  </si>
  <si>
    <t>Pacific madrone Dry Shallow Ridgetop Decrease Large 0.150</t>
  </si>
  <si>
    <t>Pacific madrone Dry Shallow Ridgetop None Small 0.154</t>
  </si>
  <si>
    <t>Pacific madrone Dry Shallow Ridgetop None Medium 0.150</t>
  </si>
  <si>
    <t>Pacific madrone Dry Shallow Ridgetop None Large 0.150</t>
  </si>
  <si>
    <t>Pacific madrone Dry Shallow Ridgetop Increase Small 0.154</t>
  </si>
  <si>
    <t>Pacific madrone Dry Shallow Ridgetop Increase Medium 0.150</t>
  </si>
  <si>
    <t>Pacific madrone Dry Shallow Ridgetop Increase Large 0.150</t>
  </si>
  <si>
    <t>Lodgepole pine Wet Other Other Decrease Small 0.076</t>
  </si>
  <si>
    <t>Lodgepole pine Wet Other Other Decrease Medium 0.069</t>
  </si>
  <si>
    <t>Lodgepole pine Wet Other Other Decrease Large 0.069</t>
  </si>
  <si>
    <t>Lodgepole pine Wet Other Other None Small 0.085</t>
  </si>
  <si>
    <t>Lodgepole pine Wet Other Other None Medium 0.077</t>
  </si>
  <si>
    <t>Lodgepole pine Wet Other Other None Large 0.077</t>
  </si>
  <si>
    <t>Lodgepole pine Wet Other Other Increase Small 0.104</t>
  </si>
  <si>
    <t>Lodgepole pine Wet Other Other Increase Medium 0.095</t>
  </si>
  <si>
    <t>Lodgepole pine Wet Other Other Increase Large 0.095</t>
  </si>
  <si>
    <t>Lodgepole pine Wet Other Ridgetop Decrease Small 0.135</t>
  </si>
  <si>
    <t>Lodgepole pine Wet Other Ridgetop Decrease Medium 0.122</t>
  </si>
  <si>
    <t>Lodgepole pine Wet Other Ridgetop Decrease Large 0.122</t>
  </si>
  <si>
    <t>Lodgepole pine Wet Other Ridgetop None Small 0.139</t>
  </si>
  <si>
    <t>Lodgepole pine Wet Other Ridgetop None Medium 0.126</t>
  </si>
  <si>
    <t>Lodgepole pine Wet Other Ridgetop None Large 0.126</t>
  </si>
  <si>
    <t>Lodgepole pine Wet Other Ridgetop Increase Small 0.148</t>
  </si>
  <si>
    <t>Lodgepole pine Wet Other Ridgetop Increase Medium 0.134</t>
  </si>
  <si>
    <t>Lodgepole pine Wet Other Ridgetop Increase Large 0.134</t>
  </si>
  <si>
    <t>Lodgepole pine Wet Shallow Other Decrease Small 0.096</t>
  </si>
  <si>
    <t>Lodgepole pine Wet Shallow Other Decrease Medium 0.087</t>
  </si>
  <si>
    <t>Lodgepole pine Wet Shallow Other Decrease Large 0.087</t>
  </si>
  <si>
    <t>Lodgepole pine Wet Shallow Other None Small 0.104</t>
  </si>
  <si>
    <t>Lodgepole pine Wet Shallow Other None Medium 0.095</t>
  </si>
  <si>
    <t>Lodgepole pine Wet Shallow Other None Large 0.095</t>
  </si>
  <si>
    <t>Lodgepole pine Wet Shallow Other Increase Small 0.104</t>
  </si>
  <si>
    <t>Lodgepole pine Wet Shallow Other Increase Medium 0.095</t>
  </si>
  <si>
    <t>Lodgepole pine Wet Shallow Other Increase Large 0.095</t>
  </si>
  <si>
    <t>Lodgepole pine Wet Shallow Ridgetop Decrease Small 0.174</t>
  </si>
  <si>
    <t>Lodgepole pine Wet Shallow Ridgetop Decrease Medium 0.158</t>
  </si>
  <si>
    <t>Lodgepole pine Wet Shallow Ridgetop Decrease Large 0.158</t>
  </si>
  <si>
    <t>Lodgepole pine Wet Shallow Ridgetop None Small 0.174</t>
  </si>
  <si>
    <t>Lodgepole pine Wet Shallow Ridgetop None Medium 0.158</t>
  </si>
  <si>
    <t>Lodgepole pine Wet Shallow Ridgetop None Large 0.158</t>
  </si>
  <si>
    <t>Lodgepole pine Wet Shallow Ridgetop Increase Small 0.174</t>
  </si>
  <si>
    <t>Lodgepole pine Wet Shallow Ridgetop Increase Medium 0.158</t>
  </si>
  <si>
    <t>Lodgepole pine Wet Shallow Ridgetop Increase Large 0.158</t>
  </si>
  <si>
    <t>Lodgepole pine Mesic Other Other Decrease Small 0.078</t>
  </si>
  <si>
    <t>Lodgepole pine Mesic Other Other Decrease Medium 0.071</t>
  </si>
  <si>
    <t>Lodgepole pine Mesic Other Other Decrease Large 0.071</t>
  </si>
  <si>
    <t>Lodgepole pine Mesic Other Other None Small 0.087</t>
  </si>
  <si>
    <t>Lodgepole pine Mesic Other Other None Medium 0.079</t>
  </si>
  <si>
    <t>Lodgepole pine Mesic Other Other None Large 0.079</t>
  </si>
  <si>
    <t>Lodgepole pine Mesic Other Other Increase Small 0.104</t>
  </si>
  <si>
    <t>Lodgepole pine Mesic Other Other Increase Medium 0.095</t>
  </si>
  <si>
    <t>Lodgepole pine Mesic Other Other Increase Large 0.095</t>
  </si>
  <si>
    <t>Lodgepole pine Mesic Other Ridgetop Decrease Small 0.148</t>
  </si>
  <si>
    <t>Lodgepole pine Mesic Other Ridgetop Decrease Medium 0.134</t>
  </si>
  <si>
    <t>Lodgepole pine Mesic Other Ridgetop Decrease Large 0.134</t>
  </si>
  <si>
    <t>Lodgepole pine Mesic Other Ridgetop None Small 0.148</t>
  </si>
  <si>
    <t>Lodgepole pine Mesic Other Ridgetop None Medium 0.134</t>
  </si>
  <si>
    <t>Lodgepole pine Mesic Other Ridgetop None Large 0.134</t>
  </si>
  <si>
    <t>Lodgepole pine Mesic Other Ridgetop Increase Small 0.157</t>
  </si>
  <si>
    <t>Lodgepole pine Mesic Other Ridgetop Increase Medium 0.142</t>
  </si>
  <si>
    <t>Lodgepole pine Mesic Other Ridgetop Increase Large 0.142</t>
  </si>
  <si>
    <t>Lodgepole pine Mesic Shallow Other Decrease Small 0.096</t>
  </si>
  <si>
    <t>Lodgepole pine Mesic Shallow Other Decrease Medium 0.087</t>
  </si>
  <si>
    <t>Lodgepole pine Mesic Shallow Other Decrease Large 0.087</t>
  </si>
  <si>
    <t>Lodgepole pine Mesic Shallow Other None Small 0.104</t>
  </si>
  <si>
    <t>Lodgepole pine Mesic Shallow Other None Medium 0.095</t>
  </si>
  <si>
    <t>Lodgepole pine Mesic Shallow Other None Large 0.095</t>
  </si>
  <si>
    <t>Lodgepole pine Mesic Shallow Other Increase Small 0.104</t>
  </si>
  <si>
    <t>Lodgepole pine Mesic Shallow Other Increase Medium 0.095</t>
  </si>
  <si>
    <t>Lodgepole pine Mesic Shallow Other Increase Large 0.095</t>
  </si>
  <si>
    <t>Lodgepole pine Mesic Shallow Ridgetop Decrease Small 0.174</t>
  </si>
  <si>
    <t>Lodgepole pine Mesic Shallow Ridgetop Decrease Medium 0.158</t>
  </si>
  <si>
    <t>Lodgepole pine Mesic Shallow Ridgetop Decrease Large 0.158</t>
  </si>
  <si>
    <t>Lodgepole pine Mesic Shallow Ridgetop None Small 0.174</t>
  </si>
  <si>
    <t>Lodgepole pine Mesic Shallow Ridgetop None Medium 0.158</t>
  </si>
  <si>
    <t>Lodgepole pine Mesic Shallow Ridgetop None Large 0.158</t>
  </si>
  <si>
    <t>Lodgepole pine Mesic Shallow Ridgetop Increase Small 0.174</t>
  </si>
  <si>
    <t>Lodgepole pine Mesic Shallow Ridgetop Increase Medium 0.158</t>
  </si>
  <si>
    <t>Lodgepole pine Mesic Shallow Ridgetop Increase Large 0.158</t>
  </si>
  <si>
    <t>Lodgepole pine Dry Other Other Decrease Small 0.085</t>
  </si>
  <si>
    <t>Lodgepole pine Dry Other Other Decrease Medium 0.077</t>
  </si>
  <si>
    <t>Lodgepole pine Dry Other Other Decrease Large 0.077</t>
  </si>
  <si>
    <t>Lodgepole pine Dry Other Other None Small 0.096</t>
  </si>
  <si>
    <t>Lodgepole pine Dry Other Other None Medium 0.087</t>
  </si>
  <si>
    <t>Lodgepole pine Dry Other Other None Large 0.087</t>
  </si>
  <si>
    <t>Lodgepole pine Dry Other Other Increase Small 0.104</t>
  </si>
  <si>
    <t>Lodgepole pine Dry Other Other Increase Medium 0.095</t>
  </si>
  <si>
    <t>Lodgepole pine Dry Other Other Increase Large 0.095</t>
  </si>
  <si>
    <t>Lodgepole pine Dry Other Ridgetop Decrease Small 0.161</t>
  </si>
  <si>
    <t>Lodgepole pine Dry Other Ridgetop Decrease Medium 0.146</t>
  </si>
  <si>
    <t>Lodgepole pine Dry Other Ridgetop Decrease Large 0.146</t>
  </si>
  <si>
    <t>Lodgepole pine Dry Other Ridgetop None Small 0.161</t>
  </si>
  <si>
    <t>Lodgepole pine Dry Other Ridgetop None Medium 0.146</t>
  </si>
  <si>
    <t>Lodgepole pine Dry Other Ridgetop None Large 0.146</t>
  </si>
  <si>
    <t>Lodgepole pine Dry Other Ridgetop Increase Small 0.165</t>
  </si>
  <si>
    <t>Lodgepole pine Dry Other Ridgetop Increase Medium 0.150</t>
  </si>
  <si>
    <t>Lodgepole pine Dry Other Ridgetop Increase Large 0.150</t>
  </si>
  <si>
    <t>Lodgepole pine Dry Shallow Other Decrease Small 0.096</t>
  </si>
  <si>
    <t>Lodgepole pine Dry Shallow Other Decrease Medium 0.087</t>
  </si>
  <si>
    <t>Lodgepole pine Dry Shallow Other Decrease Large 0.087</t>
  </si>
  <si>
    <t>Lodgepole pine Dry Shallow Other None Small 0.104</t>
  </si>
  <si>
    <t>Lodgepole pine Dry Shallow Other None Medium 0.095</t>
  </si>
  <si>
    <t>Lodgepole pine Dry Shallow Other None Large 0.095</t>
  </si>
  <si>
    <t>Lodgepole pine Dry Shallow Other Increase Small 0.104</t>
  </si>
  <si>
    <t>Lodgepole pine Dry Shallow Other Increase Medium 0.095</t>
  </si>
  <si>
    <t>Lodgepole pine Dry Shallow Other Increase Large 0.095</t>
  </si>
  <si>
    <t>Lodgepole pine Dry Shallow Ridgetop Decrease Small 0.174</t>
  </si>
  <si>
    <t>Lodgepole pine Dry Shallow Ridgetop Decrease Medium 0.158</t>
  </si>
  <si>
    <t>Lodgepole pine Dry Shallow Ridgetop Decrease Large 0.158</t>
  </si>
  <si>
    <t>Lodgepole pine Dry Shallow Ridgetop None Small 0.174</t>
  </si>
  <si>
    <t>Lodgepole pine Dry Shallow Ridgetop None Medium 0.158</t>
  </si>
  <si>
    <t>Lodgepole pine Dry Shallow Ridgetop None Large 0.158</t>
  </si>
  <si>
    <t>Lodgepole pine Dry Shallow Ridgetop Increase Small 0.174</t>
  </si>
  <si>
    <t>Lodgepole pine Dry Shallow Ridgetop Increase Medium 0.158</t>
  </si>
  <si>
    <t>Lodgepole pine Dry Shallow Ridgetop Increase Large 0.158</t>
  </si>
  <si>
    <t>Spruce Wet Other Other Decrease Small 0.067</t>
  </si>
  <si>
    <t>Spruce Wet Other Other Decrease Medium 0.040</t>
  </si>
  <si>
    <t>Spruce Wet Other Other Decrease Large 0.038</t>
  </si>
  <si>
    <t>Spruce Wet Other Other None Small 0.074</t>
  </si>
  <si>
    <t>Spruce Wet Other Other None Medium 0.045</t>
  </si>
  <si>
    <t>Spruce Wet Other Other None Large 0.042</t>
  </si>
  <si>
    <t>Spruce Wet Other Other Increase Small 0.091</t>
  </si>
  <si>
    <t>Spruce Wet Other Other Increase Medium 0.055</t>
  </si>
  <si>
    <t>Spruce Wet Other Other Increase Large 0.052</t>
  </si>
  <si>
    <t>Spruce Wet Other Ridgetop Decrease Small 0.118</t>
  </si>
  <si>
    <t>Spruce Wet Other Ridgetop Decrease Medium 0.071</t>
  </si>
  <si>
    <t>Spruce Wet Other Ridgetop Decrease Large 0.067</t>
  </si>
  <si>
    <t>Spruce Wet Other Ridgetop None Small 0.122</t>
  </si>
  <si>
    <t>Spruce Wet Other Ridgetop None Medium 0.074</t>
  </si>
  <si>
    <t>Spruce Wet Other Ridgetop None Large 0.069</t>
  </si>
  <si>
    <t>Spruce Wet Other Ridgetop Increase Small 0.129</t>
  </si>
  <si>
    <t>Spruce Wet Other Ridgetop Increase Medium 0.078</t>
  </si>
  <si>
    <t>Spruce Wet Other Ridgetop Increase Large 0.073</t>
  </si>
  <si>
    <t>Spruce Wet Shallow Other Decrease Small 0.084</t>
  </si>
  <si>
    <t>Spruce Wet Shallow Other Decrease Medium 0.051</t>
  </si>
  <si>
    <t>Spruce Wet Shallow Other Decrease Large 0.047</t>
  </si>
  <si>
    <t>Spruce Wet Shallow Other None Small 0.091</t>
  </si>
  <si>
    <t>Spruce Wet Shallow Other None Medium 0.055</t>
  </si>
  <si>
    <t>Spruce Wet Shallow Other None Large 0.052</t>
  </si>
  <si>
    <t>Spruce Wet Shallow Other Increase Small 0.091</t>
  </si>
  <si>
    <t>Spruce Wet Shallow Other Increase Medium 0.055</t>
  </si>
  <si>
    <t>Spruce Wet Shallow Other Increase Large 0.052</t>
  </si>
  <si>
    <t>Spruce Wet Shallow Ridgetop Decrease Small 0.152</t>
  </si>
  <si>
    <t>Spruce Wet Shallow Ridgetop Decrease Medium 0.092</t>
  </si>
  <si>
    <t>Spruce Wet Shallow Ridgetop Decrease Large 0.086</t>
  </si>
  <si>
    <t>Spruce Wet Shallow Ridgetop None Small 0.152</t>
  </si>
  <si>
    <t>Spruce Wet Shallow Ridgetop None Medium 0.092</t>
  </si>
  <si>
    <t>Spruce Wet Shallow Ridgetop None Large 0.086</t>
  </si>
  <si>
    <t>Spruce Wet Shallow Ridgetop Increase Small 0.152</t>
  </si>
  <si>
    <t>Spruce Wet Shallow Ridgetop Increase Medium 0.092</t>
  </si>
  <si>
    <t>Spruce Wet Shallow Ridgetop Increase Large 0.086</t>
  </si>
  <si>
    <t>Spruce Mesic Other Other Decrease Small 0.068</t>
  </si>
  <si>
    <t>Spruce Mesic Other Other Decrease Medium 0.041</t>
  </si>
  <si>
    <t>Spruce Mesic Other Other Decrease Large 0.039</t>
  </si>
  <si>
    <t>Spruce Mesic Other Other None Small 0.076</t>
  </si>
  <si>
    <t>Spruce Mesic Other Other None Medium 0.046</t>
  </si>
  <si>
    <t>Spruce Mesic Other Other None Large 0.043</t>
  </si>
  <si>
    <t>Spruce Mesic Other Other Increase Small 0.091</t>
  </si>
  <si>
    <t>Spruce Mesic Other Other Increase Medium 0.055</t>
  </si>
  <si>
    <t>Spruce Mesic Other Other Increase Large 0.052</t>
  </si>
  <si>
    <t>Spruce Mesic Other Ridgetop Decrease Small 0.129</t>
  </si>
  <si>
    <t>Spruce Mesic Other Ridgetop Decrease Medium 0.078</t>
  </si>
  <si>
    <t>Spruce Mesic Other Ridgetop Decrease Large 0.073</t>
  </si>
  <si>
    <t>Spruce Mesic Other Ridgetop None Small 0.129</t>
  </si>
  <si>
    <t>Spruce Mesic Other Ridgetop None Medium 0.078</t>
  </si>
  <si>
    <t>Spruce Mesic Other Ridgetop None Large 0.073</t>
  </si>
  <si>
    <t>Spruce Mesic Other Ridgetop Increase Small 0.137</t>
  </si>
  <si>
    <t>Spruce Mesic Other Ridgetop Increase Medium 0.083</t>
  </si>
  <si>
    <t>Spruce Mesic Other Ridgetop Increase Large 0.077</t>
  </si>
  <si>
    <t>Spruce Mesic Shallow Other Decrease Small 0.084</t>
  </si>
  <si>
    <t>Spruce Mesic Shallow Other Decrease Medium 0.051</t>
  </si>
  <si>
    <t>Spruce Mesic Shallow Other Decrease Large 0.047</t>
  </si>
  <si>
    <t>Spruce Mesic Shallow Other None Small 0.091</t>
  </si>
  <si>
    <t>Spruce Mesic Shallow Other None Medium 0.055</t>
  </si>
  <si>
    <t>Spruce Mesic Shallow Other None Large 0.052</t>
  </si>
  <si>
    <t>Spruce Mesic Shallow Other Increase Small 0.091</t>
  </si>
  <si>
    <t>Spruce Mesic Shallow Other Increase Medium 0.055</t>
  </si>
  <si>
    <t>Spruce Mesic Shallow Other Increase Large 0.052</t>
  </si>
  <si>
    <t>Spruce Mesic Shallow Ridgetop Decrease Small 0.152</t>
  </si>
  <si>
    <t>Spruce Mesic Shallow Ridgetop Decrease Medium 0.092</t>
  </si>
  <si>
    <t>Spruce Mesic Shallow Ridgetop Decrease Large 0.086</t>
  </si>
  <si>
    <t>Spruce Mesic Shallow Ridgetop None Small 0.152</t>
  </si>
  <si>
    <t>Spruce Mesic Shallow Ridgetop None Medium 0.092</t>
  </si>
  <si>
    <t>Spruce Mesic Shallow Ridgetop None Large 0.086</t>
  </si>
  <si>
    <t>Spruce Mesic Shallow Ridgetop Increase Small 0.152</t>
  </si>
  <si>
    <t>Spruce Mesic Shallow Ridgetop Increase Medium 0.092</t>
  </si>
  <si>
    <t>Spruce Mesic Shallow Ridgetop Increase Large 0.086</t>
  </si>
  <si>
    <t>Spruce Dry Other Other Decrease Small 0.074</t>
  </si>
  <si>
    <t>Spruce Dry Other Other Decrease Medium 0.045</t>
  </si>
  <si>
    <t>Spruce Dry Other Other Decrease Large 0.042</t>
  </si>
  <si>
    <t>Spruce Dry Other Other None Small 0.084</t>
  </si>
  <si>
    <t>Spruce Dry Other Other None Medium 0.051</t>
  </si>
  <si>
    <t>Spruce Dry Other Other None Large 0.047</t>
  </si>
  <si>
    <t>Spruce Dry Other Other Increase Small 0.091</t>
  </si>
  <si>
    <t>Spruce Dry Other Other Increase Medium 0.055</t>
  </si>
  <si>
    <t>Spruce Dry Other Other Increase Large 0.052</t>
  </si>
  <si>
    <t>Spruce Dry Other Ridgetop Decrease Small 0.141</t>
  </si>
  <si>
    <t>Spruce Dry Other Ridgetop Decrease Medium 0.085</t>
  </si>
  <si>
    <t>Spruce Dry Other Ridgetop Decrease Large 0.080</t>
  </si>
  <si>
    <t>Spruce Dry Other Ridgetop None Small 0.141</t>
  </si>
  <si>
    <t>Spruce Dry Other Ridgetop None Medium 0.085</t>
  </si>
  <si>
    <t>Spruce Dry Other Ridgetop None Large 0.080</t>
  </si>
  <si>
    <t>Spruce Dry Other Ridgetop Increase Small 0.144</t>
  </si>
  <si>
    <t>Spruce Dry Other Ridgetop Increase Medium 0.087</t>
  </si>
  <si>
    <t>Spruce Dry Other Ridgetop Increase Large 0.082</t>
  </si>
  <si>
    <t>Spruce Dry Shallow Other Decrease Small 0.084</t>
  </si>
  <si>
    <t>Spruce Dry Shallow Other Decrease Medium 0.051</t>
  </si>
  <si>
    <t>Spruce Dry Shallow Other Decrease Large 0.047</t>
  </si>
  <si>
    <t>Spruce Dry Shallow Other None Small 0.091</t>
  </si>
  <si>
    <t>Spruce Dry Shallow Other None Medium 0.055</t>
  </si>
  <si>
    <t>Spruce Dry Shallow Other None Large 0.052</t>
  </si>
  <si>
    <t>Spruce Dry Shallow Other Increase Small 0.091</t>
  </si>
  <si>
    <t>Spruce Dry Shallow Other Increase Medium 0.055</t>
  </si>
  <si>
    <t>Spruce Dry Shallow Other Increase Large 0.052</t>
  </si>
  <si>
    <t>Spruce Dry Shallow Ridgetop Decrease Small 0.152</t>
  </si>
  <si>
    <t>Spruce Dry Shallow Ridgetop Decrease Medium 0.092</t>
  </si>
  <si>
    <t>Spruce Dry Shallow Ridgetop Decrease Large 0.086</t>
  </si>
  <si>
    <t>Spruce Dry Shallow Ridgetop None Small 0.152</t>
  </si>
  <si>
    <t>Spruce Dry Shallow Ridgetop None Medium 0.092</t>
  </si>
  <si>
    <t>Spruce Dry Shallow Ridgetop None Large 0.086</t>
  </si>
  <si>
    <t>Spruce Dry Shallow Ridgetop Increase Small 0.152</t>
  </si>
  <si>
    <t>Spruce Dry Shallow Ridgetop Increase Medium 0.092</t>
  </si>
  <si>
    <t>Spruce Dry Shallow Ridgetop Increase Large 0.086</t>
  </si>
  <si>
    <t>Western hemlock Wet Other Other Decrease Small 0.053</t>
  </si>
  <si>
    <t>Western hemlock Wet Other Other Decrease Medium 0.032</t>
  </si>
  <si>
    <t>Western hemlock Wet Other Other Decrease Large 0.018</t>
  </si>
  <si>
    <t>Western hemlock Wet Other Other None Small 0.059</t>
  </si>
  <si>
    <t>Western hemlock Wet Other Other None Medium 0.036</t>
  </si>
  <si>
    <t>Western hemlock Wet Other Other None Large 0.020</t>
  </si>
  <si>
    <t>Western hemlock Wet Other Other Increase Small 0.073</t>
  </si>
  <si>
    <t>Western hemlock Wet Other Other Increase Medium 0.044</t>
  </si>
  <si>
    <t>Western hemlock Wet Other Other Increase Large 0.024</t>
  </si>
  <si>
    <t>Western hemlock Wet Other Ridgetop Decrease Small 0.095</t>
  </si>
  <si>
    <t>Western hemlock Wet Other Ridgetop Decrease Medium 0.057</t>
  </si>
  <si>
    <t>Western hemlock Wet Other Ridgetop Decrease Large 0.031</t>
  </si>
  <si>
    <t>Western hemlock Wet Other Ridgetop None Small 0.098</t>
  </si>
  <si>
    <t>Western hemlock Wet Other Ridgetop None Medium 0.059</t>
  </si>
  <si>
    <t>Western hemlock Wet Other Ridgetop None Large 0.032</t>
  </si>
  <si>
    <t>Western hemlock Wet Other Ridgetop Increase Small 0.104</t>
  </si>
  <si>
    <t>Western hemlock Wet Other Ridgetop Increase Medium 0.063</t>
  </si>
  <si>
    <t>Western hemlock Wet Other Ridgetop Increase Large 0.034</t>
  </si>
  <si>
    <t>Western hemlock Wet Shallow Other Decrease Small 0.067</t>
  </si>
  <si>
    <t>Western hemlock Wet Shallow Other Decrease Medium 0.041</t>
  </si>
  <si>
    <t>Western hemlock Wet Shallow Other Decrease Large 0.022</t>
  </si>
  <si>
    <t>Western hemlock Wet Shallow Other None Small 0.073</t>
  </si>
  <si>
    <t>Western hemlock Wet Shallow Other None Medium 0.044</t>
  </si>
  <si>
    <t>Western hemlock Wet Shallow Other None Large 0.024</t>
  </si>
  <si>
    <t>Western hemlock Wet Shallow Other Increase Small 0.073</t>
  </si>
  <si>
    <t>Western hemlock Wet Shallow Other Increase Medium 0.044</t>
  </si>
  <si>
    <t>Western hemlock Wet Shallow Other Increase Large 0.024</t>
  </si>
  <si>
    <t>Western hemlock Wet Shallow Ridgetop Decrease Small 0.122</t>
  </si>
  <si>
    <t>Western hemlock Wet Shallow Ridgetop Decrease Medium 0.074</t>
  </si>
  <si>
    <t>Western hemlock Wet Shallow Ridgetop Decrease Large 0.040</t>
  </si>
  <si>
    <t>Western hemlock Wet Shallow Ridgetop None Small 0.122</t>
  </si>
  <si>
    <t>Western hemlock Wet Shallow Ridgetop None Medium 0.074</t>
  </si>
  <si>
    <t>Western hemlock Wet Shallow Ridgetop None Large 0.040</t>
  </si>
  <si>
    <t>Western hemlock Wet Shallow Ridgetop Increase Small 0.122</t>
  </si>
  <si>
    <t>Western hemlock Wet Shallow Ridgetop Increase Medium 0.074</t>
  </si>
  <si>
    <t>Western hemlock Wet Shallow Ridgetop Increase Large 0.040</t>
  </si>
  <si>
    <t>Western hemlock Mesic Other Other Decrease Small 0.055</t>
  </si>
  <si>
    <t>Western hemlock Mesic Other Other Decrease Medium 0.033</t>
  </si>
  <si>
    <t>Western hemlock Mesic Other Other Decrease Large 0.018</t>
  </si>
  <si>
    <t>Western hemlock Mesic Other Other None Small 0.061</t>
  </si>
  <si>
    <t>Western hemlock Mesic Other Other None Medium 0.037</t>
  </si>
  <si>
    <t>Western hemlock Mesic Other Other None Large 0.020</t>
  </si>
  <si>
    <t>Western hemlock Mesic Other Other Increase Small 0.073</t>
  </si>
  <si>
    <t>Western hemlock Mesic Other Other Increase Medium 0.044</t>
  </si>
  <si>
    <t>Western hemlock Mesic Other Other Increase Large 0.024</t>
  </si>
  <si>
    <t>Western hemlock Mesic Other Ridgetop Decrease Small 0.104</t>
  </si>
  <si>
    <t>Western hemlock Mesic Other Ridgetop Decrease Medium 0.063</t>
  </si>
  <si>
    <t>Western hemlock Mesic Other Ridgetop Decrease Large 0.034</t>
  </si>
  <si>
    <t>Western hemlock Mesic Other Ridgetop None Small 0.104</t>
  </si>
  <si>
    <t>Western hemlock Mesic Other Ridgetop None Medium 0.063</t>
  </si>
  <si>
    <t>Western hemlock Mesic Other Ridgetop None Large 0.034</t>
  </si>
  <si>
    <t>Western hemlock Mesic Other Ridgetop Increase Small 0.110</t>
  </si>
  <si>
    <t>Western hemlock Mesic Other Ridgetop Increase Medium 0.067</t>
  </si>
  <si>
    <t>Western hemlock Mesic Other Ridgetop Increase Large 0.036</t>
  </si>
  <si>
    <t>Western hemlock Mesic Shallow Other Decrease Small 0.067</t>
  </si>
  <si>
    <t>Western hemlock Mesic Shallow Other Decrease Medium 0.041</t>
  </si>
  <si>
    <t>Western hemlock Mesic Shallow Other Decrease Large 0.022</t>
  </si>
  <si>
    <t>Western hemlock Mesic Shallow Other None Small 0.073</t>
  </si>
  <si>
    <t>Western hemlock Mesic Shallow Other None Medium 0.044</t>
  </si>
  <si>
    <t>Western hemlock Mesic Shallow Other None Large 0.024</t>
  </si>
  <si>
    <t>Western hemlock Mesic Shallow Other Increase Small 0.073</t>
  </si>
  <si>
    <t>Western hemlock Mesic Shallow Other Increase Medium 0.044</t>
  </si>
  <si>
    <t>Western hemlock Mesic Shallow Other Increase Large 0.024</t>
  </si>
  <si>
    <t>Western hemlock Mesic Shallow Ridgetop Decrease Small 0.122</t>
  </si>
  <si>
    <t>Western hemlock Mesic Shallow Ridgetop Decrease Medium 0.074</t>
  </si>
  <si>
    <t>Western hemlock Mesic Shallow Ridgetop Decrease Large 0.040</t>
  </si>
  <si>
    <t>Western hemlock Mesic Shallow Ridgetop None Small 0.122</t>
  </si>
  <si>
    <t>Western hemlock Mesic Shallow Ridgetop None Medium 0.074</t>
  </si>
  <si>
    <t>Western hemlock Mesic Shallow Ridgetop None Large 0.040</t>
  </si>
  <si>
    <t>Western hemlock Mesic Shallow Ridgetop Increase Small 0.122</t>
  </si>
  <si>
    <t>Western hemlock Mesic Shallow Ridgetop Increase Medium 0.074</t>
  </si>
  <si>
    <t>Western hemlock Mesic Shallow Ridgetop Increase Large 0.040</t>
  </si>
  <si>
    <t>Western hemlock Dry Other Other Decrease Small 0.059</t>
  </si>
  <si>
    <t>Western hemlock Dry Other Other Decrease Medium 0.036</t>
  </si>
  <si>
    <t>Western hemlock Dry Other Other Decrease Large 0.020</t>
  </si>
  <si>
    <t>Western hemlock Dry Other Other None Small 0.067</t>
  </si>
  <si>
    <t>Western hemlock Dry Other Other None Medium 0.041</t>
  </si>
  <si>
    <t>Western hemlock Dry Other Other None Large 0.022</t>
  </si>
  <si>
    <t>Western hemlock Dry Other Other Increase Small 0.073</t>
  </si>
  <si>
    <t>Western hemlock Dry Other Other Increase Medium 0.044</t>
  </si>
  <si>
    <t>Western hemlock Dry Other Other Increase Large 0.024</t>
  </si>
  <si>
    <t>Western hemlock Dry Other Ridgetop Decrease Small 0.113</t>
  </si>
  <si>
    <t>Western hemlock Dry Other Ridgetop Decrease Medium 0.068</t>
  </si>
  <si>
    <t>Western hemlock Dry Other Ridgetop Decrease Large 0.037</t>
  </si>
  <si>
    <t>Western hemlock Dry Other Ridgetop None Small 0.113</t>
  </si>
  <si>
    <t>Western hemlock Dry Other Ridgetop None Medium 0.068</t>
  </si>
  <si>
    <t>Western hemlock Dry Other Ridgetop None Large 0.037</t>
  </si>
  <si>
    <t>Western hemlock Dry Other Ridgetop Increase Small 0.116</t>
  </si>
  <si>
    <t>Western hemlock Dry Other Ridgetop Increase Medium 0.070</t>
  </si>
  <si>
    <t>Western hemlock Dry Other Ridgetop Increase Large 0.038</t>
  </si>
  <si>
    <t>Western hemlock Dry Shallow Other Decrease Small 0.067</t>
  </si>
  <si>
    <t>Western hemlock Dry Shallow Other Decrease Medium 0.041</t>
  </si>
  <si>
    <t>Western hemlock Dry Shallow Other Decrease Large 0.022</t>
  </si>
  <si>
    <t>Western hemlock Dry Shallow Other None Small 0.073</t>
  </si>
  <si>
    <t>Western hemlock Dry Shallow Other None Medium 0.044</t>
  </si>
  <si>
    <t>Western hemlock Dry Shallow Other None Large 0.024</t>
  </si>
  <si>
    <t>Western hemlock Dry Shallow Other Increase Small 0.073</t>
  </si>
  <si>
    <t>Western hemlock Dry Shallow Other Increase Medium 0.044</t>
  </si>
  <si>
    <t>Western hemlock Dry Shallow Other Increase Large 0.024</t>
  </si>
  <si>
    <t>Western hemlock Dry Shallow Ridgetop Decrease Small 0.122</t>
  </si>
  <si>
    <t>Western hemlock Dry Shallow Ridgetop Decrease Medium 0.074</t>
  </si>
  <si>
    <t>Western hemlock Dry Shallow Ridgetop Decrease Large 0.040</t>
  </si>
  <si>
    <t>Western hemlock Dry Shallow Ridgetop None Small 0.122</t>
  </si>
  <si>
    <t>Western hemlock Dry Shallow Ridgetop None Medium 0.074</t>
  </si>
  <si>
    <t>Western hemlock Dry Shallow Ridgetop None Large 0.040</t>
  </si>
  <si>
    <t>Western hemlock Dry Shallow Ridgetop Increase Small 0.122</t>
  </si>
  <si>
    <t>Western hemlock Dry Shallow Ridgetop Increase Medium 0.074</t>
  </si>
  <si>
    <t>Western hemlock Dry Shallow Ridgetop Increase Large 0.040</t>
  </si>
  <si>
    <t>Mountain hemlock Wet Other Other Decrease Small 0.042</t>
  </si>
  <si>
    <t>Mountain hemlock Wet Other Other Decrease Medium 0.035</t>
  </si>
  <si>
    <t>Mountain hemlock Wet Other Other Decrease Large 0.019</t>
  </si>
  <si>
    <t>Mountain hemlock Wet Other Other None Small 0.047</t>
  </si>
  <si>
    <t>Mountain hemlock Wet Other Other None Medium 0.039</t>
  </si>
  <si>
    <t>Mountain hemlock Wet Other Other None Large 0.021</t>
  </si>
  <si>
    <t>Mountain hemlock Wet Other Other Increase Small 0.058</t>
  </si>
  <si>
    <t>Mountain hemlock Wet Other Other Increase Medium 0.048</t>
  </si>
  <si>
    <t>Mountain hemlock Wet Other Other Increase Large 0.026</t>
  </si>
  <si>
    <t>Mountain hemlock Wet Other Ridgetop Decrease Small 0.074</t>
  </si>
  <si>
    <t>Mountain hemlock Wet Other Ridgetop Decrease Medium 0.062</t>
  </si>
  <si>
    <t>Mountain hemlock Wet Other Ridgetop Decrease Large 0.034</t>
  </si>
  <si>
    <t>Mountain hemlock Wet Other Ridgetop None Small 0.077</t>
  </si>
  <si>
    <t>Mountain hemlock Wet Other Ridgetop None Medium 0.064</t>
  </si>
  <si>
    <t>Mountain hemlock Wet Other Ridgetop None Large 0.035</t>
  </si>
  <si>
    <t>Mountain hemlock Wet Other Ridgetop Increase Small 0.082</t>
  </si>
  <si>
    <t>Mountain hemlock Wet Other Ridgetop Increase Medium 0.068</t>
  </si>
  <si>
    <t>Mountain hemlock Wet Other Ridgetop Increase Large 0.037</t>
  </si>
  <si>
    <t>Mountain hemlock Wet Shallow Other Decrease Small 0.053</t>
  </si>
  <si>
    <t>Mountain hemlock Wet Shallow Other Decrease Medium 0.044</t>
  </si>
  <si>
    <t>Mountain hemlock Wet Shallow Other Decrease Large 0.024</t>
  </si>
  <si>
    <t>Mountain hemlock Wet Shallow Other None Small 0.058</t>
  </si>
  <si>
    <t>Mountain hemlock Wet Shallow Other None Medium 0.048</t>
  </si>
  <si>
    <t>Mountain hemlock Wet Shallow Other None Large 0.026</t>
  </si>
  <si>
    <t>Mountain hemlock Wet Shallow Other Increase Small 0.058</t>
  </si>
  <si>
    <t>Mountain hemlock Wet Shallow Other Increase Medium 0.048</t>
  </si>
  <si>
    <t>Mountain hemlock Wet Shallow Other Increase Large 0.026</t>
  </si>
  <si>
    <t>Mountain hemlock Wet Shallow Ridgetop Decrease Small 0.096</t>
  </si>
  <si>
    <t>Mountain hemlock Wet Shallow Ridgetop Decrease Medium 0.080</t>
  </si>
  <si>
    <t>Mountain hemlock Wet Shallow Ridgetop Decrease Large 0.044</t>
  </si>
  <si>
    <t>Mountain hemlock Wet Shallow Ridgetop None Small 0.096</t>
  </si>
  <si>
    <t>Mountain hemlock Wet Shallow Ridgetop None Medium 0.080</t>
  </si>
  <si>
    <t>Mountain hemlock Wet Shallow Ridgetop None Large 0.044</t>
  </si>
  <si>
    <t>Mountain hemlock Wet Shallow Ridgetop Increase Small 0.096</t>
  </si>
  <si>
    <t>Mountain hemlock Wet Shallow Ridgetop Increase Medium 0.080</t>
  </si>
  <si>
    <t>Mountain hemlock Wet Shallow Ridgetop Increase Large 0.044</t>
  </si>
  <si>
    <t>Mountain hemlock Mesic Other Other Decrease Small 0.043</t>
  </si>
  <si>
    <t>Mountain hemlock Mesic Other Other Decrease Medium 0.036</t>
  </si>
  <si>
    <t>Mountain hemlock Mesic Other Other Decrease Large 0.020</t>
  </si>
  <si>
    <t>Mountain hemlock Mesic Other Other None Small 0.048</t>
  </si>
  <si>
    <t>Mountain hemlock Mesic Other Other None Medium 0.040</t>
  </si>
  <si>
    <t>Mountain hemlock Mesic Other Other None Large 0.022</t>
  </si>
  <si>
    <t>Mountain hemlock Mesic Other Other Increase Small 0.058</t>
  </si>
  <si>
    <t>Mountain hemlock Mesic Other Other Increase Medium 0.048</t>
  </si>
  <si>
    <t>Mountain hemlock Mesic Other Other Increase Large 0.026</t>
  </si>
  <si>
    <t>Mountain hemlock Mesic Other Ridgetop Decrease Small 0.082</t>
  </si>
  <si>
    <t>Mountain hemlock Mesic Other Ridgetop Decrease Medium 0.068</t>
  </si>
  <si>
    <t>Mountain hemlock Mesic Other Ridgetop Decrease Large 0.037</t>
  </si>
  <si>
    <t>Mountain hemlock Mesic Other Ridgetop None Small 0.082</t>
  </si>
  <si>
    <t>Mountain hemlock Mesic Other Ridgetop None Medium 0.068</t>
  </si>
  <si>
    <t>Mountain hemlock Mesic Other Ridgetop None Large 0.037</t>
  </si>
  <si>
    <t>Mountain hemlock Mesic Other Ridgetop Increase Small 0.086</t>
  </si>
  <si>
    <t>Mountain hemlock Mesic Other Ridgetop Increase Medium 0.072</t>
  </si>
  <si>
    <t>Mountain hemlock Mesic Other Ridgetop Increase Large 0.040</t>
  </si>
  <si>
    <t>Mountain hemlock Mesic Shallow Other Decrease Small 0.053</t>
  </si>
  <si>
    <t>Mountain hemlock Mesic Shallow Other Decrease Medium 0.044</t>
  </si>
  <si>
    <t>Mountain hemlock Mesic Shallow Other Decrease Large 0.024</t>
  </si>
  <si>
    <t>Mountain hemlock Mesic Shallow Other None Small 0.058</t>
  </si>
  <si>
    <t>Mountain hemlock Mesic Shallow Other None Medium 0.048</t>
  </si>
  <si>
    <t>Mountain hemlock Mesic Shallow Other None Large 0.026</t>
  </si>
  <si>
    <t>Mountain hemlock Mesic Shallow Other Increase Small 0.058</t>
  </si>
  <si>
    <t>Mountain hemlock Mesic Shallow Other Increase Medium 0.048</t>
  </si>
  <si>
    <t>Mountain hemlock Mesic Shallow Other Increase Large 0.026</t>
  </si>
  <si>
    <t>Mountain hemlock Mesic Shallow Ridgetop Decrease Small 0.096</t>
  </si>
  <si>
    <t>Mountain hemlock Mesic Shallow Ridgetop Decrease Medium 0.080</t>
  </si>
  <si>
    <t>Mountain hemlock Mesic Shallow Ridgetop Decrease Large 0.044</t>
  </si>
  <si>
    <t>Mountain hemlock Mesic Shallow Ridgetop None Small 0.096</t>
  </si>
  <si>
    <t>Mountain hemlock Mesic Shallow Ridgetop None Medium 0.080</t>
  </si>
  <si>
    <t>Mountain hemlock Mesic Shallow Ridgetop None Large 0.044</t>
  </si>
  <si>
    <t>Mountain hemlock Mesic Shallow Ridgetop Increase Small 0.096</t>
  </si>
  <si>
    <t>Mountain hemlock Mesic Shallow Ridgetop Increase Medium 0.080</t>
  </si>
  <si>
    <t>Mountain hemlock Mesic Shallow Ridgetop Increase Large 0.044</t>
  </si>
  <si>
    <t>Mountain hemlock Dry Other Other Decrease Small 0.047</t>
  </si>
  <si>
    <t>Mountain hemlock Dry Other Other Decrease Medium 0.039</t>
  </si>
  <si>
    <t>Mountain hemlock Dry Other Other Decrease Large 0.021</t>
  </si>
  <si>
    <t>Mountain hemlock Dry Other Other None Small 0.053</t>
  </si>
  <si>
    <t>Mountain hemlock Dry Other Other None Medium 0.044</t>
  </si>
  <si>
    <t>Mountain hemlock Dry Other Other None Large 0.024</t>
  </si>
  <si>
    <t>Mountain hemlock Dry Other Other Increase Small 0.058</t>
  </si>
  <si>
    <t>Mountain hemlock Dry Other Other Increase Medium 0.048</t>
  </si>
  <si>
    <t>Mountain hemlock Dry Other Other Increase Large 0.026</t>
  </si>
  <si>
    <t>Mountain hemlock Dry Other Ridgetop Decrease Small 0.089</t>
  </si>
  <si>
    <t>Mountain hemlock Dry Other Ridgetop Decrease Medium 0.074</t>
  </si>
  <si>
    <t>Mountain hemlock Dry Other Ridgetop Decrease Large 0.041</t>
  </si>
  <si>
    <t>Mountain hemlock Dry Other Ridgetop None Small 0.089</t>
  </si>
  <si>
    <t>Mountain hemlock Dry Other Ridgetop None Medium 0.074</t>
  </si>
  <si>
    <t>Mountain hemlock Dry Other Ridgetop None Large 0.041</t>
  </si>
  <si>
    <t>Mountain hemlock Dry Other Ridgetop Increase Small 0.091</t>
  </si>
  <si>
    <t>Mountain hemlock Dry Other Ridgetop Increase Medium 0.076</t>
  </si>
  <si>
    <t>Mountain hemlock Dry Other Ridgetop Increase Large 0.042</t>
  </si>
  <si>
    <t>Mountain hemlock Dry Shallow Other Decrease Small 0.053</t>
  </si>
  <si>
    <t>Mountain hemlock Dry Shallow Other Decrease Medium 0.044</t>
  </si>
  <si>
    <t>Mountain hemlock Dry Shallow Other Decrease Large 0.024</t>
  </si>
  <si>
    <t>Mountain hemlock Dry Shallow Other None Small 0.058</t>
  </si>
  <si>
    <t>Mountain hemlock Dry Shallow Other None Medium 0.048</t>
  </si>
  <si>
    <t>Mountain hemlock Dry Shallow Other None Large 0.026</t>
  </si>
  <si>
    <t>Mountain hemlock Dry Shallow Other Increase Small 0.058</t>
  </si>
  <si>
    <t>Mountain hemlock Dry Shallow Other Increase Medium 0.048</t>
  </si>
  <si>
    <t>Mountain hemlock Dry Shallow Other Increase Large 0.026</t>
  </si>
  <si>
    <t>Mountain hemlock Dry Shallow Ridgetop Decrease Small 0.096</t>
  </si>
  <si>
    <t>Mountain hemlock Dry Shallow Ridgetop Decrease Medium 0.080</t>
  </si>
  <si>
    <t>Mountain hemlock Dry Shallow Ridgetop Decrease Large 0.044</t>
  </si>
  <si>
    <t>Mountain hemlock Dry Shallow Ridgetop None Small 0.096</t>
  </si>
  <si>
    <t>Mountain hemlock Dry Shallow Ridgetop None Medium 0.080</t>
  </si>
  <si>
    <t>Mountain hemlock Dry Shallow Ridgetop None Large 0.044</t>
  </si>
  <si>
    <t>Mountain hemlock Dry Shallow Ridgetop Increase Small 0.096</t>
  </si>
  <si>
    <t>Mountain hemlock Dry Shallow Ridgetop Increase Medium 0.080</t>
  </si>
  <si>
    <t>Mountain hemlock Dry Shallow Ridgetop Increase Large 0.044</t>
  </si>
  <si>
    <t>Ponderosa pine (OR) Wet Other Other Decrease Small 0.123</t>
  </si>
  <si>
    <t>Ponderosa pine (OR) Wet Other Other Decrease Medium 0.059</t>
  </si>
  <si>
    <t>Ponderosa pine (OR) Wet Other Other Decrease Large 0.025</t>
  </si>
  <si>
    <t>Ponderosa pine (OR) Wet Other Other None Small 0.137</t>
  </si>
  <si>
    <t>Ponderosa pine (OR) Wet Other Other None Medium 0.065</t>
  </si>
  <si>
    <t>Ponderosa pine (OR) Wet Other Other None Large 0.027</t>
  </si>
  <si>
    <t>Ponderosa pine (OR) Wet Other Other Increase Small 0.169</t>
  </si>
  <si>
    <t>Ponderosa pine (OR) Wet Other Other Increase Medium 0.080</t>
  </si>
  <si>
    <t>Ponderosa pine (OR) Wet Other Other Increase Large 0.034</t>
  </si>
  <si>
    <t>Ponderosa pine (OR) Wet Other Ridgetop Decrease Small 0.219</t>
  </si>
  <si>
    <t>Ponderosa pine (OR) Wet Other Ridgetop Decrease Medium 0.104</t>
  </si>
  <si>
    <t>Ponderosa pine (OR) Wet Other Ridgetop Decrease Large 0.043</t>
  </si>
  <si>
    <t>Ponderosa pine (OR) Wet Other Ridgetop None Small 0.226</t>
  </si>
  <si>
    <t>Ponderosa pine (OR) Wet Other Ridgetop None Medium 0.107</t>
  </si>
  <si>
    <t>Ponderosa pine (OR) Wet Other Ridgetop None Large 0.045</t>
  </si>
  <si>
    <t>Ponderosa pine (OR) Wet Other Ridgetop Increase Small 0.240</t>
  </si>
  <si>
    <t>Ponderosa pine (OR) Wet Other Ridgetop Increase Medium 0.114</t>
  </si>
  <si>
    <t>Ponderosa pine (OR) Wet Other Ridgetop Increase Large 0.048</t>
  </si>
  <si>
    <t>Ponderosa pine (OR) Wet Shallow Other Decrease Small 0.155</t>
  </si>
  <si>
    <t>Ponderosa pine (OR) Wet Shallow Other Decrease Medium 0.074</t>
  </si>
  <si>
    <t>Ponderosa pine (OR) Wet Shallow Other Decrease Large 0.031</t>
  </si>
  <si>
    <t>Ponderosa pine (OR) Wet Shallow Other None Small 0.169</t>
  </si>
  <si>
    <t>Ponderosa pine (OR) Wet Shallow Other None Medium 0.080</t>
  </si>
  <si>
    <t>Ponderosa pine (OR) Wet Shallow Other None Large 0.034</t>
  </si>
  <si>
    <t>Ponderosa pine (OR) Wet Shallow Other Increase Small 0.169</t>
  </si>
  <si>
    <t>Ponderosa pine (OR) Wet Shallow Other Increase Medium 0.080</t>
  </si>
  <si>
    <t>Ponderosa pine (OR) Wet Shallow Other Increase Large 0.034</t>
  </si>
  <si>
    <t>Ponderosa pine (OR) Wet Shallow Ridgetop Decrease Small 0.282</t>
  </si>
  <si>
    <t>Ponderosa pine (OR) Wet Shallow Ridgetop Decrease Medium 0.134</t>
  </si>
  <si>
    <t>Ponderosa pine (OR) Wet Shallow Ridgetop Decrease Large 0.056</t>
  </si>
  <si>
    <t>Ponderosa pine (OR) Wet Shallow Ridgetop None Small 0.282</t>
  </si>
  <si>
    <t>Ponderosa pine (OR) Wet Shallow Ridgetop None Medium 0.134</t>
  </si>
  <si>
    <t>Ponderosa pine (OR) Wet Shallow Ridgetop None Large 0.056</t>
  </si>
  <si>
    <t>Ponderosa pine (OR) Wet Shallow Ridgetop Increase Small 0.282</t>
  </si>
  <si>
    <t>Ponderosa pine (OR) Wet Shallow Ridgetop Increase Medium 0.134</t>
  </si>
  <si>
    <t>Ponderosa pine (OR) Wet Shallow Ridgetop Increase Large 0.056</t>
  </si>
  <si>
    <t>Ponderosa pine (OR) Mesic Other Other Decrease Small 0.127</t>
  </si>
  <si>
    <t>Ponderosa pine (OR) Mesic Other Other Decrease Medium 0.060</t>
  </si>
  <si>
    <t>Ponderosa pine (OR) Mesic Other Other Decrease Large 0.025</t>
  </si>
  <si>
    <t>Ponderosa pine (OR) Mesic Other Other None Small 0.141</t>
  </si>
  <si>
    <t>Ponderosa pine (OR) Mesic Other Other None Medium 0.067</t>
  </si>
  <si>
    <t>Ponderosa pine (OR) Mesic Other Other None Large 0.028</t>
  </si>
  <si>
    <t>Ponderosa pine (OR) Mesic Other Other Increase Small 0.169</t>
  </si>
  <si>
    <t>Ponderosa pine (OR) Mesic Other Other Increase Medium 0.080</t>
  </si>
  <si>
    <t>Ponderosa pine (OR) Mesic Other Other Increase Large 0.034</t>
  </si>
  <si>
    <t>Ponderosa pine (OR) Mesic Other Ridgetop Decrease Small 0.240</t>
  </si>
  <si>
    <t>Ponderosa pine (OR) Mesic Other Ridgetop Decrease Medium 0.114</t>
  </si>
  <si>
    <t>Ponderosa pine (OR) Mesic Other Ridgetop Decrease Large 0.048</t>
  </si>
  <si>
    <t>Ponderosa pine (OR) Mesic Other Ridgetop None Small 0.240</t>
  </si>
  <si>
    <t>Ponderosa pine (OR) Mesic Other Ridgetop None Medium 0.114</t>
  </si>
  <si>
    <t>Ponderosa pine (OR) Mesic Other Ridgetop None Large 0.048</t>
  </si>
  <si>
    <t>Ponderosa pine (OR) Mesic Other Ridgetop Increase Small 0.254</t>
  </si>
  <si>
    <t>Ponderosa pine (OR) Mesic Other Ridgetop Increase Medium 0.121</t>
  </si>
  <si>
    <t>Ponderosa pine (OR) Mesic Other Ridgetop Increase Large 0.050</t>
  </si>
  <si>
    <t>Ponderosa pine (OR) Mesic Shallow Other Decrease Small 0.155</t>
  </si>
  <si>
    <t>Ponderosa pine (OR) Mesic Shallow Other Decrease Medium 0.074</t>
  </si>
  <si>
    <t>Ponderosa pine (OR) Mesic Shallow Other Decrease Large 0.031</t>
  </si>
  <si>
    <t>Ponderosa pine (OR) Mesic Shallow Other None Small 0.169</t>
  </si>
  <si>
    <t>Ponderosa pine (OR) Mesic Shallow Other None Medium 0.080</t>
  </si>
  <si>
    <t>Ponderosa pine (OR) Mesic Shallow Other None Large 0.034</t>
  </si>
  <si>
    <t>Ponderosa pine (OR) Mesic Shallow Other Increase Small 0.169</t>
  </si>
  <si>
    <t>Ponderosa pine (OR) Mesic Shallow Other Increase Medium 0.080</t>
  </si>
  <si>
    <t>Ponderosa pine (OR) Mesic Shallow Other Increase Large 0.034</t>
  </si>
  <si>
    <t>Ponderosa pine (OR) Mesic Shallow Ridgetop Decrease Small 0.282</t>
  </si>
  <si>
    <t>Ponderosa pine (OR) Mesic Shallow Ridgetop Decrease Medium 0.134</t>
  </si>
  <si>
    <t>Ponderosa pine (OR) Mesic Shallow Ridgetop Decrease Large 0.056</t>
  </si>
  <si>
    <t>Ponderosa pine (OR) Mesic Shallow Ridgetop None Small 0.282</t>
  </si>
  <si>
    <t>Ponderosa pine (OR) Mesic Shallow Ridgetop None Medium 0.134</t>
  </si>
  <si>
    <t>Ponderosa pine (OR) Mesic Shallow Ridgetop None Large 0.056</t>
  </si>
  <si>
    <t>Ponderosa pine (OR) Mesic Shallow Ridgetop Increase Small 0.282</t>
  </si>
  <si>
    <t>Ponderosa pine (OR) Mesic Shallow Ridgetop Increase Medium 0.134</t>
  </si>
  <si>
    <t>Ponderosa pine (OR) Mesic Shallow Ridgetop Increase Large 0.056</t>
  </si>
  <si>
    <t>Ponderosa pine (OR) Dry Other Other Decrease Small 0.137</t>
  </si>
  <si>
    <t>Ponderosa pine (OR) Dry Other Other Decrease Medium 0.065</t>
  </si>
  <si>
    <t>Ponderosa pine (OR) Dry Other Other Decrease Large 0.027</t>
  </si>
  <si>
    <t>Ponderosa pine (OR) Dry Other Other None Small 0.155</t>
  </si>
  <si>
    <t>Ponderosa pine (OR) Dry Other Other None Medium 0.074</t>
  </si>
  <si>
    <t>Ponderosa pine (OR) Dry Other Other None Large 0.031</t>
  </si>
  <si>
    <t>Ponderosa pine (OR) Dry Other Other Increase Small 0.169</t>
  </si>
  <si>
    <t>Ponderosa pine (OR) Dry Other Other Increase Medium 0.080</t>
  </si>
  <si>
    <t>Ponderosa pine (OR) Dry Other Other Increase Large 0.034</t>
  </si>
  <si>
    <t>Ponderosa pine (OR) Dry Other Ridgetop Decrease Small 0.261</t>
  </si>
  <si>
    <t>Ponderosa pine (OR) Dry Other Ridgetop Decrease Medium 0.124</t>
  </si>
  <si>
    <t>Ponderosa pine (OR) Dry Other Ridgetop Decrease Large 0.052</t>
  </si>
  <si>
    <t>Ponderosa pine (OR) Dry Other Ridgetop None Small 0.261</t>
  </si>
  <si>
    <t>Ponderosa pine (OR) Dry Other Ridgetop None Medium 0.124</t>
  </si>
  <si>
    <t>Ponderosa pine (OR) Dry Other Ridgetop None Large 0.052</t>
  </si>
  <si>
    <t>Ponderosa pine (OR) Dry Other Ridgetop Increase Small 0.268</t>
  </si>
  <si>
    <t>Ponderosa pine (OR) Dry Other Ridgetop Increase Medium 0.127</t>
  </si>
  <si>
    <t>Ponderosa pine (OR) Dry Other Ridgetop Increase Large 0.053</t>
  </si>
  <si>
    <t>Ponderosa pine (OR) Dry Shallow Other Decrease Small 0.155</t>
  </si>
  <si>
    <t>Ponderosa pine (OR) Dry Shallow Other Decrease Medium 0.074</t>
  </si>
  <si>
    <t>Ponderosa pine (OR) Dry Shallow Other Decrease Large 0.031</t>
  </si>
  <si>
    <t>Ponderosa pine (OR) Dry Shallow Other None Small 0.169</t>
  </si>
  <si>
    <t>Ponderosa pine (OR) Dry Shallow Other None Medium 0.080</t>
  </si>
  <si>
    <t>Ponderosa pine (OR) Dry Shallow Other None Large 0.034</t>
  </si>
  <si>
    <t>Ponderosa pine (OR) Dry Shallow Other Increase Small 0.169</t>
  </si>
  <si>
    <t>Ponderosa pine (OR) Dry Shallow Other Increase Medium 0.080</t>
  </si>
  <si>
    <t>Ponderosa pine (OR) Dry Shallow Other Increase Large 0.034</t>
  </si>
  <si>
    <t>Ponderosa pine (OR) Dry Shallow Ridgetop Decrease Small 0.282</t>
  </si>
  <si>
    <t>Ponderosa pine (OR) Dry Shallow Ridgetop Decrease Medium 0.134</t>
  </si>
  <si>
    <t>Ponderosa pine (OR) Dry Shallow Ridgetop Decrease Large 0.056</t>
  </si>
  <si>
    <t>Ponderosa pine (OR) Dry Shallow Ridgetop None Small 0.282</t>
  </si>
  <si>
    <t>Ponderosa pine (OR) Dry Shallow Ridgetop None Medium 0.134</t>
  </si>
  <si>
    <t>Ponderosa pine (OR) Dry Shallow Ridgetop None Large 0.056</t>
  </si>
  <si>
    <t>Ponderosa pine (OR) Dry Shallow Ridgetop Increase Small 0.282</t>
  </si>
  <si>
    <t>Ponderosa pine (OR) Dry Shallow Ridgetop Increase Medium 0.134</t>
  </si>
  <si>
    <t>Ponderosa pine (OR) Dry Shallow Ridgetop Increase Large 0.056</t>
  </si>
  <si>
    <t>Ponderosa pine (WA) Wet Other Other Decrease Small 0.137</t>
  </si>
  <si>
    <t>Ponderosa pine (WA) Wet Other Other Decrease Medium 0.071</t>
  </si>
  <si>
    <t>Ponderosa pine (WA) Wet Other Other Decrease Large 0.025</t>
  </si>
  <si>
    <t>Ponderosa pine (WA) Wet Other Other None Small 0.152</t>
  </si>
  <si>
    <t>Ponderosa pine (WA) Wet Other Other None Medium 0.079</t>
  </si>
  <si>
    <t>Ponderosa pine (WA) Wet Other Other None Large 0.027</t>
  </si>
  <si>
    <t>Ponderosa pine (WA) Wet Other Other Increase Small 0.187</t>
  </si>
  <si>
    <t>Ponderosa pine (WA) Wet Other Other Increase Medium 0.097</t>
  </si>
  <si>
    <t>Ponderosa pine (WA) Wet Other Other Increase Large 0.034</t>
  </si>
  <si>
    <t>Ponderosa pine (WA) Wet Other Ridgetop Decrease Small 0.242</t>
  </si>
  <si>
    <t>Ponderosa pine (WA) Wet Other Ridgetop Decrease Medium 0.126</t>
  </si>
  <si>
    <t>Ponderosa pine (WA) Wet Other Ridgetop Decrease Large 0.043</t>
  </si>
  <si>
    <t>Ponderosa pine (WA) Wet Other Ridgetop None Small 0.250</t>
  </si>
  <si>
    <t>Ponderosa pine (WA) Wet Other Ridgetop None Medium 0.130</t>
  </si>
  <si>
    <t>Ponderosa pine (WA) Wet Other Ridgetop None Large 0.045</t>
  </si>
  <si>
    <t>Ponderosa pine (WA) Wet Other Ridgetop Increase Small 0.265</t>
  </si>
  <si>
    <t>Ponderosa pine (WA) Wet Other Ridgetop Increase Medium 0.138</t>
  </si>
  <si>
    <t>Ponderosa pine (WA) Wet Other Ridgetop Increase Large 0.048</t>
  </si>
  <si>
    <t>Ponderosa pine (WA) Wet Shallow Other Decrease Small 0.172</t>
  </si>
  <si>
    <t>Ponderosa pine (WA) Wet Shallow Other Decrease Medium 0.089</t>
  </si>
  <si>
    <t>Ponderosa pine (WA) Wet Shallow Other Decrease Large 0.031</t>
  </si>
  <si>
    <t>Ponderosa pine (WA) Wet Shallow Other None Small 0.187</t>
  </si>
  <si>
    <t>Ponderosa pine (WA) Wet Shallow Other None Medium 0.097</t>
  </si>
  <si>
    <t>Ponderosa pine (WA) Wet Shallow Other None Large 0.034</t>
  </si>
  <si>
    <t>Ponderosa pine (WA) Wet Shallow Other Increase Small 0.187</t>
  </si>
  <si>
    <t>Ponderosa pine (WA) Wet Shallow Other Increase Medium 0.097</t>
  </si>
  <si>
    <t>Ponderosa pine (WA) Wet Shallow Other Increase Large 0.034</t>
  </si>
  <si>
    <t>Ponderosa pine (WA) Wet Shallow Ridgetop Decrease Small 0.312</t>
  </si>
  <si>
    <t>Ponderosa pine (WA) Wet Shallow Ridgetop Decrease Medium 0.162</t>
  </si>
  <si>
    <t>Ponderosa pine (WA) Wet Shallow Ridgetop Decrease Large 0.056</t>
  </si>
  <si>
    <t>Ponderosa pine (WA) Wet Shallow Ridgetop None Small 0.312</t>
  </si>
  <si>
    <t>Ponderosa pine (WA) Wet Shallow Ridgetop None Medium 0.162</t>
  </si>
  <si>
    <t>Ponderosa pine (WA) Wet Shallow Ridgetop None Large 0.056</t>
  </si>
  <si>
    <t>Ponderosa pine (WA) Wet Shallow Ridgetop Increase Small 0.312</t>
  </si>
  <si>
    <t>Ponderosa pine (WA) Wet Shallow Ridgetop Increase Medium 0.162</t>
  </si>
  <si>
    <t>Ponderosa pine (WA) Wet Shallow Ridgetop Increase Large 0.056</t>
  </si>
  <si>
    <t>Ponderosa pine (WA) Mesic Other Other Decrease Small 0.140</t>
  </si>
  <si>
    <t>Ponderosa pine (WA) Mesic Other Other Decrease Medium 0.073</t>
  </si>
  <si>
    <t>Ponderosa pine (WA) Mesic Other Other Decrease Large 0.025</t>
  </si>
  <si>
    <t>Ponderosa pine (WA) Mesic Other Other None Small 0.156</t>
  </si>
  <si>
    <t>Ponderosa pine (WA) Mesic Other Other None Medium 0.081</t>
  </si>
  <si>
    <t>Ponderosa pine (WA) Mesic Other Other None Large 0.028</t>
  </si>
  <si>
    <t>Ponderosa pine (WA) Mesic Other Other Increase Small 0.187</t>
  </si>
  <si>
    <t>Ponderosa pine (WA) Mesic Other Other Increase Medium 0.097</t>
  </si>
  <si>
    <t>Ponderosa pine (WA) Mesic Other Other Increase Large 0.034</t>
  </si>
  <si>
    <t>Ponderosa pine (WA) Mesic Other Ridgetop Decrease Small 0.265</t>
  </si>
  <si>
    <t>Ponderosa pine (WA) Mesic Other Ridgetop Decrease Medium 0.138</t>
  </si>
  <si>
    <t>Ponderosa pine (WA) Mesic Other Ridgetop Decrease Large 0.048</t>
  </si>
  <si>
    <t>Ponderosa pine (WA) Mesic Other Ridgetop None Small 0.265</t>
  </si>
  <si>
    <t>Ponderosa pine (WA) Mesic Other Ridgetop None Medium 0.138</t>
  </si>
  <si>
    <t>Ponderosa pine (WA) Mesic Other Ridgetop None Large 0.048</t>
  </si>
  <si>
    <t>Ponderosa pine (WA) Mesic Other Ridgetop Increase Small 0.281</t>
  </si>
  <si>
    <t>Ponderosa pine (WA) Mesic Other Ridgetop Increase Medium 0.146</t>
  </si>
  <si>
    <t>Ponderosa pine (WA) Mesic Other Ridgetop Increase Large 0.050</t>
  </si>
  <si>
    <t>Ponderosa pine (WA) Mesic Shallow Other Decrease Small 0.172</t>
  </si>
  <si>
    <t>Ponderosa pine (WA) Mesic Shallow Other Decrease Medium 0.089</t>
  </si>
  <si>
    <t>Ponderosa pine (WA) Mesic Shallow Other Decrease Large 0.031</t>
  </si>
  <si>
    <t>Ponderosa pine (WA) Mesic Shallow Other None Small 0.187</t>
  </si>
  <si>
    <t>Ponderosa pine (WA) Mesic Shallow Other None Medium 0.097</t>
  </si>
  <si>
    <t>Ponderosa pine (WA) Mesic Shallow Other None Large 0.034</t>
  </si>
  <si>
    <t>Ponderosa pine (WA) Mesic Shallow Other Increase Small 0.187</t>
  </si>
  <si>
    <t>Ponderosa pine (WA) Mesic Shallow Other Increase Medium 0.097</t>
  </si>
  <si>
    <t>Ponderosa pine (WA) Mesic Shallow Other Increase Large 0.034</t>
  </si>
  <si>
    <t>Ponderosa pine (WA) Mesic Shallow Ridgetop Decrease Small 0.312</t>
  </si>
  <si>
    <t>Ponderosa pine (WA) Mesic Shallow Ridgetop Decrease Medium 0.162</t>
  </si>
  <si>
    <t>Ponderosa pine (WA) Mesic Shallow Ridgetop Decrease Large 0.056</t>
  </si>
  <si>
    <t>Ponderosa pine (WA) Mesic Shallow Ridgetop None Small 0.312</t>
  </si>
  <si>
    <t>Ponderosa pine (WA) Mesic Shallow Ridgetop None Medium 0.162</t>
  </si>
  <si>
    <t>Ponderosa pine (WA) Mesic Shallow Ridgetop None Large 0.056</t>
  </si>
  <si>
    <t>Ponderosa pine (WA) Mesic Shallow Ridgetop Increase Small 0.312</t>
  </si>
  <si>
    <t>Ponderosa pine (WA) Mesic Shallow Ridgetop Increase Medium 0.162</t>
  </si>
  <si>
    <t>Ponderosa pine (WA) Mesic Shallow Ridgetop Increase Large 0.056</t>
  </si>
  <si>
    <t>Ponderosa pine (WA) Dry Other Other Decrease Small 0.152</t>
  </si>
  <si>
    <t>Ponderosa pine (WA) Dry Other Other Decrease Medium 0.079</t>
  </si>
  <si>
    <t>Ponderosa pine (WA) Dry Other Other Decrease Large 0.027</t>
  </si>
  <si>
    <t>Ponderosa pine (WA) Dry Other Other None Small 0.172</t>
  </si>
  <si>
    <t>Ponderosa pine (WA) Dry Other Other None Medium 0.089</t>
  </si>
  <si>
    <t>Ponderosa pine (WA) Dry Other Other None Large 0.031</t>
  </si>
  <si>
    <t>Ponderosa pine (WA) Dry Other Other Increase Small 0.187</t>
  </si>
  <si>
    <t>Ponderosa pine (WA) Dry Other Other Increase Medium 0.097</t>
  </si>
  <si>
    <t>Ponderosa pine (WA) Dry Other Other Increase Large 0.034</t>
  </si>
  <si>
    <t>Ponderosa pine (WA) Dry Other Ridgetop Decrease Small 0.289</t>
  </si>
  <si>
    <t>Ponderosa pine (WA) Dry Other Ridgetop Decrease Medium 0.150</t>
  </si>
  <si>
    <t>Ponderosa pine (WA) Dry Other Ridgetop Decrease Large 0.052</t>
  </si>
  <si>
    <t>Ponderosa pine (WA) Dry Other Ridgetop None Small 0.289</t>
  </si>
  <si>
    <t>Ponderosa pine (WA) Dry Other Ridgetop None Medium 0.150</t>
  </si>
  <si>
    <t>Ponderosa pine (WA) Dry Other Ridgetop None Large 0.052</t>
  </si>
  <si>
    <t>Ponderosa pine (WA) Dry Other Ridgetop Increase Small 0.296</t>
  </si>
  <si>
    <t>Ponderosa pine (WA) Dry Other Ridgetop Increase Medium 0.154</t>
  </si>
  <si>
    <t>Ponderosa pine (WA) Dry Other Ridgetop Increase Large 0.053</t>
  </si>
  <si>
    <t>Ponderosa pine (WA) Dry Shallow Other Decrease Small 0.172</t>
  </si>
  <si>
    <t>Ponderosa pine (WA) Dry Shallow Other Decrease Medium 0.089</t>
  </si>
  <si>
    <t>Ponderosa pine (WA) Dry Shallow Other Decrease Large 0.031</t>
  </si>
  <si>
    <t>Ponderosa pine (WA) Dry Shallow Other None Small 0.187</t>
  </si>
  <si>
    <t>Ponderosa pine (WA) Dry Shallow Other None Medium 0.097</t>
  </si>
  <si>
    <t>Ponderosa pine (WA) Dry Shallow Other None Large 0.034</t>
  </si>
  <si>
    <t>Ponderosa pine (WA) Dry Shallow Other Increase Small 0.187</t>
  </si>
  <si>
    <t>Ponderosa pine (WA) Dry Shallow Other Increase Medium 0.097</t>
  </si>
  <si>
    <t>Ponderosa pine (WA) Dry Shallow Other Increase Large 0.034</t>
  </si>
  <si>
    <t>Ponderosa pine (WA) Dry Shallow Ridgetop Decrease Small 0.312</t>
  </si>
  <si>
    <t>Ponderosa pine (WA) Dry Shallow Ridgetop Decrease Medium 0.162</t>
  </si>
  <si>
    <t>Ponderosa pine (WA) Dry Shallow Ridgetop Decrease Large 0.056</t>
  </si>
  <si>
    <t>Ponderosa pine (WA) Dry Shallow Ridgetop None Small 0.312</t>
  </si>
  <si>
    <t>Ponderosa pine (WA) Dry Shallow Ridgetop None Medium 0.162</t>
  </si>
  <si>
    <t>Ponderosa pine (WA) Dry Shallow Ridgetop None Large 0.056</t>
  </si>
  <si>
    <t>Ponderosa pine (WA) Dry Shallow Ridgetop Increase Small 0.312</t>
  </si>
  <si>
    <t>Ponderosa pine (WA) Dry Shallow Ridgetop Increase Medium 0.162</t>
  </si>
  <si>
    <t>Ponderosa pine (WA) Dry Shallow Ridgetop Increase Large 0.056</t>
  </si>
  <si>
    <t>Pacific silver fir (OR) Wet Other Other Decrease Small 0.067</t>
  </si>
  <si>
    <t>Pacific silver fir (OR) Wet Other Other Decrease Medium 0.038</t>
  </si>
  <si>
    <t>Pacific silver fir (OR) Wet Other Other Decrease Large 0.017</t>
  </si>
  <si>
    <t>Pacific silver fir (OR) Wet Other Other None Small 0.075</t>
  </si>
  <si>
    <t>Pacific silver fir (OR) Wet Other Other None Medium 0.042</t>
  </si>
  <si>
    <t>Pacific silver fir (OR) Wet Other Other None Large 0.019</t>
  </si>
  <si>
    <t>Pacific silver fir (OR) Wet Other Other Increase Small 0.092</t>
  </si>
  <si>
    <t>Pacific silver fir (OR) Wet Other Other Increase Medium 0.052</t>
  </si>
  <si>
    <t>Pacific silver fir (OR) Wet Other Other Increase Large 0.023</t>
  </si>
  <si>
    <t>Pacific silver fir (OR) Wet Other Ridgetop Decrease Small 0.119</t>
  </si>
  <si>
    <t>Pacific silver fir (OR) Wet Other Ridgetop Decrease Medium 0.067</t>
  </si>
  <si>
    <t>Pacific silver fir (OR) Wet Other Ridgetop Decrease Large 0.029</t>
  </si>
  <si>
    <t>Pacific silver fir (OR) Wet Other Ridgetop None Small 0.123</t>
  </si>
  <si>
    <t>Pacific silver fir (OR) Wet Other Ridgetop None Medium 0.069</t>
  </si>
  <si>
    <t>Pacific silver fir (OR) Wet Other Ridgetop None Large 0.030</t>
  </si>
  <si>
    <t>Pacific silver fir (OR) Wet Other Ridgetop Increase Small 0.131</t>
  </si>
  <si>
    <t>Pacific silver fir (OR) Wet Other Ridgetop Increase Medium 0.073</t>
  </si>
  <si>
    <t>Pacific silver fir (OR) Wet Other Ridgetop Increase Large 0.032</t>
  </si>
  <si>
    <t>Pacific silver fir (OR) Wet Shallow Other Decrease Small 0.085</t>
  </si>
  <si>
    <t>Pacific silver fir (OR) Wet Shallow Other Decrease Medium 0.047</t>
  </si>
  <si>
    <t>Pacific silver fir (OR) Wet Shallow Other Decrease Large 0.021</t>
  </si>
  <si>
    <t>Pacific silver fir (OR) Wet Shallow Other None Small 0.092</t>
  </si>
  <si>
    <t>Pacific silver fir (OR) Wet Shallow Other None Medium 0.052</t>
  </si>
  <si>
    <t>Pacific silver fir (OR) Wet Shallow Other None Large 0.023</t>
  </si>
  <si>
    <t>Pacific silver fir (OR) Wet Shallow Other Increase Small 0.092</t>
  </si>
  <si>
    <t>Pacific silver fir (OR) Wet Shallow Other Increase Medium 0.052</t>
  </si>
  <si>
    <t>Pacific silver fir (OR) Wet Shallow Other Increase Large 0.023</t>
  </si>
  <si>
    <t>Pacific silver fir (OR) Wet Shallow Ridgetop Decrease Small 0.154</t>
  </si>
  <si>
    <t>Pacific silver fir (OR) Wet Shallow Ridgetop Decrease Medium 0.086</t>
  </si>
  <si>
    <t>Pacific silver fir (OR) Wet Shallow Ridgetop Decrease Large 0.038</t>
  </si>
  <si>
    <t>Pacific silver fir (OR) Wet Shallow Ridgetop None Small 0.154</t>
  </si>
  <si>
    <t>Pacific silver fir (OR) Wet Shallow Ridgetop None Medium 0.086</t>
  </si>
  <si>
    <t>Pacific silver fir (OR) Wet Shallow Ridgetop None Large 0.038</t>
  </si>
  <si>
    <t>Pacific silver fir (OR) Wet Shallow Ridgetop Increase Small 0.154</t>
  </si>
  <si>
    <t>Pacific silver fir (OR) Wet Shallow Ridgetop Increase Medium 0.086</t>
  </si>
  <si>
    <t>Pacific silver fir (OR) Wet Shallow Ridgetop Increase Large 0.038</t>
  </si>
  <si>
    <t>Pacific silver fir (OR) Mesic Other Other Decrease Small 0.069</t>
  </si>
  <si>
    <t>Pacific silver fir (OR) Mesic Other Other Decrease Medium 0.039</t>
  </si>
  <si>
    <t>Pacific silver fir (OR) Mesic Other Other Decrease Large 0.017</t>
  </si>
  <si>
    <t>Pacific silver fir (OR) Mesic Other Other None Small 0.077</t>
  </si>
  <si>
    <t>Pacific silver fir (OR) Mesic Other Other None Medium 0.043</t>
  </si>
  <si>
    <t>Pacific silver fir (OR) Mesic Other Other None Large 0.019</t>
  </si>
  <si>
    <t>Pacific silver fir (OR) Mesic Other Other Increase Small 0.092</t>
  </si>
  <si>
    <t>Pacific silver fir (OR) Mesic Other Other Increase Medium 0.052</t>
  </si>
  <si>
    <t>Pacific silver fir (OR) Mesic Other Other Increase Large 0.023</t>
  </si>
  <si>
    <t>Pacific silver fir (OR) Mesic Other Ridgetop Decrease Small 0.131</t>
  </si>
  <si>
    <t>Pacific silver fir (OR) Mesic Other Ridgetop Decrease Medium 0.073</t>
  </si>
  <si>
    <t>Pacific silver fir (OR) Mesic Other Ridgetop Decrease Large 0.032</t>
  </si>
  <si>
    <t>Pacific silver fir (OR) Mesic Other Ridgetop None Small 0.131</t>
  </si>
  <si>
    <t>Pacific silver fir (OR) Mesic Other Ridgetop None Medium 0.073</t>
  </si>
  <si>
    <t>Pacific silver fir (OR) Mesic Other Ridgetop None Large 0.032</t>
  </si>
  <si>
    <t>Pacific silver fir (OR) Mesic Other Ridgetop Increase Small 0.139</t>
  </si>
  <si>
    <t>Pacific silver fir (OR) Mesic Other Ridgetop Increase Medium 0.077</t>
  </si>
  <si>
    <t>Pacific silver fir (OR) Mesic Other Ridgetop Increase Large 0.034</t>
  </si>
  <si>
    <t>Pacific silver fir (OR) Mesic Shallow Other Decrease Small 0.085</t>
  </si>
  <si>
    <t>Pacific silver fir (OR) Mesic Shallow Other Decrease Medium 0.047</t>
  </si>
  <si>
    <t>Pacific silver fir (OR) Mesic Shallow Other Decrease Large 0.021</t>
  </si>
  <si>
    <t>Pacific silver fir (OR) Mesic Shallow Other None Small 0.092</t>
  </si>
  <si>
    <t>Pacific silver fir (OR) Mesic Shallow Other None Medium 0.052</t>
  </si>
  <si>
    <t>Pacific silver fir (OR) Mesic Shallow Other None Large 0.023</t>
  </si>
  <si>
    <t>Pacific silver fir (OR) Mesic Shallow Other Increase Small 0.092</t>
  </si>
  <si>
    <t>Pacific silver fir (OR) Mesic Shallow Other Increase Medium 0.052</t>
  </si>
  <si>
    <t>Pacific silver fir (OR) Mesic Shallow Other Increase Large 0.023</t>
  </si>
  <si>
    <t>Pacific silver fir (OR) Mesic Shallow Ridgetop Decrease Small 0.154</t>
  </si>
  <si>
    <t>Pacific silver fir (OR) Mesic Shallow Ridgetop Decrease Medium 0.086</t>
  </si>
  <si>
    <t>Pacific silver fir (OR) Mesic Shallow Ridgetop Decrease Large 0.038</t>
  </si>
  <si>
    <t>Pacific silver fir (OR) Mesic Shallow Ridgetop None Small 0.154</t>
  </si>
  <si>
    <t>Pacific silver fir (OR) Mesic Shallow Ridgetop None Medium 0.086</t>
  </si>
  <si>
    <t>Pacific silver fir (OR) Mesic Shallow Ridgetop None Large 0.038</t>
  </si>
  <si>
    <t>Pacific silver fir (OR) Mesic Shallow Ridgetop Increase Small 0.154</t>
  </si>
  <si>
    <t>Pacific silver fir (OR) Mesic Shallow Ridgetop Increase Medium 0.086</t>
  </si>
  <si>
    <t>Pacific silver fir (OR) Mesic Shallow Ridgetop Increase Large 0.038</t>
  </si>
  <si>
    <t>Pacific silver fir (OR) Dry Other Other Decrease Small 0.075</t>
  </si>
  <si>
    <t>Pacific silver fir (OR) Dry Other Other Decrease Medium 0.042</t>
  </si>
  <si>
    <t>Pacific silver fir (OR) Dry Other Other Decrease Large 0.019</t>
  </si>
  <si>
    <t>Pacific silver fir (OR) Dry Other Other None Small 0.085</t>
  </si>
  <si>
    <t>Pacific silver fir (OR) Dry Other Other None Medium 0.047</t>
  </si>
  <si>
    <t>Pacific silver fir (OR) Dry Other Other None Large 0.021</t>
  </si>
  <si>
    <t>Pacific silver fir (OR) Dry Other Other Increase Small 0.092</t>
  </si>
  <si>
    <t>Pacific silver fir (OR) Dry Other Other Increase Medium 0.052</t>
  </si>
  <si>
    <t>Pacific silver fir (OR) Dry Other Other Increase Large 0.023</t>
  </si>
  <si>
    <t>Pacific silver fir (OR) Dry Other Ridgetop Decrease Small 0.142</t>
  </si>
  <si>
    <t>Pacific silver fir (OR) Dry Other Ridgetop Decrease Medium 0.080</t>
  </si>
  <si>
    <t>Pacific silver fir (OR) Dry Other Ridgetop Decrease Large 0.035</t>
  </si>
  <si>
    <t>Pacific silver fir (OR) Dry Other Ridgetop None Small 0.142</t>
  </si>
  <si>
    <t>Pacific silver fir (OR) Dry Other Ridgetop None Medium 0.080</t>
  </si>
  <si>
    <t>Pacific silver fir (OR) Dry Other Ridgetop None Large 0.035</t>
  </si>
  <si>
    <t>Pacific silver fir (OR) Dry Other Ridgetop Increase Small 0.146</t>
  </si>
  <si>
    <t>Pacific silver fir (OR) Dry Other Ridgetop Increase Medium 0.082</t>
  </si>
  <si>
    <t>Pacific silver fir (OR) Dry Other Ridgetop Increase Large 0.036</t>
  </si>
  <si>
    <t>Pacific silver fir (OR) Dry Shallow Other Decrease Small 0.085</t>
  </si>
  <si>
    <t>Pacific silver fir (OR) Dry Shallow Other Decrease Medium 0.047</t>
  </si>
  <si>
    <t>Pacific silver fir (OR) Dry Shallow Other Decrease Large 0.021</t>
  </si>
  <si>
    <t>Pacific silver fir (OR) Dry Shallow Other None Small 0.092</t>
  </si>
  <si>
    <t>Pacific silver fir (OR) Dry Shallow Other None Medium 0.052</t>
  </si>
  <si>
    <t>Pacific silver fir (OR) Dry Shallow Other None Large 0.023</t>
  </si>
  <si>
    <t>Pacific silver fir (OR) Dry Shallow Other Increase Small 0.092</t>
  </si>
  <si>
    <t>Pacific silver fir (OR) Dry Shallow Other Increase Medium 0.052</t>
  </si>
  <si>
    <t>Pacific silver fir (OR) Dry Shallow Other Increase Large 0.023</t>
  </si>
  <si>
    <t>Pacific silver fir (OR) Dry Shallow Ridgetop Decrease Small 0.154</t>
  </si>
  <si>
    <t>Pacific silver fir (OR) Dry Shallow Ridgetop Decrease Medium 0.086</t>
  </si>
  <si>
    <t>Pacific silver fir (OR) Dry Shallow Ridgetop Decrease Large 0.038</t>
  </si>
  <si>
    <t>Pacific silver fir (OR) Dry Shallow Ridgetop None Small 0.154</t>
  </si>
  <si>
    <t>Pacific silver fir (OR) Dry Shallow Ridgetop None Medium 0.086</t>
  </si>
  <si>
    <t>Pacific silver fir (OR) Dry Shallow Ridgetop None Large 0.038</t>
  </si>
  <si>
    <t>Pacific silver fir (OR) Dry Shallow Ridgetop Increase Small 0.154</t>
  </si>
  <si>
    <t>Pacific silver fir (OR) Dry Shallow Ridgetop Increase Medium 0.086</t>
  </si>
  <si>
    <t>Pacific silver fir (OR) Dry Shallow Ridgetop Increase Large 0.038</t>
  </si>
  <si>
    <t>Pacific silver fir (WA) Wet Other Other Decrease Small 0.043</t>
  </si>
  <si>
    <t>Pacific silver fir (WA) Wet Other Other Decrease Medium 0.026</t>
  </si>
  <si>
    <t>Pacific silver fir (WA) Wet Other Other Decrease Large 0.011</t>
  </si>
  <si>
    <t>Pacific silver fir (WA) Wet Other Other None Small 0.048</t>
  </si>
  <si>
    <t>Pacific silver fir (WA) Wet Other Other None Medium 0.029</t>
  </si>
  <si>
    <t>Pacific silver fir (WA) Wet Other Other None Large 0.013</t>
  </si>
  <si>
    <t>Pacific silver fir (WA) Wet Other Other Increase Small 0.059</t>
  </si>
  <si>
    <t>Pacific silver fir (WA) Wet Other Other Increase Medium 0.036</t>
  </si>
  <si>
    <t>Pacific silver fir (WA) Wet Other Other Increase Large 0.016</t>
  </si>
  <si>
    <t>Pacific silver fir (WA) Wet Other Ridgetop Decrease Small 0.076</t>
  </si>
  <si>
    <t>Pacific silver fir (WA) Wet Other Ridgetop Decrease Medium 0.047</t>
  </si>
  <si>
    <t>Pacific silver fir (WA) Wet Other Ridgetop Decrease Large 0.020</t>
  </si>
  <si>
    <t>Pacific silver fir (WA) Wet Other Ridgetop None Small 0.078</t>
  </si>
  <si>
    <t>Pacific silver fir (WA) Wet Other Ridgetop None Medium 0.048</t>
  </si>
  <si>
    <t>Pacific silver fir (WA) Wet Other Ridgetop None Large 0.021</t>
  </si>
  <si>
    <t>Pacific silver fir (WA) Wet Other Ridgetop Increase Small 0.083</t>
  </si>
  <si>
    <t>Pacific silver fir (WA) Wet Other Ridgetop Increase Medium 0.051</t>
  </si>
  <si>
    <t>Pacific silver fir (WA) Wet Other Ridgetop Increase Large 0.022</t>
  </si>
  <si>
    <t>Pacific silver fir (WA) Wet Shallow Other Decrease Small 0.054</t>
  </si>
  <si>
    <t>Pacific silver fir (WA) Wet Shallow Other Decrease Medium 0.033</t>
  </si>
  <si>
    <t>Pacific silver fir (WA) Wet Shallow Other Decrease Large 0.014</t>
  </si>
  <si>
    <t>Pacific silver fir (WA) Wet Shallow Other None Small 0.059</t>
  </si>
  <si>
    <t>Pacific silver fir (WA) Wet Shallow Other None Medium 0.036</t>
  </si>
  <si>
    <t>Pacific silver fir (WA) Wet Shallow Other None Large 0.016</t>
  </si>
  <si>
    <t>Pacific silver fir (WA) Wet Shallow Other Increase Small 0.059</t>
  </si>
  <si>
    <t>Pacific silver fir (WA) Wet Shallow Other Increase Medium 0.036</t>
  </si>
  <si>
    <t>Pacific silver fir (WA) Wet Shallow Other Increase Large 0.016</t>
  </si>
  <si>
    <t>Pacific silver fir (WA) Wet Shallow Ridgetop Decrease Small 0.098</t>
  </si>
  <si>
    <t>Pacific silver fir (WA) Wet Shallow Ridgetop Decrease Medium 0.060</t>
  </si>
  <si>
    <t>Pacific silver fir (WA) Wet Shallow Ridgetop Decrease Large 0.026</t>
  </si>
  <si>
    <t>Pacific silver fir (WA) Wet Shallow Ridgetop None Small 0.098</t>
  </si>
  <si>
    <t>Pacific silver fir (WA) Wet Shallow Ridgetop None Medium 0.060</t>
  </si>
  <si>
    <t>Pacific silver fir (WA) Wet Shallow Ridgetop None Large 0.026</t>
  </si>
  <si>
    <t>Pacific silver fir (WA) Wet Shallow Ridgetop Increase Small 0.098</t>
  </si>
  <si>
    <t>Pacific silver fir (WA) Wet Shallow Ridgetop Increase Medium 0.060</t>
  </si>
  <si>
    <t>Pacific silver fir (WA) Wet Shallow Ridgetop Increase Large 0.026</t>
  </si>
  <si>
    <t>Pacific silver fir (WA) Mesic Other Other Decrease Small 0.044</t>
  </si>
  <si>
    <t>Pacific silver fir (WA) Mesic Other Other Decrease Medium 0.027</t>
  </si>
  <si>
    <t>Pacific silver fir (WA) Mesic Other Other Decrease Large 0.012</t>
  </si>
  <si>
    <t>Pacific silver fir (WA) Mesic Other Other None Small 0.049</t>
  </si>
  <si>
    <t>Pacific silver fir (WA) Mesic Other Other None Medium 0.030</t>
  </si>
  <si>
    <t>Pacific silver fir (WA) Mesic Other Other None Large 0.013</t>
  </si>
  <si>
    <t>Pacific silver fir (WA) Mesic Other Other Increase Small 0.059</t>
  </si>
  <si>
    <t>Pacific silver fir (WA) Mesic Other Other Increase Medium 0.036</t>
  </si>
  <si>
    <t>Pacific silver fir (WA) Mesic Other Other Increase Large 0.016</t>
  </si>
  <si>
    <t>Pacific silver fir (WA) Mesic Other Ridgetop Decrease Small 0.083</t>
  </si>
  <si>
    <t>Pacific silver fir (WA) Mesic Other Ridgetop Decrease Medium 0.051</t>
  </si>
  <si>
    <t>Pacific silver fir (WA) Mesic Other Ridgetop Decrease Large 0.022</t>
  </si>
  <si>
    <t>Pacific silver fir (WA) Mesic Other Ridgetop None Small 0.083</t>
  </si>
  <si>
    <t>Pacific silver fir (WA) Mesic Other Ridgetop None Medium 0.051</t>
  </si>
  <si>
    <t>Pacific silver fir (WA) Mesic Other Ridgetop None Large 0.022</t>
  </si>
  <si>
    <t>Pacific silver fir (WA) Mesic Other Ridgetop Increase Small 0.088</t>
  </si>
  <si>
    <t>Pacific silver fir (WA) Mesic Other Ridgetop Increase Medium 0.054</t>
  </si>
  <si>
    <t>Pacific silver fir (WA) Mesic Other Ridgetop Increase Large 0.023</t>
  </si>
  <si>
    <t>Pacific silver fir (WA) Mesic Shallow Other Decrease Small 0.054</t>
  </si>
  <si>
    <t>Pacific silver fir (WA) Mesic Shallow Other Decrease Medium 0.033</t>
  </si>
  <si>
    <t>Pacific silver fir (WA) Mesic Shallow Other Decrease Large 0.014</t>
  </si>
  <si>
    <t>Pacific silver fir (WA) Mesic Shallow Other None Small 0.059</t>
  </si>
  <si>
    <t>Pacific silver fir (WA) Mesic Shallow Other None Medium 0.036</t>
  </si>
  <si>
    <t>Pacific silver fir (WA) Mesic Shallow Other None Large 0.016</t>
  </si>
  <si>
    <t>Pacific silver fir (WA) Mesic Shallow Other Increase Small 0.059</t>
  </si>
  <si>
    <t>Pacific silver fir (WA) Mesic Shallow Other Increase Medium 0.036</t>
  </si>
  <si>
    <t>Pacific silver fir (WA) Mesic Shallow Other Increase Large 0.016</t>
  </si>
  <si>
    <t>Pacific silver fir (WA) Mesic Shallow Ridgetop Decrease Small 0.098</t>
  </si>
  <si>
    <t>Pacific silver fir (WA) Mesic Shallow Ridgetop Decrease Medium 0.060</t>
  </si>
  <si>
    <t>Pacific silver fir (WA) Mesic Shallow Ridgetop Decrease Large 0.026</t>
  </si>
  <si>
    <t>Pacific silver fir (WA) Mesic Shallow Ridgetop None Small 0.098</t>
  </si>
  <si>
    <t>Pacific silver fir (WA) Mesic Shallow Ridgetop None Medium 0.060</t>
  </si>
  <si>
    <t>Pacific silver fir (WA) Mesic Shallow Ridgetop None Large 0.026</t>
  </si>
  <si>
    <t>Pacific silver fir (WA) Mesic Shallow Ridgetop Increase Small 0.098</t>
  </si>
  <si>
    <t>Pacific silver fir (WA) Mesic Shallow Ridgetop Increase Medium 0.060</t>
  </si>
  <si>
    <t>Pacific silver fir (WA) Mesic Shallow Ridgetop Increase Large 0.026</t>
  </si>
  <si>
    <t>Pacific silver fir (WA) Dry Other Other Decrease Small 0.048</t>
  </si>
  <si>
    <t>Pacific silver fir (WA) Dry Other Other Decrease Medium 0.029</t>
  </si>
  <si>
    <t>Pacific silver fir (WA) Dry Other Other Decrease Large 0.013</t>
  </si>
  <si>
    <t>Pacific silver fir (WA) Dry Other Other None Small 0.054</t>
  </si>
  <si>
    <t>Pacific silver fir (WA) Dry Other Other None Medium 0.033</t>
  </si>
  <si>
    <t>Pacific silver fir (WA) Dry Other Other None Large 0.014</t>
  </si>
  <si>
    <t>Pacific silver fir (WA) Dry Other Other Increase Small 0.059</t>
  </si>
  <si>
    <t>Pacific silver fir (WA) Dry Other Other Increase Medium 0.036</t>
  </si>
  <si>
    <t>Pacific silver fir (WA) Dry Other Other Increase Large 0.016</t>
  </si>
  <si>
    <t>Pacific silver fir (WA) Dry Other Ridgetop Decrease Small 0.091</t>
  </si>
  <si>
    <t>Pacific silver fir (WA) Dry Other Ridgetop Decrease Medium 0.056</t>
  </si>
  <si>
    <t>Pacific silver fir (WA) Dry Other Ridgetop Decrease Large 0.024</t>
  </si>
  <si>
    <t>Pacific silver fir (WA) Dry Other Ridgetop None Small 0.091</t>
  </si>
  <si>
    <t>Pacific silver fir (WA) Dry Other Ridgetop None Medium 0.056</t>
  </si>
  <si>
    <t>Pacific silver fir (WA) Dry Other Ridgetop None Large 0.024</t>
  </si>
  <si>
    <t>Pacific silver fir (WA) Dry Other Ridgetop Increase Small 0.093</t>
  </si>
  <si>
    <t>Pacific silver fir (WA) Dry Other Ridgetop Increase Medium 0.057</t>
  </si>
  <si>
    <t>Pacific silver fir (WA) Dry Other Ridgetop Increase Large 0.025</t>
  </si>
  <si>
    <t>Pacific silver fir (WA) Dry Shallow Other Decrease Small 0.054</t>
  </si>
  <si>
    <t>Pacific silver fir (WA) Dry Shallow Other Decrease Medium 0.033</t>
  </si>
  <si>
    <t>Pacific silver fir (WA) Dry Shallow Other Decrease Large 0.014</t>
  </si>
  <si>
    <t>Pacific silver fir (WA) Dry Shallow Other None Small 0.059</t>
  </si>
  <si>
    <t>Pacific silver fir (WA) Dry Shallow Other None Medium 0.036</t>
  </si>
  <si>
    <t>Pacific silver fir (WA) Dry Shallow Other None Large 0.016</t>
  </si>
  <si>
    <t>Pacific silver fir (WA) Dry Shallow Other Increase Small 0.059</t>
  </si>
  <si>
    <t>Pacific silver fir (WA) Dry Shallow Other Increase Medium 0.036</t>
  </si>
  <si>
    <t>Pacific silver fir (WA) Dry Shallow Other Increase Large 0.016</t>
  </si>
  <si>
    <t>Pacific silver fir (WA) Dry Shallow Ridgetop Decrease Small 0.098</t>
  </si>
  <si>
    <t>Pacific silver fir (WA) Dry Shallow Ridgetop Decrease Medium 0.060</t>
  </si>
  <si>
    <t>Pacific silver fir (WA) Dry Shallow Ridgetop Decrease Large 0.026</t>
  </si>
  <si>
    <t>Pacific silver fir (WA) Dry Shallow Ridgetop None Small 0.098</t>
  </si>
  <si>
    <t>Pacific silver fir (WA) Dry Shallow Ridgetop None Medium 0.060</t>
  </si>
  <si>
    <t>Pacific silver fir (WA) Dry Shallow Ridgetop None Large 0.026</t>
  </si>
  <si>
    <t>Pacific silver fir (WA) Dry Shallow Ridgetop Increase Small 0.098</t>
  </si>
  <si>
    <t>Pacific silver fir (WA) Dry Shallow Ridgetop Increase Medium 0.060</t>
  </si>
  <si>
    <t>Pacific silver fir (WA) Dry Shallow Ridgetop Increase Large 0.026</t>
  </si>
  <si>
    <t>Grand/white fir Wet Other Other Decrease Small 0.088</t>
  </si>
  <si>
    <t>Grand/white fir Wet Other Other Decrease Medium 0.032</t>
  </si>
  <si>
    <t>Grand/white fir Wet Other Other Decrease Large 0.016</t>
  </si>
  <si>
    <t>Grand/white fir Wet Other Other None Small 0.098</t>
  </si>
  <si>
    <t>Grand/white fir Wet Other Other None Medium 0.035</t>
  </si>
  <si>
    <t>Grand/white fir Wet Other Other None Large 0.018</t>
  </si>
  <si>
    <t>Grand/white fir Wet Other Other Increase Small 0.120</t>
  </si>
  <si>
    <t>Grand/white fir Wet Other Other Increase Medium 0.043</t>
  </si>
  <si>
    <t>Grand/white fir Wet Other Other Increase Large 0.022</t>
  </si>
  <si>
    <t>Grand/white fir Wet Other Ridgetop Decrease Small 0.155</t>
  </si>
  <si>
    <t>Grand/white fir Wet Other Ridgetop Decrease Medium 0.056</t>
  </si>
  <si>
    <t>Grand/white fir Wet Other Ridgetop Decrease Large 0.028</t>
  </si>
  <si>
    <t>Grand/white fir Wet Other Ridgetop None Small 0.160</t>
  </si>
  <si>
    <t>Grand/white fir Wet Other Ridgetop None Medium 0.058</t>
  </si>
  <si>
    <t>Grand/white fir Wet Other Ridgetop None Large 0.029</t>
  </si>
  <si>
    <t>Grand/white fir Wet Other Ridgetop Increase Small 0.170</t>
  </si>
  <si>
    <t>Grand/white fir Wet Other Ridgetop Increase Medium 0.061</t>
  </si>
  <si>
    <t>Grand/white fir Wet Other Ridgetop Increase Large 0.031</t>
  </si>
  <si>
    <t>Grand/white fir Wet Shallow Other Decrease Small 0.110</t>
  </si>
  <si>
    <t>Grand/white fir Wet Shallow Other Decrease Medium 0.040</t>
  </si>
  <si>
    <t>Grand/white fir Wet Shallow Other Decrease Large 0.020</t>
  </si>
  <si>
    <t>Grand/white fir Wet Shallow Other None Small 0.120</t>
  </si>
  <si>
    <t>Grand/white fir Wet Shallow Other None Medium 0.043</t>
  </si>
  <si>
    <t>Grand/white fir Wet Shallow Other None Large 0.022</t>
  </si>
  <si>
    <t>Grand/white fir Wet Shallow Other Increase Small 0.120</t>
  </si>
  <si>
    <t>Grand/white fir Wet Shallow Other Increase Medium 0.043</t>
  </si>
  <si>
    <t>Grand/white fir Wet Shallow Other Increase Large 0.022</t>
  </si>
  <si>
    <t>Grand/white fir Wet Shallow Ridgetop Decrease Small 0.200</t>
  </si>
  <si>
    <t>Grand/white fir Wet Shallow Ridgetop Decrease Medium 0.072</t>
  </si>
  <si>
    <t>Grand/white fir Wet Shallow Ridgetop Decrease Large 0.036</t>
  </si>
  <si>
    <t>Grand/white fir Wet Shallow Ridgetop None Small 0.200</t>
  </si>
  <si>
    <t>Grand/white fir Wet Shallow Ridgetop None Medium 0.072</t>
  </si>
  <si>
    <t>Grand/white fir Wet Shallow Ridgetop None Large 0.036</t>
  </si>
  <si>
    <t>Grand/white fir Wet Shallow Ridgetop Increase Small 0.200</t>
  </si>
  <si>
    <t>Grand/white fir Wet Shallow Ridgetop Increase Medium 0.072</t>
  </si>
  <si>
    <t>Grand/white fir Wet Shallow Ridgetop Increase Large 0.036</t>
  </si>
  <si>
    <t>Grand/white fir Mesic Other Other Decrease Small 0.090</t>
  </si>
  <si>
    <t>Grand/white fir Mesic Other Other Decrease Medium 0.032</t>
  </si>
  <si>
    <t>Grand/white fir Mesic Other Other Decrease Large 0.016</t>
  </si>
  <si>
    <t>Grand/white fir Mesic Other Other None Small 0.100</t>
  </si>
  <si>
    <t>Grand/white fir Mesic Other Other None Medium 0.036</t>
  </si>
  <si>
    <t>Grand/white fir Mesic Other Other None Large 0.018</t>
  </si>
  <si>
    <t>Grand/white fir Mesic Other Other Increase Small 0.120</t>
  </si>
  <si>
    <t>Grand/white fir Mesic Other Other Increase Medium 0.043</t>
  </si>
  <si>
    <t>Grand/white fir Mesic Other Other Increase Large 0.022</t>
  </si>
  <si>
    <t>Grand/white fir Mesic Other Ridgetop Decrease Small 0.170</t>
  </si>
  <si>
    <t>Grand/white fir Mesic Other Ridgetop Decrease Medium 0.061</t>
  </si>
  <si>
    <t>Grand/white fir Mesic Other Ridgetop Decrease Large 0.031</t>
  </si>
  <si>
    <t>Grand/white fir Mesic Other Ridgetop None Small 0.170</t>
  </si>
  <si>
    <t>Grand/white fir Mesic Other Ridgetop None Medium 0.061</t>
  </si>
  <si>
    <t>Grand/white fir Mesic Other Ridgetop None Large 0.031</t>
  </si>
  <si>
    <t>Grand/white fir Mesic Other Ridgetop Increase Small 0.180</t>
  </si>
  <si>
    <t>Grand/white fir Mesic Other Ridgetop Increase Medium 0.065</t>
  </si>
  <si>
    <t>Grand/white fir Mesic Other Ridgetop Increase Large 0.032</t>
  </si>
  <si>
    <t>Grand/white fir Mesic Shallow Other Decrease Small 0.110</t>
  </si>
  <si>
    <t>Grand/white fir Mesic Shallow Other Decrease Medium 0.040</t>
  </si>
  <si>
    <t>Grand/white fir Mesic Shallow Other Decrease Large 0.020</t>
  </si>
  <si>
    <t>Grand/white fir Mesic Shallow Other None Small 0.120</t>
  </si>
  <si>
    <t>Grand/white fir Mesic Shallow Other None Medium 0.043</t>
  </si>
  <si>
    <t>Grand/white fir Mesic Shallow Other None Large 0.022</t>
  </si>
  <si>
    <t>Grand/white fir Mesic Shallow Other Increase Small 0.120</t>
  </si>
  <si>
    <t>Grand/white fir Mesic Shallow Other Increase Medium 0.043</t>
  </si>
  <si>
    <t>Grand/white fir Mesic Shallow Other Increase Large 0.022</t>
  </si>
  <si>
    <t>Grand/white fir Mesic Shallow Ridgetop Decrease Small 0.200</t>
  </si>
  <si>
    <t>Grand/white fir Mesic Shallow Ridgetop Decrease Medium 0.072</t>
  </si>
  <si>
    <t>Grand/white fir Mesic Shallow Ridgetop Decrease Large 0.036</t>
  </si>
  <si>
    <t>Grand/white fir Mesic Shallow Ridgetop None Small 0.200</t>
  </si>
  <si>
    <t>Grand/white fir Mesic Shallow Ridgetop None Medium 0.072</t>
  </si>
  <si>
    <t>Grand/white fir Mesic Shallow Ridgetop None Large 0.036</t>
  </si>
  <si>
    <t>Grand/white fir Mesic Shallow Ridgetop Increase Small 0.200</t>
  </si>
  <si>
    <t>Grand/white fir Mesic Shallow Ridgetop Increase Medium 0.072</t>
  </si>
  <si>
    <t>Grand/white fir Mesic Shallow Ridgetop Increase Large 0.036</t>
  </si>
  <si>
    <t>Grand/white fir Dry Other Other Decrease Small 0.098</t>
  </si>
  <si>
    <t>Grand/white fir Dry Other Other Decrease Medium 0.035</t>
  </si>
  <si>
    <t>Grand/white fir Dry Other Other Decrease Large 0.018</t>
  </si>
  <si>
    <t>Grand/white fir Dry Other Other None Small 0.110</t>
  </si>
  <si>
    <t>Grand/white fir Dry Other Other None Medium 0.040</t>
  </si>
  <si>
    <t>Grand/white fir Dry Other Other None Large 0.020</t>
  </si>
  <si>
    <t>Grand/white fir Dry Other Other Increase Small 0.120</t>
  </si>
  <si>
    <t>Grand/white fir Dry Other Other Increase Medium 0.043</t>
  </si>
  <si>
    <t>Grand/white fir Dry Other Other Increase Large 0.022</t>
  </si>
  <si>
    <t>Grand/white fir Dry Other Ridgetop Decrease Small 0.185</t>
  </si>
  <si>
    <t>Grand/white fir Dry Other Ridgetop Decrease Medium 0.067</t>
  </si>
  <si>
    <t>Grand/white fir Dry Other Ridgetop Decrease Large 0.033</t>
  </si>
  <si>
    <t>Grand/white fir Dry Other Ridgetop None Small 0.185</t>
  </si>
  <si>
    <t>Grand/white fir Dry Other Ridgetop None Medium 0.067</t>
  </si>
  <si>
    <t>Grand/white fir Dry Other Ridgetop None Large 0.033</t>
  </si>
  <si>
    <t>Grand/white fir Dry Other Ridgetop Increase Small 0.190</t>
  </si>
  <si>
    <t>Grand/white fir Dry Other Ridgetop Increase Medium 0.068</t>
  </si>
  <si>
    <t>Grand/white fir Dry Other Ridgetop Increase Large 0.034</t>
  </si>
  <si>
    <t>Grand/white fir Dry Shallow Other Decrease Small 0.110</t>
  </si>
  <si>
    <t>Grand/white fir Dry Shallow Other Decrease Medium 0.040</t>
  </si>
  <si>
    <t>Grand/white fir Dry Shallow Other Decrease Large 0.020</t>
  </si>
  <si>
    <t>Grand/white fir Dry Shallow Other None Small 0.120</t>
  </si>
  <si>
    <t>Grand/white fir Dry Shallow Other None Medium 0.043</t>
  </si>
  <si>
    <t>Grand/white fir Dry Shallow Other None Large 0.022</t>
  </si>
  <si>
    <t>Grand/white fir Dry Shallow Other Increase Small 0.120</t>
  </si>
  <si>
    <t>Grand/white fir Dry Shallow Other Increase Medium 0.043</t>
  </si>
  <si>
    <t>Grand/white fir Dry Shallow Other Increase Large 0.022</t>
  </si>
  <si>
    <t>Grand/white fir Dry Shallow Ridgetop Decrease Small 0.200</t>
  </si>
  <si>
    <t>Grand/white fir Dry Shallow Ridgetop Decrease Medium 0.072</t>
  </si>
  <si>
    <t>Grand/white fir Dry Shallow Ridgetop Decrease Large 0.036</t>
  </si>
  <si>
    <t>Grand/white fir Dry Shallow Ridgetop None Small 0.200</t>
  </si>
  <si>
    <t>Grand/white fir Dry Shallow Ridgetop None Medium 0.072</t>
  </si>
  <si>
    <t>Grand/white fir Dry Shallow Ridgetop None Large 0.036</t>
  </si>
  <si>
    <t>Grand/white fir Dry Shallow Ridgetop Increase Small 0.200</t>
  </si>
  <si>
    <t>Grand/white fir Dry Shallow Ridgetop Increase Medium 0.072</t>
  </si>
  <si>
    <t>Grand/white fir Dry Shallow Ridgetop Increase Large 0.036</t>
  </si>
  <si>
    <t>Misc hardwoods Wet Other Other Decrease Small 0.106</t>
  </si>
  <si>
    <t>Misc hardwoods Wet Other Other Decrease Medium 0.052</t>
  </si>
  <si>
    <t>Misc hardwoods Wet Other Other Decrease Large 0.036</t>
  </si>
  <si>
    <t>Misc hardwoods Wet Other Other None Small 0.118</t>
  </si>
  <si>
    <t>Misc hardwoods Wet Other Other None Medium 0.058</t>
  </si>
  <si>
    <t>Misc hardwoods Wet Other Other None Large 0.040</t>
  </si>
  <si>
    <t>Misc hardwoods Wet Other Other Increase Small 0.145</t>
  </si>
  <si>
    <t>Misc hardwoods Wet Other Other Increase Medium 0.071</t>
  </si>
  <si>
    <t>Misc hardwoods Wet Other Other Increase Large 0.049</t>
  </si>
  <si>
    <t>Misc hardwoods Wet Other Ridgetop Decrease Small 0.188</t>
  </si>
  <si>
    <t>Misc hardwoods Wet Other Ridgetop Decrease Medium 0.091</t>
  </si>
  <si>
    <t>Misc hardwoods Wet Other Ridgetop Decrease Large 0.064</t>
  </si>
  <si>
    <t>Misc hardwoods Wet Other Ridgetop None Small 0.194</t>
  </si>
  <si>
    <t>Misc hardwoods Wet Other Ridgetop None Medium 0.094</t>
  </si>
  <si>
    <t>Misc hardwoods Wet Other Ridgetop None Large 0.066</t>
  </si>
  <si>
    <t>Misc hardwoods Wet Other Ridgetop Increase Small 0.206</t>
  </si>
  <si>
    <t>Misc hardwoods Wet Other Ridgetop Increase Medium 0.100</t>
  </si>
  <si>
    <t>Misc hardwoods Wet Other Ridgetop Increase Large 0.070</t>
  </si>
  <si>
    <t>Misc hardwoods Wet Shallow Other Decrease Small 0.133</t>
  </si>
  <si>
    <t>Misc hardwoods Wet Shallow Other Decrease Medium 0.065</t>
  </si>
  <si>
    <t>Misc hardwoods Wet Shallow Other Decrease Large 0.045</t>
  </si>
  <si>
    <t>Misc hardwoods Wet Shallow Other None Small 0.145</t>
  </si>
  <si>
    <t>Misc hardwoods Wet Shallow Other None Medium 0.071</t>
  </si>
  <si>
    <t>Misc hardwoods Wet Shallow Other None Large 0.049</t>
  </si>
  <si>
    <t>Misc hardwoods Wet Shallow Other Increase Small 0.145</t>
  </si>
  <si>
    <t>Misc hardwoods Wet Shallow Other Increase Medium 0.071</t>
  </si>
  <si>
    <t>Misc hardwoods Wet Shallow Other Increase Large 0.049</t>
  </si>
  <si>
    <t>Misc hardwoods Wet Shallow Ridgetop Decrease Small 0.242</t>
  </si>
  <si>
    <t>Misc hardwoods Wet Shallow Ridgetop Decrease Medium 0.118</t>
  </si>
  <si>
    <t>Misc hardwoods Wet Shallow Ridgetop Decrease Large 0.082</t>
  </si>
  <si>
    <t>Misc hardwoods Wet Shallow Ridgetop None Small 0.242</t>
  </si>
  <si>
    <t>Misc hardwoods Wet Shallow Ridgetop None Medium 0.118</t>
  </si>
  <si>
    <t>Misc hardwoods Wet Shallow Ridgetop None Large 0.082</t>
  </si>
  <si>
    <t>Misc hardwoods Wet Shallow Ridgetop Increase Small 0.242</t>
  </si>
  <si>
    <t>Misc hardwoods Wet Shallow Ridgetop Increase Medium 0.118</t>
  </si>
  <si>
    <t>Misc hardwoods Wet Shallow Ridgetop Increase Large 0.082</t>
  </si>
  <si>
    <t>Misc hardwoods Mesic Other Other Decrease Small 0.109</t>
  </si>
  <si>
    <t>Misc hardwoods Mesic Other Other Decrease Medium 0.053</t>
  </si>
  <si>
    <t>Misc hardwoods Mesic Other Other Decrease Large 0.037</t>
  </si>
  <si>
    <t>Misc hardwoods Mesic Other Other None Small 0.121</t>
  </si>
  <si>
    <t>Misc hardwoods Mesic Other Other None Medium 0.059</t>
  </si>
  <si>
    <t>Misc hardwoods Mesic Other Other None Large 0.041</t>
  </si>
  <si>
    <t>Misc hardwoods Mesic Other Other Increase Small 0.145</t>
  </si>
  <si>
    <t>Misc hardwoods Mesic Other Other Increase Medium 0.071</t>
  </si>
  <si>
    <t>Misc hardwoods Mesic Other Other Increase Large 0.049</t>
  </si>
  <si>
    <t>Misc hardwoods Mesic Other Ridgetop Decrease Small 0.206</t>
  </si>
  <si>
    <t>Misc hardwoods Mesic Other Ridgetop Decrease Medium 0.100</t>
  </si>
  <si>
    <t>Misc hardwoods Mesic Other Ridgetop Decrease Large 0.070</t>
  </si>
  <si>
    <t>Misc hardwoods Mesic Other Ridgetop None Small 0.206</t>
  </si>
  <si>
    <t>Misc hardwoods Mesic Other Ridgetop None Medium 0.100</t>
  </si>
  <si>
    <t>Misc hardwoods Mesic Other Ridgetop None Large 0.070</t>
  </si>
  <si>
    <t>Misc hardwoods Mesic Other Ridgetop Increase Small 0.218</t>
  </si>
  <si>
    <t>Misc hardwoods Mesic Other Ridgetop Increase Medium 0.106</t>
  </si>
  <si>
    <t>Misc hardwoods Mesic Other Ridgetop Increase Large 0.074</t>
  </si>
  <si>
    <t>Misc hardwoods Mesic Shallow Other Decrease Small 0.133</t>
  </si>
  <si>
    <t>Misc hardwoods Mesic Shallow Other Decrease Medium 0.065</t>
  </si>
  <si>
    <t>Misc hardwoods Mesic Shallow Other Decrease Large 0.045</t>
  </si>
  <si>
    <t>Misc hardwoods Mesic Shallow Other None Small 0.145</t>
  </si>
  <si>
    <t>Misc hardwoods Mesic Shallow Other None Medium 0.071</t>
  </si>
  <si>
    <t>Misc hardwoods Mesic Shallow Other None Large 0.049</t>
  </si>
  <si>
    <t>Misc hardwoods Mesic Shallow Other Increase Small 0.145</t>
  </si>
  <si>
    <t>Misc hardwoods Mesic Shallow Other Increase Medium 0.071</t>
  </si>
  <si>
    <t>Misc hardwoods Mesic Shallow Other Increase Large 0.049</t>
  </si>
  <si>
    <t>Misc hardwoods Mesic Shallow Ridgetop Decrease Small 0.242</t>
  </si>
  <si>
    <t>Misc hardwoods Mesic Shallow Ridgetop Decrease Medium 0.118</t>
  </si>
  <si>
    <t>Misc hardwoods Mesic Shallow Ridgetop Decrease Large 0.082</t>
  </si>
  <si>
    <t>Misc hardwoods Mesic Shallow Ridgetop None Small 0.242</t>
  </si>
  <si>
    <t>Misc hardwoods Mesic Shallow Ridgetop None Medium 0.118</t>
  </si>
  <si>
    <t>Misc hardwoods Mesic Shallow Ridgetop None Large 0.082</t>
  </si>
  <si>
    <t>Misc hardwoods Mesic Shallow Ridgetop Increase Small 0.242</t>
  </si>
  <si>
    <t>Misc hardwoods Mesic Shallow Ridgetop Increase Medium 0.118</t>
  </si>
  <si>
    <t>Misc hardwoods Mesic Shallow Ridgetop Increase Large 0.082</t>
  </si>
  <si>
    <t>Misc hardwoods Dry Other Other Decrease Small 0.118</t>
  </si>
  <si>
    <t>Misc hardwoods Dry Other Other Decrease Medium 0.058</t>
  </si>
  <si>
    <t>Misc hardwoods Dry Other Other Decrease Large 0.040</t>
  </si>
  <si>
    <t>Misc hardwoods Dry Other Other None Small 0.133</t>
  </si>
  <si>
    <t>Misc hardwoods Dry Other Other None Medium 0.065</t>
  </si>
  <si>
    <t>Misc hardwoods Dry Other Other None Large 0.045</t>
  </si>
  <si>
    <t>Misc hardwoods Dry Other Other Increase Small 0.145</t>
  </si>
  <si>
    <t>Misc hardwoods Dry Other Other Increase Medium 0.071</t>
  </si>
  <si>
    <t>Misc hardwoods Dry Other Other Increase Large 0.049</t>
  </si>
  <si>
    <t>Misc hardwoods Dry Other Ridgetop Decrease Small 0.224</t>
  </si>
  <si>
    <t>Misc hardwoods Dry Other Ridgetop Decrease Medium 0.109</t>
  </si>
  <si>
    <t>Misc hardwoods Dry Other Ridgetop Decrease Large 0.076</t>
  </si>
  <si>
    <t>Misc hardwoods Dry Other Ridgetop None Small 0.224</t>
  </si>
  <si>
    <t>Misc hardwoods Dry Other Ridgetop None Medium 0.109</t>
  </si>
  <si>
    <t>Misc hardwoods Dry Other Ridgetop None Large 0.076</t>
  </si>
  <si>
    <t>Misc hardwoods Dry Other Ridgetop Increase Small 0.230</t>
  </si>
  <si>
    <t>Misc hardwoods Dry Other Ridgetop Increase Medium 0.112</t>
  </si>
  <si>
    <t>Misc hardwoods Dry Other Ridgetop Increase Large 0.078</t>
  </si>
  <si>
    <t>Misc hardwoods Dry Shallow Other Decrease Small 0.133</t>
  </si>
  <si>
    <t>Misc hardwoods Dry Shallow Other Decrease Medium 0.065</t>
  </si>
  <si>
    <t>Misc hardwoods Dry Shallow Other Decrease Large 0.045</t>
  </si>
  <si>
    <t>Misc hardwoods Dry Shallow Other None Small 0.145</t>
  </si>
  <si>
    <t>Misc hardwoods Dry Shallow Other None Medium 0.071</t>
  </si>
  <si>
    <t>Misc hardwoods Dry Shallow Other None Large 0.049</t>
  </si>
  <si>
    <t>Misc hardwoods Dry Shallow Other Increase Small 0.145</t>
  </si>
  <si>
    <t>Misc hardwoods Dry Shallow Other Increase Medium 0.071</t>
  </si>
  <si>
    <t>Misc hardwoods Dry Shallow Other Increase Large 0.049</t>
  </si>
  <si>
    <t>Misc hardwoods Dry Shallow Ridgetop Decrease Small 0.242</t>
  </si>
  <si>
    <t>Misc hardwoods Dry Shallow Ridgetop Decrease Medium 0.118</t>
  </si>
  <si>
    <t>Misc hardwoods Dry Shallow Ridgetop Decrease Large 0.082</t>
  </si>
  <si>
    <t>Misc hardwoods Dry Shallow Ridgetop None Small 0.242</t>
  </si>
  <si>
    <t>Misc hardwoods Dry Shallow Ridgetop None Medium 0.118</t>
  </si>
  <si>
    <t>Misc hardwoods Dry Shallow Ridgetop None Large 0.082</t>
  </si>
  <si>
    <t>Misc hardwoods Dry Shallow Ridgetop Increase Small 0.242</t>
  </si>
  <si>
    <t>Misc hardwoods Dry Shallow Ridgetop Increase Medium 0.118</t>
  </si>
  <si>
    <t>Misc hardwoods Dry Shallow Ridgetop Increase Large 0.082</t>
  </si>
  <si>
    <t>Populus Wet Other Other Decrease Small 0.124</t>
  </si>
  <si>
    <t>Populus Wet Other Other Decrease Medium 0.071</t>
  </si>
  <si>
    <t>Populus Wet Other Other Decrease Large 0.056</t>
  </si>
  <si>
    <t>Populus Wet Other Other None Small 0.138</t>
  </si>
  <si>
    <t>Populus Wet Other Other None Medium 0.079</t>
  </si>
  <si>
    <t>Populus Wet Other Other None Large 0.062</t>
  </si>
  <si>
    <t>Populus Wet Other Other Increase Small 0.170</t>
  </si>
  <si>
    <t>Populus Wet Other Other Increase Medium 0.097</t>
  </si>
  <si>
    <t>Populus Wet Other Other Increase Large 0.077</t>
  </si>
  <si>
    <t>Populus Wet Other Ridgetop Decrease Small 0.220</t>
  </si>
  <si>
    <t>Populus Wet Other Ridgetop Decrease Medium 0.126</t>
  </si>
  <si>
    <t>Populus Wet Other Ridgetop Decrease Large 0.099</t>
  </si>
  <si>
    <t>Populus Wet Other Ridgetop None Small 0.227</t>
  </si>
  <si>
    <t>Populus Wet Other Ridgetop None Medium 0.130</t>
  </si>
  <si>
    <t>Populus Wet Other Ridgetop None Large 0.102</t>
  </si>
  <si>
    <t>Populus Wet Other Ridgetop Increase Small 0.241</t>
  </si>
  <si>
    <t>Populus Wet Other Ridgetop Increase Medium 0.138</t>
  </si>
  <si>
    <t>Populus Wet Other Ridgetop Increase Large 0.109</t>
  </si>
  <si>
    <t>Populus Wet Shallow Other Decrease Small 0.156</t>
  </si>
  <si>
    <t>Populus Wet Shallow Other Decrease Medium 0.089</t>
  </si>
  <si>
    <t>Populus Wet Shallow Other Decrease Large 0.070</t>
  </si>
  <si>
    <t>Populus Wet Shallow Other None Small 0.170</t>
  </si>
  <si>
    <t>Populus Wet Shallow Other None Medium 0.097</t>
  </si>
  <si>
    <t>Populus Wet Shallow Other None Large 0.077</t>
  </si>
  <si>
    <t>Populus Wet Shallow Other Increase Small 0.170</t>
  </si>
  <si>
    <t>Populus Wet Shallow Other Increase Medium 0.097</t>
  </si>
  <si>
    <t>Populus Wet Shallow Other Increase Large 0.077</t>
  </si>
  <si>
    <t>Populus Wet Shallow Ridgetop Decrease Small 0.284</t>
  </si>
  <si>
    <t>Populus Wet Shallow Ridgetop Decrease Medium 0.162</t>
  </si>
  <si>
    <t>Populus Wet Shallow Ridgetop Decrease Large 0.128</t>
  </si>
  <si>
    <t>Populus Wet Shallow Ridgetop None Small 0.284</t>
  </si>
  <si>
    <t>Populus Wet Shallow Ridgetop None Medium 0.162</t>
  </si>
  <si>
    <t>Populus Wet Shallow Ridgetop None Large 0.128</t>
  </si>
  <si>
    <t>Populus Wet Shallow Ridgetop Increase Small 0.284</t>
  </si>
  <si>
    <t>Populus Wet Shallow Ridgetop Increase Medium 0.162</t>
  </si>
  <si>
    <t>Populus Wet Shallow Ridgetop Increase Large 0.128</t>
  </si>
  <si>
    <t>Populus Mesic Other Other Decrease Small 0.128</t>
  </si>
  <si>
    <t>Populus Mesic Other Other Decrease Medium 0.073</t>
  </si>
  <si>
    <t>Populus Mesic Other Other Decrease Large 0.058</t>
  </si>
  <si>
    <t>Populus Mesic Other Other None Small 0.142</t>
  </si>
  <si>
    <t>Populus Mesic Other Other None Medium 0.081</t>
  </si>
  <si>
    <t>Populus Mesic Other Other None Large 0.064</t>
  </si>
  <si>
    <t>Populus Mesic Other Other Increase Small 0.170</t>
  </si>
  <si>
    <t>Populus Mesic Other Other Increase Medium 0.097</t>
  </si>
  <si>
    <t>Populus Mesic Other Other Increase Large 0.077</t>
  </si>
  <si>
    <t>Populus Mesic Other Ridgetop Decrease Small 0.241</t>
  </si>
  <si>
    <t>Populus Mesic Other Ridgetop Decrease Medium 0.138</t>
  </si>
  <si>
    <t>Populus Mesic Other Ridgetop Decrease Large 0.109</t>
  </si>
  <si>
    <t>Populus Mesic Other Ridgetop None Small 0.241</t>
  </si>
  <si>
    <t>Populus Mesic Other Ridgetop None Medium 0.138</t>
  </si>
  <si>
    <t>Populus Mesic Other Ridgetop None Large 0.109</t>
  </si>
  <si>
    <t>Populus Mesic Other Ridgetop Increase Small 0.256</t>
  </si>
  <si>
    <t>Populus Mesic Other Ridgetop Increase Medium 0.146</t>
  </si>
  <si>
    <t>Populus Mesic Other Ridgetop Increase Large 0.115</t>
  </si>
  <si>
    <t>Populus Mesic Shallow Other Decrease Small 0.156</t>
  </si>
  <si>
    <t>Populus Mesic Shallow Other Decrease Medium 0.089</t>
  </si>
  <si>
    <t>Populus Mesic Shallow Other Decrease Large 0.070</t>
  </si>
  <si>
    <t>Populus Mesic Shallow Other None Small 0.170</t>
  </si>
  <si>
    <t>Populus Mesic Shallow Other None Medium 0.097</t>
  </si>
  <si>
    <t>Populus Mesic Shallow Other None Large 0.077</t>
  </si>
  <si>
    <t>Populus Mesic Shallow Other Increase Small 0.170</t>
  </si>
  <si>
    <t>Populus Mesic Shallow Other Increase Medium 0.097</t>
  </si>
  <si>
    <t>Populus Mesic Shallow Other Increase Large 0.077</t>
  </si>
  <si>
    <t>Populus Mesic Shallow Ridgetop Decrease Small 0.284</t>
  </si>
  <si>
    <t>Populus Mesic Shallow Ridgetop Decrease Medium 0.162</t>
  </si>
  <si>
    <t>Populus Mesic Shallow Ridgetop Decrease Large 0.128</t>
  </si>
  <si>
    <t>Populus Mesic Shallow Ridgetop None Small 0.284</t>
  </si>
  <si>
    <t>Populus Mesic Shallow Ridgetop None Medium 0.162</t>
  </si>
  <si>
    <t>Populus Mesic Shallow Ridgetop None Large 0.128</t>
  </si>
  <si>
    <t>Populus Mesic Shallow Ridgetop Increase Small 0.284</t>
  </si>
  <si>
    <t>Populus Mesic Shallow Ridgetop Increase Medium 0.162</t>
  </si>
  <si>
    <t>Populus Mesic Shallow Ridgetop Increase Large 0.128</t>
  </si>
  <si>
    <t>Populus Dry Other Other Decrease Small 0.138</t>
  </si>
  <si>
    <t>Populus Dry Other Other Decrease Medium 0.079</t>
  </si>
  <si>
    <t>Populus Dry Other Other Decrease Large 0.062</t>
  </si>
  <si>
    <t>Populus Dry Other Other None Small 0.156</t>
  </si>
  <si>
    <t>Populus Dry Other Other None Medium 0.089</t>
  </si>
  <si>
    <t>Populus Dry Other Other None Large 0.070</t>
  </si>
  <si>
    <t>Populus Dry Other Other Increase Small 0.170</t>
  </si>
  <si>
    <t>Populus Dry Other Other Increase Medium 0.097</t>
  </si>
  <si>
    <t>Populus Dry Other Other Increase Large 0.077</t>
  </si>
  <si>
    <t>Populus Dry Other Ridgetop Decrease Small 0.263</t>
  </si>
  <si>
    <t>Populus Dry Other Ridgetop Decrease Medium 0.150</t>
  </si>
  <si>
    <t>Populus Dry Other Ridgetop Decrease Large 0.118</t>
  </si>
  <si>
    <t>Populus Dry Other Ridgetop None Small 0.263</t>
  </si>
  <si>
    <t>Populus Dry Other Ridgetop None Medium 0.150</t>
  </si>
  <si>
    <t>Populus Dry Other Ridgetop None Large 0.118</t>
  </si>
  <si>
    <t>Populus Dry Other Ridgetop Increase Small 0.270</t>
  </si>
  <si>
    <t>Populus Dry Other Ridgetop Increase Medium 0.154</t>
  </si>
  <si>
    <t>Populus Dry Other Ridgetop Increase Large 0.122</t>
  </si>
  <si>
    <t>Populus Dry Shallow Other Decrease Small 0.156</t>
  </si>
  <si>
    <t>Populus Dry Shallow Other Decrease Medium 0.089</t>
  </si>
  <si>
    <t>Populus Dry Shallow Other Decrease Large 0.070</t>
  </si>
  <si>
    <t>Populus Dry Shallow Other None Small 0.170</t>
  </si>
  <si>
    <t>Populus Dry Shallow Other None Medium 0.097</t>
  </si>
  <si>
    <t>Populus Dry Shallow Other None Large 0.077</t>
  </si>
  <si>
    <t>Populus Dry Shallow Other Increase Small 0.170</t>
  </si>
  <si>
    <t>Populus Dry Shallow Other Increase Medium 0.097</t>
  </si>
  <si>
    <t>Populus Dry Shallow Other Increase Large 0.077</t>
  </si>
  <si>
    <t>Populus Dry Shallow Ridgetop Decrease Small 0.284</t>
  </si>
  <si>
    <t>Populus Dry Shallow Ridgetop Decrease Medium 0.162</t>
  </si>
  <si>
    <t>Populus Dry Shallow Ridgetop Decrease Large 0.128</t>
  </si>
  <si>
    <t>Populus Dry Shallow Ridgetop None Small 0.284</t>
  </si>
  <si>
    <t>Populus Dry Shallow Ridgetop None Medium 0.162</t>
  </si>
  <si>
    <t>Populus Dry Shallow Ridgetop None Large 0.128</t>
  </si>
  <si>
    <t>Populus Dry Shallow Ridgetop Increase Small 0.284</t>
  </si>
  <si>
    <t>Populus Dry Shallow Ridgetop Increase Medium 0.162</t>
  </si>
  <si>
    <t>Populus Dry Shallow Ridgetop Increase Large 0.128</t>
  </si>
  <si>
    <t>Alder Wet Other Other Decrease Small 0.122</t>
  </si>
  <si>
    <t>Alder Wet Other Other Decrease Medium 0.069</t>
  </si>
  <si>
    <t>Alder Wet Other Other Decrease Large 0.054</t>
  </si>
  <si>
    <t>Alder Wet Other Other None Small 0.136</t>
  </si>
  <si>
    <t>Alder Wet Other Other None Medium 0.077</t>
  </si>
  <si>
    <t>Alder Wet Other Other None Large 0.060</t>
  </si>
  <si>
    <t>Alder Wet Other Other Increase Small 0.167</t>
  </si>
  <si>
    <t>Alder Wet Other Other Increase Medium 0.095</t>
  </si>
  <si>
    <t>Alder Wet Other Other Increase Large 0.074</t>
  </si>
  <si>
    <t>Alder Wet Other Ridgetop Decrease Small 0.215</t>
  </si>
  <si>
    <t>Alder Wet Other Ridgetop Decrease Medium 0.122</t>
  </si>
  <si>
    <t>Alder Wet Other Ridgetop Decrease Large 0.096</t>
  </si>
  <si>
    <t>Alder Wet Other Ridgetop None Small 0.222</t>
  </si>
  <si>
    <t>Alder Wet Other Ridgetop None Medium 0.126</t>
  </si>
  <si>
    <t>Alder Wet Other Ridgetop None Large 0.099</t>
  </si>
  <si>
    <t>Alder Wet Other Ridgetop Increase Small 0.236</t>
  </si>
  <si>
    <t>Alder Wet Other Ridgetop Increase Medium 0.134</t>
  </si>
  <si>
    <t>Alder Wet Other Ridgetop Increase Large 0.105</t>
  </si>
  <si>
    <t>Alder Wet Shallow Other Decrease Small 0.153</t>
  </si>
  <si>
    <t>Alder Wet Shallow Other Decrease Medium 0.087</t>
  </si>
  <si>
    <t>Alder Wet Shallow Other Decrease Large 0.068</t>
  </si>
  <si>
    <t>Alder Wet Shallow Other None Small 0.167</t>
  </si>
  <si>
    <t>Alder Wet Shallow Other None Medium 0.095</t>
  </si>
  <si>
    <t>Alder Wet Shallow Other None Large 0.074</t>
  </si>
  <si>
    <t>Alder Wet Shallow Other Increase Small 0.167</t>
  </si>
  <si>
    <t>Alder Wet Shallow Other Increase Medium 0.095</t>
  </si>
  <si>
    <t>Alder Wet Shallow Other Increase Large 0.074</t>
  </si>
  <si>
    <t>Alder Wet Shallow Ridgetop Decrease Small 0.278</t>
  </si>
  <si>
    <t>Alder Wet Shallow Ridgetop Decrease Medium 0.158</t>
  </si>
  <si>
    <t>Alder Wet Shallow Ridgetop Decrease Large 0.124</t>
  </si>
  <si>
    <t>Alder Wet Shallow Ridgetop None Small 0.278</t>
  </si>
  <si>
    <t>Alder Wet Shallow Ridgetop None Medium 0.158</t>
  </si>
  <si>
    <t>Alder Wet Shallow Ridgetop None Large 0.124</t>
  </si>
  <si>
    <t>Alder Wet Shallow Ridgetop Increase Small 0.278</t>
  </si>
  <si>
    <t>Alder Wet Shallow Ridgetop Increase Medium 0.158</t>
  </si>
  <si>
    <t>Alder Wet Shallow Ridgetop Increase Large 0.124</t>
  </si>
  <si>
    <t>Alder Mesic Other Other Decrease Small 0.125</t>
  </si>
  <si>
    <t>Alder Mesic Other Other Decrease Medium 0.071</t>
  </si>
  <si>
    <t>Alder Mesic Other Other Decrease Large 0.056</t>
  </si>
  <si>
    <t>Alder Mesic Other Other None Small 0.139</t>
  </si>
  <si>
    <t>Alder Mesic Other Other None Medium 0.079</t>
  </si>
  <si>
    <t>Alder Mesic Other Other None Large 0.062</t>
  </si>
  <si>
    <t>Alder Mesic Other Other Increase Small 0.167</t>
  </si>
  <si>
    <t>Alder Mesic Other Other Increase Medium 0.095</t>
  </si>
  <si>
    <t>Alder Mesic Other Other Increase Large 0.074</t>
  </si>
  <si>
    <t>Alder Mesic Other Ridgetop Decrease Small 0.236</t>
  </si>
  <si>
    <t>Alder Mesic Other Ridgetop Decrease Medium 0.134</t>
  </si>
  <si>
    <t>Alder Mesic Other Ridgetop Decrease Large 0.105</t>
  </si>
  <si>
    <t>Alder Mesic Other Ridgetop None Small 0.236</t>
  </si>
  <si>
    <t>Alder Mesic Other Ridgetop None Medium 0.134</t>
  </si>
  <si>
    <t>Alder Mesic Other Ridgetop None Large 0.105</t>
  </si>
  <si>
    <t>Alder Mesic Other Ridgetop Increase Small 0.250</t>
  </si>
  <si>
    <t>Alder Mesic Other Ridgetop Increase Medium 0.142</t>
  </si>
  <si>
    <t>Alder Mesic Other Ridgetop Increase Large 0.112</t>
  </si>
  <si>
    <t>Alder Mesic Shallow Other Decrease Small 0.153</t>
  </si>
  <si>
    <t>Alder Mesic Shallow Other Decrease Medium 0.087</t>
  </si>
  <si>
    <t>Alder Mesic Shallow Other Decrease Large 0.068</t>
  </si>
  <si>
    <t>Alder Mesic Shallow Other None Small 0.167</t>
  </si>
  <si>
    <t>Alder Mesic Shallow Other None Medium 0.095</t>
  </si>
  <si>
    <t>Alder Mesic Shallow Other None Large 0.074</t>
  </si>
  <si>
    <t>Alder Mesic Shallow Other Increase Small 0.167</t>
  </si>
  <si>
    <t>Alder Mesic Shallow Other Increase Medium 0.095</t>
  </si>
  <si>
    <t>Alder Mesic Shallow Other Increase Large 0.074</t>
  </si>
  <si>
    <t>Alder Mesic Shallow Ridgetop Decrease Small 0.278</t>
  </si>
  <si>
    <t>Alder Mesic Shallow Ridgetop Decrease Medium 0.158</t>
  </si>
  <si>
    <t>Alder Mesic Shallow Ridgetop Decrease Large 0.124</t>
  </si>
  <si>
    <t>Alder Mesic Shallow Ridgetop None Small 0.278</t>
  </si>
  <si>
    <t>Alder Mesic Shallow Ridgetop None Medium 0.158</t>
  </si>
  <si>
    <t>Alder Mesic Shallow Ridgetop None Large 0.124</t>
  </si>
  <si>
    <t>Alder Mesic Shallow Ridgetop Increase Small 0.278</t>
  </si>
  <si>
    <t>Alder Mesic Shallow Ridgetop Increase Medium 0.158</t>
  </si>
  <si>
    <t>Alder Mesic Shallow Ridgetop Increase Large 0.124</t>
  </si>
  <si>
    <t>Alder Dry Other Other Decrease Small 0.136</t>
  </si>
  <si>
    <t>Alder Dry Other Other Decrease Medium 0.077</t>
  </si>
  <si>
    <t>Alder Dry Other Other Decrease Large 0.060</t>
  </si>
  <si>
    <t>Alder Dry Other Other None Small 0.153</t>
  </si>
  <si>
    <t>Alder Dry Other Other None Medium 0.087</t>
  </si>
  <si>
    <t>Alder Dry Other Other None Large 0.068</t>
  </si>
  <si>
    <t>Alder Dry Other Other Increase Small 0.167</t>
  </si>
  <si>
    <t>Alder Dry Other Other Increase Medium 0.095</t>
  </si>
  <si>
    <t>Alder Dry Other Other Increase Large 0.074</t>
  </si>
  <si>
    <t>Alder Dry Other Ridgetop Decrease Small 0.257</t>
  </si>
  <si>
    <t>Alder Dry Other Ridgetop Decrease Medium 0.146</t>
  </si>
  <si>
    <t>Alder Dry Other Ridgetop Decrease Large 0.115</t>
  </si>
  <si>
    <t>Alder Dry Other Ridgetop None Small 0.257</t>
  </si>
  <si>
    <t>Alder Dry Other Ridgetop None Medium 0.146</t>
  </si>
  <si>
    <t>Alder Dry Other Ridgetop None Large 0.115</t>
  </si>
  <si>
    <t>Alder Dry Other Ridgetop Increase Small 0.264</t>
  </si>
  <si>
    <t>Alder Dry Other Ridgetop Increase Medium 0.150</t>
  </si>
  <si>
    <t>Alder Dry Other Ridgetop Increase Large 0.118</t>
  </si>
  <si>
    <t>Alder Dry Shallow Other Decrease Small 0.153</t>
  </si>
  <si>
    <t>Alder Dry Shallow Other Decrease Medium 0.087</t>
  </si>
  <si>
    <t>Alder Dry Shallow Other Decrease Large 0.068</t>
  </si>
  <si>
    <t>Alder Dry Shallow Other None Small 0.167</t>
  </si>
  <si>
    <t>Alder Dry Shallow Other None Medium 0.095</t>
  </si>
  <si>
    <t>Alder Dry Shallow Other None Large 0.074</t>
  </si>
  <si>
    <t>Alder Dry Shallow Other Increase Small 0.167</t>
  </si>
  <si>
    <t>Alder Dry Shallow Other Increase Medium 0.095</t>
  </si>
  <si>
    <t>Alder Dry Shallow Other Increase Large 0.074</t>
  </si>
  <si>
    <t>Alder Dry Shallow Ridgetop Decrease Small 0.278</t>
  </si>
  <si>
    <t>Alder Dry Shallow Ridgetop Decrease Medium 0.158</t>
  </si>
  <si>
    <t>Alder Dry Shallow Ridgetop Decrease Large 0.124</t>
  </si>
  <si>
    <t>Alder Dry Shallow Ridgetop None Small 0.278</t>
  </si>
  <si>
    <t>Alder Dry Shallow Ridgetop None Medium 0.158</t>
  </si>
  <si>
    <t>Alder Dry Shallow Ridgetop None Large 0.124</t>
  </si>
  <si>
    <t>Alder Dry Shallow Ridgetop Increase Small 0.278</t>
  </si>
  <si>
    <t>Alder Dry Shallow Ridgetop Increase Medium 0.158</t>
  </si>
  <si>
    <t>Alder Dry Shallow Ridgetop Increase Large 0.124</t>
  </si>
  <si>
    <t>species_group</t>
  </si>
  <si>
    <t>slope_position</t>
  </si>
  <si>
    <t>snag_dbh</t>
  </si>
  <si>
    <t>snag_fall_rate</t>
  </si>
  <si>
    <t>origin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</si>
</sst>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AAF261-7E6F-45E6-9DD9-EC05013E8AED}">
  <dimension ref="A1:E2160"/>
  <sheetViews>
    <sheetView tabSelected="1" workbookViewId="0">
      <selection activeCell="G5" sqref="G5"/>
    </sheetView>
  </sheetViews>
  <sheetFormatPr defaultRowHeight="14.4" x14ac:dyDescent="0.3"/>
  <cols>
    <col min="1" max="1" width="58.109375" bestFit="1" customWidth="1"/>
    <col min="2" max="2" width="18.33203125" bestFit="1" customWidth="1"/>
    <col min="3" max="3" width="12.44140625" bestFit="1" customWidth="1"/>
    <col min="4" max="4" width="8.5546875" bestFit="1" customWidth="1"/>
    <col min="5" max="5" width="12" bestFit="1" customWidth="1"/>
  </cols>
  <sheetData>
    <row r="1" spans="1:5" x14ac:dyDescent="0.3">
      <c r="A1" t="s">
        <v>2163</v>
      </c>
      <c r="B1" t="s">
        <v>2159</v>
      </c>
      <c r="C1" t="s">
        <v>2160</v>
      </c>
      <c r="D1" t="s">
        <v>2161</v>
      </c>
      <c r="E1" t="s">
        <v>2162</v>
      </c>
    </row>
    <row r="2" spans="1:5" x14ac:dyDescent="0.3">
      <c r="A2" t="s">
        <v>0</v>
      </c>
      <c r="B2" t="str" cm="1">
        <f t="array" ref="B2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redcedar"},A2)),0)),"")</f>
        <v>Douglas-fir (west OR)</v>
      </c>
      <c r="C2" t="str" cm="1">
        <f t="array" ref="C2">IFERROR(INDEX({"Ridgetop","Other"},MATCH(TRUE,ISNUMBER(SEARCH({"Ridgetop","Other"},A2)),0)),"")</f>
        <v>Other</v>
      </c>
      <c r="D2" t="str" cm="1">
        <f t="array" ref="D2">IFERROR(INDEX({"Small","Medium","Large"},MATCH(TRUE,ISNUMBER(SEARCH({"Small","Medium","Large"},A2)),0)),"")</f>
        <v>Medium</v>
      </c>
      <c r="E2" t="str">
        <f>RIGHT(A2,LEN(A2)-FIND("@",SUBSTITUTE(A2," ","@",LEN(A2)-LEN(SUBSTITUTE(A2," ","")))))</f>
        <v>0.018</v>
      </c>
    </row>
    <row r="3" spans="1:5" x14ac:dyDescent="0.3">
      <c r="A3" t="s">
        <v>1</v>
      </c>
      <c r="B3" t="str" cm="1">
        <f t="array" ref="B3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redcedar"},A3)),0)),"")</f>
        <v>Douglas-fir (west OR)</v>
      </c>
      <c r="C3" t="str" cm="1">
        <f t="array" ref="C3">IFERROR(INDEX({"Ridgetop","Other"},MATCH(TRUE,ISNUMBER(SEARCH({"Ridgetop","Other"},A3)),0)),"")</f>
        <v>Other</v>
      </c>
      <c r="D3" t="str" cm="1">
        <f t="array" ref="D3">IFERROR(INDEX({"Small","Medium","Large"},MATCH(TRUE,ISNUMBER(SEARCH({"Small","Medium","Large"},A3)),0)),"")</f>
        <v>Large</v>
      </c>
      <c r="E3" t="str">
        <f t="shared" ref="E3:E66" si="0">RIGHT(A3,LEN(A3)-FIND("@",SUBSTITUTE(A3," ","@",LEN(A3)-LEN(SUBSTITUTE(A3," ","")))))</f>
        <v>0.006</v>
      </c>
    </row>
    <row r="4" spans="1:5" x14ac:dyDescent="0.3">
      <c r="A4" t="s">
        <v>2</v>
      </c>
      <c r="B4" t="str" cm="1">
        <f t="array" ref="B4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redcedar"},A4)),0)),"")</f>
        <v>Douglas-fir (west OR)</v>
      </c>
      <c r="C4" t="str" cm="1">
        <f t="array" ref="C4">IFERROR(INDEX({"Ridgetop","Other"},MATCH(TRUE,ISNUMBER(SEARCH({"Ridgetop","Other"},A4)),0)),"")</f>
        <v>Other</v>
      </c>
      <c r="D4" t="str" cm="1">
        <f t="array" ref="D4">IFERROR(INDEX({"Small","Medium","Large"},MATCH(TRUE,ISNUMBER(SEARCH({"Small","Medium","Large"},A4)),0)),"")</f>
        <v>Small</v>
      </c>
      <c r="E4" t="str">
        <f t="shared" si="0"/>
        <v>0.046</v>
      </c>
    </row>
    <row r="5" spans="1:5" x14ac:dyDescent="0.3">
      <c r="A5" t="s">
        <v>3</v>
      </c>
      <c r="B5" t="str" cm="1">
        <f t="array" ref="B5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redcedar"},A5)),0)),"")</f>
        <v>Douglas-fir (west OR)</v>
      </c>
      <c r="C5" t="str" cm="1">
        <f t="array" ref="C5">IFERROR(INDEX({"Ridgetop","Other"},MATCH(TRUE,ISNUMBER(SEARCH({"Ridgetop","Other"},A5)),0)),"")</f>
        <v>Other</v>
      </c>
      <c r="D5" t="str" cm="1">
        <f t="array" ref="D5">IFERROR(INDEX({"Small","Medium","Large"},MATCH(TRUE,ISNUMBER(SEARCH({"Small","Medium","Large"},A5)),0)),"")</f>
        <v>Medium</v>
      </c>
      <c r="E5" t="str">
        <f t="shared" si="0"/>
        <v>0.020</v>
      </c>
    </row>
    <row r="6" spans="1:5" x14ac:dyDescent="0.3">
      <c r="A6" t="s">
        <v>4</v>
      </c>
      <c r="B6" t="str" cm="1">
        <f t="array" ref="B6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redcedar"},A6)),0)),"")</f>
        <v>Douglas-fir (west OR)</v>
      </c>
      <c r="C6" t="str" cm="1">
        <f t="array" ref="C6">IFERROR(INDEX({"Ridgetop","Other"},MATCH(TRUE,ISNUMBER(SEARCH({"Ridgetop","Other"},A6)),0)),"")</f>
        <v>Other</v>
      </c>
      <c r="D6" t="str" cm="1">
        <f t="array" ref="D6">IFERROR(INDEX({"Small","Medium","Large"},MATCH(TRUE,ISNUMBER(SEARCH({"Small","Medium","Large"},A6)),0)),"")</f>
        <v>Large</v>
      </c>
      <c r="E6" t="str">
        <f t="shared" si="0"/>
        <v>0.007</v>
      </c>
    </row>
    <row r="7" spans="1:5" x14ac:dyDescent="0.3">
      <c r="A7" t="s">
        <v>5</v>
      </c>
      <c r="B7" t="str" cm="1">
        <f t="array" ref="B7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redcedar"},A7)),0)),"")</f>
        <v>Douglas-fir (west OR)</v>
      </c>
      <c r="C7" t="str" cm="1">
        <f t="array" ref="C7">IFERROR(INDEX({"Ridgetop","Other"},MATCH(TRUE,ISNUMBER(SEARCH({"Ridgetop","Other"},A7)),0)),"")</f>
        <v>Other</v>
      </c>
      <c r="D7" t="str" cm="1">
        <f t="array" ref="D7">IFERROR(INDEX({"Small","Medium","Large"},MATCH(TRUE,ISNUMBER(SEARCH({"Small","Medium","Large"},A7)),0)),"")</f>
        <v>Small</v>
      </c>
      <c r="E7" t="str">
        <f t="shared" si="0"/>
        <v>0.056</v>
      </c>
    </row>
    <row r="8" spans="1:5" x14ac:dyDescent="0.3">
      <c r="A8" t="s">
        <v>6</v>
      </c>
      <c r="B8" t="str" cm="1">
        <f t="array" ref="B8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redcedar"},A8)),0)),"")</f>
        <v>Douglas-fir (west OR)</v>
      </c>
      <c r="C8" t="str" cm="1">
        <f t="array" ref="C8">IFERROR(INDEX({"Ridgetop","Other"},MATCH(TRUE,ISNUMBER(SEARCH({"Ridgetop","Other"},A8)),0)),"")</f>
        <v>Other</v>
      </c>
      <c r="D8" t="str" cm="1">
        <f t="array" ref="D8">IFERROR(INDEX({"Small","Medium","Large"},MATCH(TRUE,ISNUMBER(SEARCH({"Small","Medium","Large"},A8)),0)),"")</f>
        <v>Medium</v>
      </c>
      <c r="E8" t="str">
        <f t="shared" si="0"/>
        <v>0.025</v>
      </c>
    </row>
    <row r="9" spans="1:5" x14ac:dyDescent="0.3">
      <c r="A9" t="s">
        <v>7</v>
      </c>
      <c r="B9" t="str" cm="1">
        <f t="array" ref="B9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redcedar"},A9)),0)),"")</f>
        <v>Douglas-fir (west OR)</v>
      </c>
      <c r="C9" t="str" cm="1">
        <f t="array" ref="C9">IFERROR(INDEX({"Ridgetop","Other"},MATCH(TRUE,ISNUMBER(SEARCH({"Ridgetop","Other"},A9)),0)),"")</f>
        <v>Other</v>
      </c>
      <c r="D9" t="str" cm="1">
        <f t="array" ref="D9">IFERROR(INDEX({"Small","Medium","Large"},MATCH(TRUE,ISNUMBER(SEARCH({"Small","Medium","Large"},A9)),0)),"")</f>
        <v>Large</v>
      </c>
      <c r="E9" t="str">
        <f t="shared" si="0"/>
        <v>0.008</v>
      </c>
    </row>
    <row r="10" spans="1:5" x14ac:dyDescent="0.3">
      <c r="A10" t="s">
        <v>8</v>
      </c>
      <c r="B10" t="str" cm="1">
        <f t="array" ref="B10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redcedar"},A10)),0)),"")</f>
        <v>Douglas-fir (west OR)</v>
      </c>
      <c r="C10" t="str" cm="1">
        <f t="array" ref="C10">IFERROR(INDEX({"Ridgetop","Other"},MATCH(TRUE,ISNUMBER(SEARCH({"Ridgetop","Other"},A10)),0)),"")</f>
        <v>Ridgetop</v>
      </c>
      <c r="D10" t="str" cm="1">
        <f t="array" ref="D10">IFERROR(INDEX({"Small","Medium","Large"},MATCH(TRUE,ISNUMBER(SEARCH({"Small","Medium","Large"},A10)),0)),"")</f>
        <v>Small</v>
      </c>
      <c r="E10" t="str">
        <f t="shared" si="0"/>
        <v>0.073</v>
      </c>
    </row>
    <row r="11" spans="1:5" x14ac:dyDescent="0.3">
      <c r="A11" t="s">
        <v>9</v>
      </c>
      <c r="B11" t="str" cm="1">
        <f t="array" ref="B11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redcedar"},A11)),0)),"")</f>
        <v>Douglas-fir (west OR)</v>
      </c>
      <c r="C11" t="str" cm="1">
        <f t="array" ref="C11">IFERROR(INDEX({"Ridgetop","Other"},MATCH(TRUE,ISNUMBER(SEARCH({"Ridgetop","Other"},A11)),0)),"")</f>
        <v>Ridgetop</v>
      </c>
      <c r="D11" t="str" cm="1">
        <f t="array" ref="D11">IFERROR(INDEX({"Small","Medium","Large"},MATCH(TRUE,ISNUMBER(SEARCH({"Small","Medium","Large"},A11)),0)),"")</f>
        <v>Medium</v>
      </c>
      <c r="E11" t="str">
        <f t="shared" si="0"/>
        <v>0.033</v>
      </c>
    </row>
    <row r="12" spans="1:5" x14ac:dyDescent="0.3">
      <c r="A12" t="s">
        <v>10</v>
      </c>
      <c r="B12" t="str" cm="1">
        <f t="array" ref="B12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redcedar"},A12)),0)),"")</f>
        <v>Douglas-fir (west OR)</v>
      </c>
      <c r="C12" t="str" cm="1">
        <f t="array" ref="C12">IFERROR(INDEX({"Ridgetop","Other"},MATCH(TRUE,ISNUMBER(SEARCH({"Ridgetop","Other"},A12)),0)),"")</f>
        <v>Ridgetop</v>
      </c>
      <c r="D12" t="str" cm="1">
        <f t="array" ref="D12">IFERROR(INDEX({"Small","Medium","Large"},MATCH(TRUE,ISNUMBER(SEARCH({"Small","Medium","Large"},A12)),0)),"")</f>
        <v>Large</v>
      </c>
      <c r="E12" t="str">
        <f t="shared" si="0"/>
        <v>0.011</v>
      </c>
    </row>
    <row r="13" spans="1:5" x14ac:dyDescent="0.3">
      <c r="A13" t="s">
        <v>11</v>
      </c>
      <c r="B13" t="str" cm="1">
        <f t="array" ref="B13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redcedar"},A13)),0)),"")</f>
        <v>Douglas-fir (west OR)</v>
      </c>
      <c r="C13" t="str" cm="1">
        <f t="array" ref="C13">IFERROR(INDEX({"Ridgetop","Other"},MATCH(TRUE,ISNUMBER(SEARCH({"Ridgetop","Other"},A13)),0)),"")</f>
        <v>Ridgetop</v>
      </c>
      <c r="D13" t="str" cm="1">
        <f t="array" ref="D13">IFERROR(INDEX({"Small","Medium","Large"},MATCH(TRUE,ISNUMBER(SEARCH({"Small","Medium","Large"},A13)),0)),"")</f>
        <v>Small</v>
      </c>
      <c r="E13" t="str">
        <f t="shared" si="0"/>
        <v>0.075</v>
      </c>
    </row>
    <row r="14" spans="1:5" x14ac:dyDescent="0.3">
      <c r="A14" t="s">
        <v>12</v>
      </c>
      <c r="B14" t="str" cm="1">
        <f t="array" ref="B14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redcedar"},A14)),0)),"")</f>
        <v>Douglas-fir (west OR)</v>
      </c>
      <c r="C14" t="str" cm="1">
        <f t="array" ref="C14">IFERROR(INDEX({"Ridgetop","Other"},MATCH(TRUE,ISNUMBER(SEARCH({"Ridgetop","Other"},A14)),0)),"")</f>
        <v>Ridgetop</v>
      </c>
      <c r="D14" t="str" cm="1">
        <f t="array" ref="D14">IFERROR(INDEX({"Small","Medium","Large"},MATCH(TRUE,ISNUMBER(SEARCH({"Small","Medium","Large"},A14)),0)),"")</f>
        <v>Medium</v>
      </c>
      <c r="E14" t="str">
        <f t="shared" si="0"/>
        <v>0.034</v>
      </c>
    </row>
    <row r="15" spans="1:5" x14ac:dyDescent="0.3">
      <c r="A15" t="s">
        <v>13</v>
      </c>
      <c r="B15" t="str" cm="1">
        <f t="array" ref="B15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redcedar"},A15)),0)),"")</f>
        <v>Douglas-fir (west OR)</v>
      </c>
      <c r="C15" t="str" cm="1">
        <f t="array" ref="C15">IFERROR(INDEX({"Ridgetop","Other"},MATCH(TRUE,ISNUMBER(SEARCH({"Ridgetop","Other"},A15)),0)),"")</f>
        <v>Ridgetop</v>
      </c>
      <c r="D15" t="str" cm="1">
        <f t="array" ref="D15">IFERROR(INDEX({"Small","Medium","Large"},MATCH(TRUE,ISNUMBER(SEARCH({"Small","Medium","Large"},A15)),0)),"")</f>
        <v>Large</v>
      </c>
      <c r="E15" t="str">
        <f t="shared" si="0"/>
        <v>0.011</v>
      </c>
    </row>
    <row r="16" spans="1:5" x14ac:dyDescent="0.3">
      <c r="A16" t="s">
        <v>14</v>
      </c>
      <c r="B16" t="str" cm="1">
        <f t="array" ref="B16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redcedar"},A16)),0)),"")</f>
        <v>Douglas-fir (west OR)</v>
      </c>
      <c r="C16" t="str" cm="1">
        <f t="array" ref="C16">IFERROR(INDEX({"Ridgetop","Other"},MATCH(TRUE,ISNUMBER(SEARCH({"Ridgetop","Other"},A16)),0)),"")</f>
        <v>Ridgetop</v>
      </c>
      <c r="D16" t="str" cm="1">
        <f t="array" ref="D16">IFERROR(INDEX({"Small","Medium","Large"},MATCH(TRUE,ISNUMBER(SEARCH({"Small","Medium","Large"},A16)),0)),"")</f>
        <v>Small</v>
      </c>
      <c r="E16" t="str">
        <f t="shared" si="0"/>
        <v>0.080</v>
      </c>
    </row>
    <row r="17" spans="1:5" x14ac:dyDescent="0.3">
      <c r="A17" t="s">
        <v>15</v>
      </c>
      <c r="B17" t="str" cm="1">
        <f t="array" ref="B17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redcedar"},A17)),0)),"")</f>
        <v>Douglas-fir (west OR)</v>
      </c>
      <c r="C17" t="str" cm="1">
        <f t="array" ref="C17">IFERROR(INDEX({"Ridgetop","Other"},MATCH(TRUE,ISNUMBER(SEARCH({"Ridgetop","Other"},A17)),0)),"")</f>
        <v>Ridgetop</v>
      </c>
      <c r="D17" t="str" cm="1">
        <f t="array" ref="D17">IFERROR(INDEX({"Small","Medium","Large"},MATCH(TRUE,ISNUMBER(SEARCH({"Small","Medium","Large"},A17)),0)),"")</f>
        <v>Medium</v>
      </c>
      <c r="E17" t="str">
        <f t="shared" si="0"/>
        <v>0.036</v>
      </c>
    </row>
    <row r="18" spans="1:5" x14ac:dyDescent="0.3">
      <c r="A18" t="s">
        <v>16</v>
      </c>
      <c r="B18" t="str" cm="1">
        <f t="array" ref="B18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redcedar"},A18)),0)),"")</f>
        <v>Douglas-fir (west OR)</v>
      </c>
      <c r="C18" t="str" cm="1">
        <f t="array" ref="C18">IFERROR(INDEX({"Ridgetop","Other"},MATCH(TRUE,ISNUMBER(SEARCH({"Ridgetop","Other"},A18)),0)),"")</f>
        <v>Ridgetop</v>
      </c>
      <c r="D18" t="str" cm="1">
        <f t="array" ref="D18">IFERROR(INDEX({"Small","Medium","Large"},MATCH(TRUE,ISNUMBER(SEARCH({"Small","Medium","Large"},A18)),0)),"")</f>
        <v>Large</v>
      </c>
      <c r="E18" t="str">
        <f t="shared" si="0"/>
        <v>0.012</v>
      </c>
    </row>
    <row r="19" spans="1:5" x14ac:dyDescent="0.3">
      <c r="A19" t="s">
        <v>17</v>
      </c>
      <c r="B19" t="str" cm="1">
        <f t="array" ref="B19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redcedar"},A19)),0)),"")</f>
        <v>Douglas-fir (west OR)</v>
      </c>
      <c r="C19" t="str" cm="1">
        <f t="array" ref="C19">IFERROR(INDEX({"Ridgetop","Other"},MATCH(TRUE,ISNUMBER(SEARCH({"Ridgetop","Other"},A19)),0)),"")</f>
        <v>Other</v>
      </c>
      <c r="D19" t="str" cm="1">
        <f t="array" ref="D19">IFERROR(INDEX({"Small","Medium","Large"},MATCH(TRUE,ISNUMBER(SEARCH({"Small","Medium","Large"},A19)),0)),"")</f>
        <v>Small</v>
      </c>
      <c r="E19" t="str">
        <f t="shared" si="0"/>
        <v>0.052</v>
      </c>
    </row>
    <row r="20" spans="1:5" x14ac:dyDescent="0.3">
      <c r="A20" t="s">
        <v>18</v>
      </c>
      <c r="B20" t="str" cm="1">
        <f t="array" ref="B20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redcedar"},A20)),0)),"")</f>
        <v>Douglas-fir (west OR)</v>
      </c>
      <c r="C20" t="str" cm="1">
        <f t="array" ref="C20">IFERROR(INDEX({"Ridgetop","Other"},MATCH(TRUE,ISNUMBER(SEARCH({"Ridgetop","Other"},A20)),0)),"")</f>
        <v>Other</v>
      </c>
      <c r="D20" t="str" cm="1">
        <f t="array" ref="D20">IFERROR(INDEX({"Small","Medium","Large"},MATCH(TRUE,ISNUMBER(SEARCH({"Small","Medium","Large"},A20)),0)),"")</f>
        <v>Medium</v>
      </c>
      <c r="E20" t="str">
        <f t="shared" si="0"/>
        <v>0.023</v>
      </c>
    </row>
    <row r="21" spans="1:5" x14ac:dyDescent="0.3">
      <c r="A21" t="s">
        <v>19</v>
      </c>
      <c r="B21" t="str" cm="1">
        <f t="array" ref="B21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redcedar"},A21)),0)),"")</f>
        <v>Douglas-fir (west OR)</v>
      </c>
      <c r="C21" t="str" cm="1">
        <f t="array" ref="C21">IFERROR(INDEX({"Ridgetop","Other"},MATCH(TRUE,ISNUMBER(SEARCH({"Ridgetop","Other"},A21)),0)),"")</f>
        <v>Other</v>
      </c>
      <c r="D21" t="str" cm="1">
        <f t="array" ref="D21">IFERROR(INDEX({"Small","Medium","Large"},MATCH(TRUE,ISNUMBER(SEARCH({"Small","Medium","Large"},A21)),0)),"")</f>
        <v>Large</v>
      </c>
      <c r="E21" t="str">
        <f t="shared" si="0"/>
        <v>0.008</v>
      </c>
    </row>
    <row r="22" spans="1:5" x14ac:dyDescent="0.3">
      <c r="A22" t="s">
        <v>20</v>
      </c>
      <c r="B22" t="str" cm="1">
        <f t="array" ref="B22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redcedar"},A22)),0)),"")</f>
        <v>Douglas-fir (west OR)</v>
      </c>
      <c r="C22" t="str" cm="1">
        <f t="array" ref="C22">IFERROR(INDEX({"Ridgetop","Other"},MATCH(TRUE,ISNUMBER(SEARCH({"Ridgetop","Other"},A22)),0)),"")</f>
        <v>Other</v>
      </c>
      <c r="D22" t="str" cm="1">
        <f t="array" ref="D22">IFERROR(INDEX({"Small","Medium","Large"},MATCH(TRUE,ISNUMBER(SEARCH({"Small","Medium","Large"},A22)),0)),"")</f>
        <v>Small</v>
      </c>
      <c r="E22" t="str">
        <f t="shared" si="0"/>
        <v>0.056</v>
      </c>
    </row>
    <row r="23" spans="1:5" x14ac:dyDescent="0.3">
      <c r="A23" t="s">
        <v>21</v>
      </c>
      <c r="B23" t="str" cm="1">
        <f t="array" ref="B23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redcedar"},A23)),0)),"")</f>
        <v>Douglas-fir (west OR)</v>
      </c>
      <c r="C23" t="str" cm="1">
        <f t="array" ref="C23">IFERROR(INDEX({"Ridgetop","Other"},MATCH(TRUE,ISNUMBER(SEARCH({"Ridgetop","Other"},A23)),0)),"")</f>
        <v>Other</v>
      </c>
      <c r="D23" t="str" cm="1">
        <f t="array" ref="D23">IFERROR(INDEX({"Small","Medium","Large"},MATCH(TRUE,ISNUMBER(SEARCH({"Small","Medium","Large"},A23)),0)),"")</f>
        <v>Medium</v>
      </c>
      <c r="E23" t="str">
        <f t="shared" si="0"/>
        <v>0.025</v>
      </c>
    </row>
    <row r="24" spans="1:5" x14ac:dyDescent="0.3">
      <c r="A24" t="s">
        <v>22</v>
      </c>
      <c r="B24" t="str" cm="1">
        <f t="array" ref="B24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redcedar"},A24)),0)),"")</f>
        <v>Douglas-fir (west OR)</v>
      </c>
      <c r="C24" t="str" cm="1">
        <f t="array" ref="C24">IFERROR(INDEX({"Ridgetop","Other"},MATCH(TRUE,ISNUMBER(SEARCH({"Ridgetop","Other"},A24)),0)),"")</f>
        <v>Other</v>
      </c>
      <c r="D24" t="str" cm="1">
        <f t="array" ref="D24">IFERROR(INDEX({"Small","Medium","Large"},MATCH(TRUE,ISNUMBER(SEARCH({"Small","Medium","Large"},A24)),0)),"")</f>
        <v>Large</v>
      </c>
      <c r="E24" t="str">
        <f t="shared" si="0"/>
        <v>0.008</v>
      </c>
    </row>
    <row r="25" spans="1:5" x14ac:dyDescent="0.3">
      <c r="A25" t="s">
        <v>23</v>
      </c>
      <c r="B25" t="str" cm="1">
        <f t="array" ref="B25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redcedar"},A25)),0)),"")</f>
        <v>Douglas-fir (west OR)</v>
      </c>
      <c r="C25" t="str" cm="1">
        <f t="array" ref="C25">IFERROR(INDEX({"Ridgetop","Other"},MATCH(TRUE,ISNUMBER(SEARCH({"Ridgetop","Other"},A25)),0)),"")</f>
        <v>Other</v>
      </c>
      <c r="D25" t="str" cm="1">
        <f t="array" ref="D25">IFERROR(INDEX({"Small","Medium","Large"},MATCH(TRUE,ISNUMBER(SEARCH({"Small","Medium","Large"},A25)),0)),"")</f>
        <v>Small</v>
      </c>
      <c r="E25" t="str">
        <f t="shared" si="0"/>
        <v>0.056</v>
      </c>
    </row>
    <row r="26" spans="1:5" x14ac:dyDescent="0.3">
      <c r="A26" t="s">
        <v>24</v>
      </c>
      <c r="B26" t="str" cm="1">
        <f t="array" ref="B26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redcedar"},A26)),0)),"")</f>
        <v>Douglas-fir (west OR)</v>
      </c>
      <c r="C26" t="str" cm="1">
        <f t="array" ref="C26">IFERROR(INDEX({"Ridgetop","Other"},MATCH(TRUE,ISNUMBER(SEARCH({"Ridgetop","Other"},A26)),0)),"")</f>
        <v>Other</v>
      </c>
      <c r="D26" t="str" cm="1">
        <f t="array" ref="D26">IFERROR(INDEX({"Small","Medium","Large"},MATCH(TRUE,ISNUMBER(SEARCH({"Small","Medium","Large"},A26)),0)),"")</f>
        <v>Medium</v>
      </c>
      <c r="E26" t="str">
        <f t="shared" si="0"/>
        <v>0.025</v>
      </c>
    </row>
    <row r="27" spans="1:5" x14ac:dyDescent="0.3">
      <c r="A27" t="s">
        <v>25</v>
      </c>
      <c r="B27" t="str" cm="1">
        <f t="array" ref="B27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redcedar"},A27)),0)),"")</f>
        <v>Douglas-fir (west OR)</v>
      </c>
      <c r="C27" t="str" cm="1">
        <f t="array" ref="C27">IFERROR(INDEX({"Ridgetop","Other"},MATCH(TRUE,ISNUMBER(SEARCH({"Ridgetop","Other"},A27)),0)),"")</f>
        <v>Other</v>
      </c>
      <c r="D27" t="str" cm="1">
        <f t="array" ref="D27">IFERROR(INDEX({"Small","Medium","Large"},MATCH(TRUE,ISNUMBER(SEARCH({"Small","Medium","Large"},A27)),0)),"")</f>
        <v>Large</v>
      </c>
      <c r="E27" t="str">
        <f t="shared" si="0"/>
        <v>0.008</v>
      </c>
    </row>
    <row r="28" spans="1:5" x14ac:dyDescent="0.3">
      <c r="A28" t="s">
        <v>26</v>
      </c>
      <c r="B28" t="str" cm="1">
        <f t="array" ref="B28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redcedar"},A28)),0)),"")</f>
        <v>Douglas-fir (west OR)</v>
      </c>
      <c r="C28" t="str" cm="1">
        <f t="array" ref="C28">IFERROR(INDEX({"Ridgetop","Other"},MATCH(TRUE,ISNUMBER(SEARCH({"Ridgetop","Other"},A28)),0)),"")</f>
        <v>Ridgetop</v>
      </c>
      <c r="D28" t="str" cm="1">
        <f t="array" ref="D28">IFERROR(INDEX({"Small","Medium","Large"},MATCH(TRUE,ISNUMBER(SEARCH({"Small","Medium","Large"},A28)),0)),"")</f>
        <v>Small</v>
      </c>
      <c r="E28" t="str">
        <f t="shared" si="0"/>
        <v>0.094</v>
      </c>
    </row>
    <row r="29" spans="1:5" x14ac:dyDescent="0.3">
      <c r="A29" t="s">
        <v>27</v>
      </c>
      <c r="B29" t="str" cm="1">
        <f t="array" ref="B29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redcedar"},A29)),0)),"")</f>
        <v>Douglas-fir (west OR)</v>
      </c>
      <c r="C29" t="str" cm="1">
        <f t="array" ref="C29">IFERROR(INDEX({"Ridgetop","Other"},MATCH(TRUE,ISNUMBER(SEARCH({"Ridgetop","Other"},A29)),0)),"")</f>
        <v>Ridgetop</v>
      </c>
      <c r="D29" t="str" cm="1">
        <f t="array" ref="D29">IFERROR(INDEX({"Small","Medium","Large"},MATCH(TRUE,ISNUMBER(SEARCH({"Small","Medium","Large"},A29)),0)),"")</f>
        <v>Medium</v>
      </c>
      <c r="E29" t="str">
        <f t="shared" si="0"/>
        <v>0.042</v>
      </c>
    </row>
    <row r="30" spans="1:5" x14ac:dyDescent="0.3">
      <c r="A30" t="s">
        <v>28</v>
      </c>
      <c r="B30" t="str" cm="1">
        <f t="array" ref="B30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redcedar"},A30)),0)),"")</f>
        <v>Douglas-fir (west OR)</v>
      </c>
      <c r="C30" t="str" cm="1">
        <f t="array" ref="C30">IFERROR(INDEX({"Ridgetop","Other"},MATCH(TRUE,ISNUMBER(SEARCH({"Ridgetop","Other"},A30)),0)),"")</f>
        <v>Ridgetop</v>
      </c>
      <c r="D30" t="str" cm="1">
        <f t="array" ref="D30">IFERROR(INDEX({"Small","Medium","Large"},MATCH(TRUE,ISNUMBER(SEARCH({"Small","Medium","Large"},A30)),0)),"")</f>
        <v>Large</v>
      </c>
      <c r="E30" t="str">
        <f t="shared" si="0"/>
        <v>0.014</v>
      </c>
    </row>
    <row r="31" spans="1:5" x14ac:dyDescent="0.3">
      <c r="A31" t="s">
        <v>29</v>
      </c>
      <c r="B31" t="str" cm="1">
        <f t="array" ref="B31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redcedar"},A31)),0)),"")</f>
        <v>Douglas-fir (west OR)</v>
      </c>
      <c r="C31" t="str" cm="1">
        <f t="array" ref="C31">IFERROR(INDEX({"Ridgetop","Other"},MATCH(TRUE,ISNUMBER(SEARCH({"Ridgetop","Other"},A31)),0)),"")</f>
        <v>Ridgetop</v>
      </c>
      <c r="D31" t="str" cm="1">
        <f t="array" ref="D31">IFERROR(INDEX({"Small","Medium","Large"},MATCH(TRUE,ISNUMBER(SEARCH({"Small","Medium","Large"},A31)),0)),"")</f>
        <v>Small</v>
      </c>
      <c r="E31" t="str">
        <f t="shared" si="0"/>
        <v>0.094</v>
      </c>
    </row>
    <row r="32" spans="1:5" x14ac:dyDescent="0.3">
      <c r="A32" t="s">
        <v>30</v>
      </c>
      <c r="B32" t="str" cm="1">
        <f t="array" ref="B32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redcedar"},A32)),0)),"")</f>
        <v>Douglas-fir (west OR)</v>
      </c>
      <c r="C32" t="str" cm="1">
        <f t="array" ref="C32">IFERROR(INDEX({"Ridgetop","Other"},MATCH(TRUE,ISNUMBER(SEARCH({"Ridgetop","Other"},A32)),0)),"")</f>
        <v>Ridgetop</v>
      </c>
      <c r="D32" t="str" cm="1">
        <f t="array" ref="D32">IFERROR(INDEX({"Small","Medium","Large"},MATCH(TRUE,ISNUMBER(SEARCH({"Small","Medium","Large"},A32)),0)),"")</f>
        <v>Medium</v>
      </c>
      <c r="E32" t="str">
        <f t="shared" si="0"/>
        <v>0.042</v>
      </c>
    </row>
    <row r="33" spans="1:5" x14ac:dyDescent="0.3">
      <c r="A33" t="s">
        <v>31</v>
      </c>
      <c r="B33" t="str" cm="1">
        <f t="array" ref="B33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redcedar"},A33)),0)),"")</f>
        <v>Douglas-fir (west OR)</v>
      </c>
      <c r="C33" t="str" cm="1">
        <f t="array" ref="C33">IFERROR(INDEX({"Ridgetop","Other"},MATCH(TRUE,ISNUMBER(SEARCH({"Ridgetop","Other"},A33)),0)),"")</f>
        <v>Ridgetop</v>
      </c>
      <c r="D33" t="str" cm="1">
        <f t="array" ref="D33">IFERROR(INDEX({"Small","Medium","Large"},MATCH(TRUE,ISNUMBER(SEARCH({"Small","Medium","Large"},A33)),0)),"")</f>
        <v>Large</v>
      </c>
      <c r="E33" t="str">
        <f t="shared" si="0"/>
        <v>0.014</v>
      </c>
    </row>
    <row r="34" spans="1:5" x14ac:dyDescent="0.3">
      <c r="A34" t="s">
        <v>32</v>
      </c>
      <c r="B34" t="str" cm="1">
        <f t="array" ref="B34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redcedar"},A34)),0)),"")</f>
        <v>Douglas-fir (west OR)</v>
      </c>
      <c r="C34" t="str" cm="1">
        <f t="array" ref="C34">IFERROR(INDEX({"Ridgetop","Other"},MATCH(TRUE,ISNUMBER(SEARCH({"Ridgetop","Other"},A34)),0)),"")</f>
        <v>Ridgetop</v>
      </c>
      <c r="D34" t="str" cm="1">
        <f t="array" ref="D34">IFERROR(INDEX({"Small","Medium","Large"},MATCH(TRUE,ISNUMBER(SEARCH({"Small","Medium","Large"},A34)),0)),"")</f>
        <v>Small</v>
      </c>
      <c r="E34" t="str">
        <f t="shared" si="0"/>
        <v>0.094</v>
      </c>
    </row>
    <row r="35" spans="1:5" x14ac:dyDescent="0.3">
      <c r="A35" t="s">
        <v>33</v>
      </c>
      <c r="B35" t="str" cm="1">
        <f t="array" ref="B35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redcedar"},A35)),0)),"")</f>
        <v>Douglas-fir (west OR)</v>
      </c>
      <c r="C35" t="str" cm="1">
        <f t="array" ref="C35">IFERROR(INDEX({"Ridgetop","Other"},MATCH(TRUE,ISNUMBER(SEARCH({"Ridgetop","Other"},A35)),0)),"")</f>
        <v>Ridgetop</v>
      </c>
      <c r="D35" t="str" cm="1">
        <f t="array" ref="D35">IFERROR(INDEX({"Small","Medium","Large"},MATCH(TRUE,ISNUMBER(SEARCH({"Small","Medium","Large"},A35)),0)),"")</f>
        <v>Medium</v>
      </c>
      <c r="E35" t="str">
        <f t="shared" si="0"/>
        <v>0.042</v>
      </c>
    </row>
    <row r="36" spans="1:5" x14ac:dyDescent="0.3">
      <c r="A36" t="s">
        <v>34</v>
      </c>
      <c r="B36" t="str" cm="1">
        <f t="array" ref="B36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redcedar"},A36)),0)),"")</f>
        <v>Douglas-fir (west OR)</v>
      </c>
      <c r="C36" t="str" cm="1">
        <f t="array" ref="C36">IFERROR(INDEX({"Ridgetop","Other"},MATCH(TRUE,ISNUMBER(SEARCH({"Ridgetop","Other"},A36)),0)),"")</f>
        <v>Ridgetop</v>
      </c>
      <c r="D36" t="str" cm="1">
        <f t="array" ref="D36">IFERROR(INDEX({"Small","Medium","Large"},MATCH(TRUE,ISNUMBER(SEARCH({"Small","Medium","Large"},A36)),0)),"")</f>
        <v>Large</v>
      </c>
      <c r="E36" t="str">
        <f t="shared" si="0"/>
        <v>0.014</v>
      </c>
    </row>
    <row r="37" spans="1:5" x14ac:dyDescent="0.3">
      <c r="A37" t="s">
        <v>35</v>
      </c>
      <c r="B37" t="str" cm="1">
        <f t="array" ref="B37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redcedar"},A37)),0)),"")</f>
        <v>Douglas-fir (west OR)</v>
      </c>
      <c r="C37" t="str" cm="1">
        <f t="array" ref="C37">IFERROR(INDEX({"Ridgetop","Other"},MATCH(TRUE,ISNUMBER(SEARCH({"Ridgetop","Other"},A37)),0)),"")</f>
        <v>Other</v>
      </c>
      <c r="D37" t="str" cm="1">
        <f t="array" ref="D37">IFERROR(INDEX({"Small","Medium","Large"},MATCH(TRUE,ISNUMBER(SEARCH({"Small","Medium","Large"},A37)),0)),"")</f>
        <v>Small</v>
      </c>
      <c r="E37" t="str">
        <f t="shared" si="0"/>
        <v>0.042</v>
      </c>
    </row>
    <row r="38" spans="1:5" x14ac:dyDescent="0.3">
      <c r="A38" t="s">
        <v>36</v>
      </c>
      <c r="B38" t="str" cm="1">
        <f t="array" ref="B38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redcedar"},A38)),0)),"")</f>
        <v>Douglas-fir (west OR)</v>
      </c>
      <c r="C38" t="str" cm="1">
        <f t="array" ref="C38">IFERROR(INDEX({"Ridgetop","Other"},MATCH(TRUE,ISNUMBER(SEARCH({"Ridgetop","Other"},A38)),0)),"")</f>
        <v>Other</v>
      </c>
      <c r="D38" t="str" cm="1">
        <f t="array" ref="D38">IFERROR(INDEX({"Small","Medium","Large"},MATCH(TRUE,ISNUMBER(SEARCH({"Small","Medium","Large"},A38)),0)),"")</f>
        <v>Medium</v>
      </c>
      <c r="E38" t="str">
        <f t="shared" si="0"/>
        <v>0.019</v>
      </c>
    </row>
    <row r="39" spans="1:5" x14ac:dyDescent="0.3">
      <c r="A39" t="s">
        <v>37</v>
      </c>
      <c r="B39" t="str" cm="1">
        <f t="array" ref="B39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redcedar"},A39)),0)),"")</f>
        <v>Douglas-fir (west OR)</v>
      </c>
      <c r="C39" t="str" cm="1">
        <f t="array" ref="C39">IFERROR(INDEX({"Ridgetop","Other"},MATCH(TRUE,ISNUMBER(SEARCH({"Ridgetop","Other"},A39)),0)),"")</f>
        <v>Other</v>
      </c>
      <c r="D39" t="str" cm="1">
        <f t="array" ref="D39">IFERROR(INDEX({"Small","Medium","Large"},MATCH(TRUE,ISNUMBER(SEARCH({"Small","Medium","Large"},A39)),0)),"")</f>
        <v>Large</v>
      </c>
      <c r="E39" t="str">
        <f t="shared" si="0"/>
        <v>0.006</v>
      </c>
    </row>
    <row r="40" spans="1:5" x14ac:dyDescent="0.3">
      <c r="A40" t="s">
        <v>38</v>
      </c>
      <c r="B40" t="str" cm="1">
        <f t="array" ref="B40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redcedar"},A40)),0)),"")</f>
        <v>Douglas-fir (west OR)</v>
      </c>
      <c r="C40" t="str" cm="1">
        <f t="array" ref="C40">IFERROR(INDEX({"Ridgetop","Other"},MATCH(TRUE,ISNUMBER(SEARCH({"Ridgetop","Other"},A40)),0)),"")</f>
        <v>Other</v>
      </c>
      <c r="D40" t="str" cm="1">
        <f t="array" ref="D40">IFERROR(INDEX({"Small","Medium","Large"},MATCH(TRUE,ISNUMBER(SEARCH({"Small","Medium","Large"},A40)),0)),"")</f>
        <v>Small</v>
      </c>
      <c r="E40" t="str">
        <f t="shared" si="0"/>
        <v>0.047</v>
      </c>
    </row>
    <row r="41" spans="1:5" x14ac:dyDescent="0.3">
      <c r="A41" t="s">
        <v>39</v>
      </c>
      <c r="B41" t="str" cm="1">
        <f t="array" ref="B41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redcedar"},A41)),0)),"")</f>
        <v>Douglas-fir (west OR)</v>
      </c>
      <c r="C41" t="str" cm="1">
        <f t="array" ref="C41">IFERROR(INDEX({"Ridgetop","Other"},MATCH(TRUE,ISNUMBER(SEARCH({"Ridgetop","Other"},A41)),0)),"")</f>
        <v>Other</v>
      </c>
      <c r="D41" t="str" cm="1">
        <f t="array" ref="D41">IFERROR(INDEX({"Small","Medium","Large"},MATCH(TRUE,ISNUMBER(SEARCH({"Small","Medium","Large"},A41)),0)),"")</f>
        <v>Medium</v>
      </c>
      <c r="E41" t="str">
        <f t="shared" si="0"/>
        <v>0.021</v>
      </c>
    </row>
    <row r="42" spans="1:5" x14ac:dyDescent="0.3">
      <c r="A42" t="s">
        <v>40</v>
      </c>
      <c r="B42" t="str" cm="1">
        <f t="array" ref="B42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redcedar"},A42)),0)),"")</f>
        <v>Douglas-fir (west OR)</v>
      </c>
      <c r="C42" t="str" cm="1">
        <f t="array" ref="C42">IFERROR(INDEX({"Ridgetop","Other"},MATCH(TRUE,ISNUMBER(SEARCH({"Ridgetop","Other"},A42)),0)),"")</f>
        <v>Other</v>
      </c>
      <c r="D42" t="str" cm="1">
        <f t="array" ref="D42">IFERROR(INDEX({"Small","Medium","Large"},MATCH(TRUE,ISNUMBER(SEARCH({"Small","Medium","Large"},A42)),0)),"")</f>
        <v>Large</v>
      </c>
      <c r="E42" t="str">
        <f t="shared" si="0"/>
        <v>0.007</v>
      </c>
    </row>
    <row r="43" spans="1:5" x14ac:dyDescent="0.3">
      <c r="A43" t="s">
        <v>41</v>
      </c>
      <c r="B43" t="str" cm="1">
        <f t="array" ref="B43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redcedar"},A43)),0)),"")</f>
        <v>Douglas-fir (west OR)</v>
      </c>
      <c r="C43" t="str" cm="1">
        <f t="array" ref="C43">IFERROR(INDEX({"Ridgetop","Other"},MATCH(TRUE,ISNUMBER(SEARCH({"Ridgetop","Other"},A43)),0)),"")</f>
        <v>Other</v>
      </c>
      <c r="D43" t="str" cm="1">
        <f t="array" ref="D43">IFERROR(INDEX({"Small","Medium","Large"},MATCH(TRUE,ISNUMBER(SEARCH({"Small","Medium","Large"},A43)),0)),"")</f>
        <v>Small</v>
      </c>
      <c r="E43" t="str">
        <f t="shared" si="0"/>
        <v>0.056</v>
      </c>
    </row>
    <row r="44" spans="1:5" x14ac:dyDescent="0.3">
      <c r="A44" t="s">
        <v>42</v>
      </c>
      <c r="B44" t="str" cm="1">
        <f t="array" ref="B44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redcedar"},A44)),0)),"")</f>
        <v>Douglas-fir (west OR)</v>
      </c>
      <c r="C44" t="str" cm="1">
        <f t="array" ref="C44">IFERROR(INDEX({"Ridgetop","Other"},MATCH(TRUE,ISNUMBER(SEARCH({"Ridgetop","Other"},A44)),0)),"")</f>
        <v>Other</v>
      </c>
      <c r="D44" t="str" cm="1">
        <f t="array" ref="D44">IFERROR(INDEX({"Small","Medium","Large"},MATCH(TRUE,ISNUMBER(SEARCH({"Small","Medium","Large"},A44)),0)),"")</f>
        <v>Medium</v>
      </c>
      <c r="E44" t="str">
        <f t="shared" si="0"/>
        <v>0.025</v>
      </c>
    </row>
    <row r="45" spans="1:5" x14ac:dyDescent="0.3">
      <c r="A45" t="s">
        <v>43</v>
      </c>
      <c r="B45" t="str" cm="1">
        <f t="array" ref="B45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redcedar"},A45)),0)),"")</f>
        <v>Douglas-fir (west OR)</v>
      </c>
      <c r="C45" t="str" cm="1">
        <f t="array" ref="C45">IFERROR(INDEX({"Ridgetop","Other"},MATCH(TRUE,ISNUMBER(SEARCH({"Ridgetop","Other"},A45)),0)),"")</f>
        <v>Other</v>
      </c>
      <c r="D45" t="str" cm="1">
        <f t="array" ref="D45">IFERROR(INDEX({"Small","Medium","Large"},MATCH(TRUE,ISNUMBER(SEARCH({"Small","Medium","Large"},A45)),0)),"")</f>
        <v>Large</v>
      </c>
      <c r="E45" t="str">
        <f t="shared" si="0"/>
        <v>0.008</v>
      </c>
    </row>
    <row r="46" spans="1:5" x14ac:dyDescent="0.3">
      <c r="A46" t="s">
        <v>44</v>
      </c>
      <c r="B46" t="str" cm="1">
        <f t="array" ref="B46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redcedar"},A46)),0)),"")</f>
        <v>Douglas-fir (west OR)</v>
      </c>
      <c r="C46" t="str" cm="1">
        <f t="array" ref="C46">IFERROR(INDEX({"Ridgetop","Other"},MATCH(TRUE,ISNUMBER(SEARCH({"Ridgetop","Other"},A46)),0)),"")</f>
        <v>Ridgetop</v>
      </c>
      <c r="D46" t="str" cm="1">
        <f t="array" ref="D46">IFERROR(INDEX({"Small","Medium","Large"},MATCH(TRUE,ISNUMBER(SEARCH({"Small","Medium","Large"},A46)),0)),"")</f>
        <v>Small</v>
      </c>
      <c r="E46" t="str">
        <f t="shared" si="0"/>
        <v>0.080</v>
      </c>
    </row>
    <row r="47" spans="1:5" x14ac:dyDescent="0.3">
      <c r="A47" t="s">
        <v>45</v>
      </c>
      <c r="B47" t="str" cm="1">
        <f t="array" ref="B47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redcedar"},A47)),0)),"")</f>
        <v>Douglas-fir (west OR)</v>
      </c>
      <c r="C47" t="str" cm="1">
        <f t="array" ref="C47">IFERROR(INDEX({"Ridgetop","Other"},MATCH(TRUE,ISNUMBER(SEARCH({"Ridgetop","Other"},A47)),0)),"")</f>
        <v>Ridgetop</v>
      </c>
      <c r="D47" t="str" cm="1">
        <f t="array" ref="D47">IFERROR(INDEX({"Small","Medium","Large"},MATCH(TRUE,ISNUMBER(SEARCH({"Small","Medium","Large"},A47)),0)),"")</f>
        <v>Medium</v>
      </c>
      <c r="E47" t="str">
        <f t="shared" si="0"/>
        <v>0.036</v>
      </c>
    </row>
    <row r="48" spans="1:5" x14ac:dyDescent="0.3">
      <c r="A48" t="s">
        <v>46</v>
      </c>
      <c r="B48" t="str" cm="1">
        <f t="array" ref="B48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redcedar"},A48)),0)),"")</f>
        <v>Douglas-fir (west OR)</v>
      </c>
      <c r="C48" t="str" cm="1">
        <f t="array" ref="C48">IFERROR(INDEX({"Ridgetop","Other"},MATCH(TRUE,ISNUMBER(SEARCH({"Ridgetop","Other"},A48)),0)),"")</f>
        <v>Ridgetop</v>
      </c>
      <c r="D48" t="str" cm="1">
        <f t="array" ref="D48">IFERROR(INDEX({"Small","Medium","Large"},MATCH(TRUE,ISNUMBER(SEARCH({"Small","Medium","Large"},A48)),0)),"")</f>
        <v>Large</v>
      </c>
      <c r="E48" t="str">
        <f t="shared" si="0"/>
        <v>0.012</v>
      </c>
    </row>
    <row r="49" spans="1:5" x14ac:dyDescent="0.3">
      <c r="A49" t="s">
        <v>47</v>
      </c>
      <c r="B49" t="str" cm="1">
        <f t="array" ref="B49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redcedar"},A49)),0)),"")</f>
        <v>Douglas-fir (west OR)</v>
      </c>
      <c r="C49" t="str" cm="1">
        <f t="array" ref="C49">IFERROR(INDEX({"Ridgetop","Other"},MATCH(TRUE,ISNUMBER(SEARCH({"Ridgetop","Other"},A49)),0)),"")</f>
        <v>Ridgetop</v>
      </c>
      <c r="D49" t="str" cm="1">
        <f t="array" ref="D49">IFERROR(INDEX({"Small","Medium","Large"},MATCH(TRUE,ISNUMBER(SEARCH({"Small","Medium","Large"},A49)),0)),"")</f>
        <v>Small</v>
      </c>
      <c r="E49" t="str">
        <f t="shared" si="0"/>
        <v>0.080</v>
      </c>
    </row>
    <row r="50" spans="1:5" x14ac:dyDescent="0.3">
      <c r="A50" t="s">
        <v>48</v>
      </c>
      <c r="B50" t="str" cm="1">
        <f t="array" ref="B50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redcedar"},A50)),0)),"")</f>
        <v>Douglas-fir (west OR)</v>
      </c>
      <c r="C50" t="str" cm="1">
        <f t="array" ref="C50">IFERROR(INDEX({"Ridgetop","Other"},MATCH(TRUE,ISNUMBER(SEARCH({"Ridgetop","Other"},A50)),0)),"")</f>
        <v>Ridgetop</v>
      </c>
      <c r="D50" t="str" cm="1">
        <f t="array" ref="D50">IFERROR(INDEX({"Small","Medium","Large"},MATCH(TRUE,ISNUMBER(SEARCH({"Small","Medium","Large"},A50)),0)),"")</f>
        <v>Medium</v>
      </c>
      <c r="E50" t="str">
        <f t="shared" si="0"/>
        <v>0.036</v>
      </c>
    </row>
    <row r="51" spans="1:5" x14ac:dyDescent="0.3">
      <c r="A51" t="s">
        <v>49</v>
      </c>
      <c r="B51" t="str" cm="1">
        <f t="array" ref="B51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redcedar"},A51)),0)),"")</f>
        <v>Douglas-fir (west OR)</v>
      </c>
      <c r="C51" t="str" cm="1">
        <f t="array" ref="C51">IFERROR(INDEX({"Ridgetop","Other"},MATCH(TRUE,ISNUMBER(SEARCH({"Ridgetop","Other"},A51)),0)),"")</f>
        <v>Ridgetop</v>
      </c>
      <c r="D51" t="str" cm="1">
        <f t="array" ref="D51">IFERROR(INDEX({"Small","Medium","Large"},MATCH(TRUE,ISNUMBER(SEARCH({"Small","Medium","Large"},A51)),0)),"")</f>
        <v>Large</v>
      </c>
      <c r="E51" t="str">
        <f t="shared" si="0"/>
        <v>0.012</v>
      </c>
    </row>
    <row r="52" spans="1:5" x14ac:dyDescent="0.3">
      <c r="A52" t="s">
        <v>50</v>
      </c>
      <c r="B52" t="str" cm="1">
        <f t="array" ref="B52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redcedar"},A52)),0)),"")</f>
        <v>Douglas-fir (west OR)</v>
      </c>
      <c r="C52" t="str" cm="1">
        <f t="array" ref="C52">IFERROR(INDEX({"Ridgetop","Other"},MATCH(TRUE,ISNUMBER(SEARCH({"Ridgetop","Other"},A52)),0)),"")</f>
        <v>Ridgetop</v>
      </c>
      <c r="D52" t="str" cm="1">
        <f t="array" ref="D52">IFERROR(INDEX({"Small","Medium","Large"},MATCH(TRUE,ISNUMBER(SEARCH({"Small","Medium","Large"},A52)),0)),"")</f>
        <v>Small</v>
      </c>
      <c r="E52" t="str">
        <f t="shared" si="0"/>
        <v>0.085</v>
      </c>
    </row>
    <row r="53" spans="1:5" x14ac:dyDescent="0.3">
      <c r="A53" t="s">
        <v>51</v>
      </c>
      <c r="B53" t="str" cm="1">
        <f t="array" ref="B53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redcedar"},A53)),0)),"")</f>
        <v>Douglas-fir (west OR)</v>
      </c>
      <c r="C53" t="str" cm="1">
        <f t="array" ref="C53">IFERROR(INDEX({"Ridgetop","Other"},MATCH(TRUE,ISNUMBER(SEARCH({"Ridgetop","Other"},A53)),0)),"")</f>
        <v>Ridgetop</v>
      </c>
      <c r="D53" t="str" cm="1">
        <f t="array" ref="D53">IFERROR(INDEX({"Small","Medium","Large"},MATCH(TRUE,ISNUMBER(SEARCH({"Small","Medium","Large"},A53)),0)),"")</f>
        <v>Medium</v>
      </c>
      <c r="E53" t="str">
        <f t="shared" si="0"/>
        <v>0.038</v>
      </c>
    </row>
    <row r="54" spans="1:5" x14ac:dyDescent="0.3">
      <c r="A54" t="s">
        <v>52</v>
      </c>
      <c r="B54" t="str" cm="1">
        <f t="array" ref="B54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redcedar"},A54)),0)),"")</f>
        <v>Douglas-fir (west OR)</v>
      </c>
      <c r="C54" t="str" cm="1">
        <f t="array" ref="C54">IFERROR(INDEX({"Ridgetop","Other"},MATCH(TRUE,ISNUMBER(SEARCH({"Ridgetop","Other"},A54)),0)),"")</f>
        <v>Ridgetop</v>
      </c>
      <c r="D54" t="str" cm="1">
        <f t="array" ref="D54">IFERROR(INDEX({"Small","Medium","Large"},MATCH(TRUE,ISNUMBER(SEARCH({"Small","Medium","Large"},A54)),0)),"")</f>
        <v>Large</v>
      </c>
      <c r="E54" t="str">
        <f t="shared" si="0"/>
        <v>0.013</v>
      </c>
    </row>
    <row r="55" spans="1:5" x14ac:dyDescent="0.3">
      <c r="A55" t="s">
        <v>53</v>
      </c>
      <c r="B55" t="str" cm="1">
        <f t="array" ref="B55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redcedar"},A55)),0)),"")</f>
        <v>Douglas-fir (west OR)</v>
      </c>
      <c r="C55" t="str" cm="1">
        <f t="array" ref="C55">IFERROR(INDEX({"Ridgetop","Other"},MATCH(TRUE,ISNUMBER(SEARCH({"Ridgetop","Other"},A55)),0)),"")</f>
        <v>Other</v>
      </c>
      <c r="D55" t="str" cm="1">
        <f t="array" ref="D55">IFERROR(INDEX({"Small","Medium","Large"},MATCH(TRUE,ISNUMBER(SEARCH({"Small","Medium","Large"},A55)),0)),"")</f>
        <v>Small</v>
      </c>
      <c r="E55" t="str">
        <f t="shared" si="0"/>
        <v>0.052</v>
      </c>
    </row>
    <row r="56" spans="1:5" x14ac:dyDescent="0.3">
      <c r="A56" t="s">
        <v>54</v>
      </c>
      <c r="B56" t="str" cm="1">
        <f t="array" ref="B56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redcedar"},A56)),0)),"")</f>
        <v>Douglas-fir (west OR)</v>
      </c>
      <c r="C56" t="str" cm="1">
        <f t="array" ref="C56">IFERROR(INDEX({"Ridgetop","Other"},MATCH(TRUE,ISNUMBER(SEARCH({"Ridgetop","Other"},A56)),0)),"")</f>
        <v>Other</v>
      </c>
      <c r="D56" t="str" cm="1">
        <f t="array" ref="D56">IFERROR(INDEX({"Small","Medium","Large"},MATCH(TRUE,ISNUMBER(SEARCH({"Small","Medium","Large"},A56)),0)),"")</f>
        <v>Medium</v>
      </c>
      <c r="E56" t="str">
        <f t="shared" si="0"/>
        <v>0.023</v>
      </c>
    </row>
    <row r="57" spans="1:5" x14ac:dyDescent="0.3">
      <c r="A57" t="s">
        <v>55</v>
      </c>
      <c r="B57" t="str" cm="1">
        <f t="array" ref="B57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redcedar"},A57)),0)),"")</f>
        <v>Douglas-fir (west OR)</v>
      </c>
      <c r="C57" t="str" cm="1">
        <f t="array" ref="C57">IFERROR(INDEX({"Ridgetop","Other"},MATCH(TRUE,ISNUMBER(SEARCH({"Ridgetop","Other"},A57)),0)),"")</f>
        <v>Other</v>
      </c>
      <c r="D57" t="str" cm="1">
        <f t="array" ref="D57">IFERROR(INDEX({"Small","Medium","Large"},MATCH(TRUE,ISNUMBER(SEARCH({"Small","Medium","Large"},A57)),0)),"")</f>
        <v>Large</v>
      </c>
      <c r="E57" t="str">
        <f t="shared" si="0"/>
        <v>0.008</v>
      </c>
    </row>
    <row r="58" spans="1:5" x14ac:dyDescent="0.3">
      <c r="A58" t="s">
        <v>56</v>
      </c>
      <c r="B58" t="str" cm="1">
        <f t="array" ref="B58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redcedar"},A58)),0)),"")</f>
        <v>Douglas-fir (west OR)</v>
      </c>
      <c r="C58" t="str" cm="1">
        <f t="array" ref="C58">IFERROR(INDEX({"Ridgetop","Other"},MATCH(TRUE,ISNUMBER(SEARCH({"Ridgetop","Other"},A58)),0)),"")</f>
        <v>Other</v>
      </c>
      <c r="D58" t="str" cm="1">
        <f t="array" ref="D58">IFERROR(INDEX({"Small","Medium","Large"},MATCH(TRUE,ISNUMBER(SEARCH({"Small","Medium","Large"},A58)),0)),"")</f>
        <v>Small</v>
      </c>
      <c r="E58" t="str">
        <f t="shared" si="0"/>
        <v>0.056</v>
      </c>
    </row>
    <row r="59" spans="1:5" x14ac:dyDescent="0.3">
      <c r="A59" t="s">
        <v>57</v>
      </c>
      <c r="B59" t="str" cm="1">
        <f t="array" ref="B59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redcedar"},A59)),0)),"")</f>
        <v>Douglas-fir (west OR)</v>
      </c>
      <c r="C59" t="str" cm="1">
        <f t="array" ref="C59">IFERROR(INDEX({"Ridgetop","Other"},MATCH(TRUE,ISNUMBER(SEARCH({"Ridgetop","Other"},A59)),0)),"")</f>
        <v>Other</v>
      </c>
      <c r="D59" t="str" cm="1">
        <f t="array" ref="D59">IFERROR(INDEX({"Small","Medium","Large"},MATCH(TRUE,ISNUMBER(SEARCH({"Small","Medium","Large"},A59)),0)),"")</f>
        <v>Medium</v>
      </c>
      <c r="E59" t="str">
        <f t="shared" si="0"/>
        <v>0.025</v>
      </c>
    </row>
    <row r="60" spans="1:5" x14ac:dyDescent="0.3">
      <c r="A60" t="s">
        <v>58</v>
      </c>
      <c r="B60" t="str" cm="1">
        <f t="array" ref="B60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redcedar"},A60)),0)),"")</f>
        <v>Douglas-fir (west OR)</v>
      </c>
      <c r="C60" t="str" cm="1">
        <f t="array" ref="C60">IFERROR(INDEX({"Ridgetop","Other"},MATCH(TRUE,ISNUMBER(SEARCH({"Ridgetop","Other"},A60)),0)),"")</f>
        <v>Other</v>
      </c>
      <c r="D60" t="str" cm="1">
        <f t="array" ref="D60">IFERROR(INDEX({"Small","Medium","Large"},MATCH(TRUE,ISNUMBER(SEARCH({"Small","Medium","Large"},A60)),0)),"")</f>
        <v>Large</v>
      </c>
      <c r="E60" t="str">
        <f t="shared" si="0"/>
        <v>0.008</v>
      </c>
    </row>
    <row r="61" spans="1:5" x14ac:dyDescent="0.3">
      <c r="A61" t="s">
        <v>59</v>
      </c>
      <c r="B61" t="str" cm="1">
        <f t="array" ref="B61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redcedar"},A61)),0)),"")</f>
        <v>Douglas-fir (west OR)</v>
      </c>
      <c r="C61" t="str" cm="1">
        <f t="array" ref="C61">IFERROR(INDEX({"Ridgetop","Other"},MATCH(TRUE,ISNUMBER(SEARCH({"Ridgetop","Other"},A61)),0)),"")</f>
        <v>Other</v>
      </c>
      <c r="D61" t="str" cm="1">
        <f t="array" ref="D61">IFERROR(INDEX({"Small","Medium","Large"},MATCH(TRUE,ISNUMBER(SEARCH({"Small","Medium","Large"},A61)),0)),"")</f>
        <v>Small</v>
      </c>
      <c r="E61" t="str">
        <f t="shared" si="0"/>
        <v>0.056</v>
      </c>
    </row>
    <row r="62" spans="1:5" x14ac:dyDescent="0.3">
      <c r="A62" t="s">
        <v>60</v>
      </c>
      <c r="B62" t="str" cm="1">
        <f t="array" ref="B62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redcedar"},A62)),0)),"")</f>
        <v>Douglas-fir (west OR)</v>
      </c>
      <c r="C62" t="str" cm="1">
        <f t="array" ref="C62">IFERROR(INDEX({"Ridgetop","Other"},MATCH(TRUE,ISNUMBER(SEARCH({"Ridgetop","Other"},A62)),0)),"")</f>
        <v>Other</v>
      </c>
      <c r="D62" t="str" cm="1">
        <f t="array" ref="D62">IFERROR(INDEX({"Small","Medium","Large"},MATCH(TRUE,ISNUMBER(SEARCH({"Small","Medium","Large"},A62)),0)),"")</f>
        <v>Medium</v>
      </c>
      <c r="E62" t="str">
        <f t="shared" si="0"/>
        <v>0.025</v>
      </c>
    </row>
    <row r="63" spans="1:5" x14ac:dyDescent="0.3">
      <c r="A63" t="s">
        <v>61</v>
      </c>
      <c r="B63" t="str" cm="1">
        <f t="array" ref="B63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redcedar"},A63)),0)),"")</f>
        <v>Douglas-fir (west OR)</v>
      </c>
      <c r="C63" t="str" cm="1">
        <f t="array" ref="C63">IFERROR(INDEX({"Ridgetop","Other"},MATCH(TRUE,ISNUMBER(SEARCH({"Ridgetop","Other"},A63)),0)),"")</f>
        <v>Other</v>
      </c>
      <c r="D63" t="str" cm="1">
        <f t="array" ref="D63">IFERROR(INDEX({"Small","Medium","Large"},MATCH(TRUE,ISNUMBER(SEARCH({"Small","Medium","Large"},A63)),0)),"")</f>
        <v>Large</v>
      </c>
      <c r="E63" t="str">
        <f t="shared" si="0"/>
        <v>0.008</v>
      </c>
    </row>
    <row r="64" spans="1:5" x14ac:dyDescent="0.3">
      <c r="A64" t="s">
        <v>62</v>
      </c>
      <c r="B64" t="str" cm="1">
        <f t="array" ref="B64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redcedar"},A64)),0)),"")</f>
        <v>Douglas-fir (west OR)</v>
      </c>
      <c r="C64" t="str" cm="1">
        <f t="array" ref="C64">IFERROR(INDEX({"Ridgetop","Other"},MATCH(TRUE,ISNUMBER(SEARCH({"Ridgetop","Other"},A64)),0)),"")</f>
        <v>Ridgetop</v>
      </c>
      <c r="D64" t="str" cm="1">
        <f t="array" ref="D64">IFERROR(INDEX({"Small","Medium","Large"},MATCH(TRUE,ISNUMBER(SEARCH({"Small","Medium","Large"},A64)),0)),"")</f>
        <v>Small</v>
      </c>
      <c r="E64" t="str">
        <f t="shared" si="0"/>
        <v>0.094</v>
      </c>
    </row>
    <row r="65" spans="1:5" x14ac:dyDescent="0.3">
      <c r="A65" t="s">
        <v>63</v>
      </c>
      <c r="B65" t="str" cm="1">
        <f t="array" ref="B65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redcedar"},A65)),0)),"")</f>
        <v>Douglas-fir (west OR)</v>
      </c>
      <c r="C65" t="str" cm="1">
        <f t="array" ref="C65">IFERROR(INDEX({"Ridgetop","Other"},MATCH(TRUE,ISNUMBER(SEARCH({"Ridgetop","Other"},A65)),0)),"")</f>
        <v>Ridgetop</v>
      </c>
      <c r="D65" t="str" cm="1">
        <f t="array" ref="D65">IFERROR(INDEX({"Small","Medium","Large"},MATCH(TRUE,ISNUMBER(SEARCH({"Small","Medium","Large"},A65)),0)),"")</f>
        <v>Medium</v>
      </c>
      <c r="E65" t="str">
        <f t="shared" si="0"/>
        <v>0.042</v>
      </c>
    </row>
    <row r="66" spans="1:5" x14ac:dyDescent="0.3">
      <c r="A66" t="s">
        <v>64</v>
      </c>
      <c r="B66" t="str" cm="1">
        <f t="array" ref="B66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redcedar"},A66)),0)),"")</f>
        <v>Douglas-fir (west OR)</v>
      </c>
      <c r="C66" t="str" cm="1">
        <f t="array" ref="C66">IFERROR(INDEX({"Ridgetop","Other"},MATCH(TRUE,ISNUMBER(SEARCH({"Ridgetop","Other"},A66)),0)),"")</f>
        <v>Ridgetop</v>
      </c>
      <c r="D66" t="str" cm="1">
        <f t="array" ref="D66">IFERROR(INDEX({"Small","Medium","Large"},MATCH(TRUE,ISNUMBER(SEARCH({"Small","Medium","Large"},A66)),0)),"")</f>
        <v>Large</v>
      </c>
      <c r="E66" t="str">
        <f t="shared" si="0"/>
        <v>0.014</v>
      </c>
    </row>
    <row r="67" spans="1:5" x14ac:dyDescent="0.3">
      <c r="A67" t="s">
        <v>65</v>
      </c>
      <c r="B67" t="str" cm="1">
        <f t="array" ref="B67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redcedar"},A67)),0)),"")</f>
        <v>Douglas-fir (west OR)</v>
      </c>
      <c r="C67" t="str" cm="1">
        <f t="array" ref="C67">IFERROR(INDEX({"Ridgetop","Other"},MATCH(TRUE,ISNUMBER(SEARCH({"Ridgetop","Other"},A67)),0)),"")</f>
        <v>Ridgetop</v>
      </c>
      <c r="D67" t="str" cm="1">
        <f t="array" ref="D67">IFERROR(INDEX({"Small","Medium","Large"},MATCH(TRUE,ISNUMBER(SEARCH({"Small","Medium","Large"},A67)),0)),"")</f>
        <v>Small</v>
      </c>
      <c r="E67" t="str">
        <f t="shared" ref="E67:E130" si="1">RIGHT(A67,LEN(A67)-FIND("@",SUBSTITUTE(A67," ","@",LEN(A67)-LEN(SUBSTITUTE(A67," ","")))))</f>
        <v>0.094</v>
      </c>
    </row>
    <row r="68" spans="1:5" x14ac:dyDescent="0.3">
      <c r="A68" t="s">
        <v>66</v>
      </c>
      <c r="B68" t="str" cm="1">
        <f t="array" ref="B68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redcedar"},A68)),0)),"")</f>
        <v>Douglas-fir (west OR)</v>
      </c>
      <c r="C68" t="str" cm="1">
        <f t="array" ref="C68">IFERROR(INDEX({"Ridgetop","Other"},MATCH(TRUE,ISNUMBER(SEARCH({"Ridgetop","Other"},A68)),0)),"")</f>
        <v>Ridgetop</v>
      </c>
      <c r="D68" t="str" cm="1">
        <f t="array" ref="D68">IFERROR(INDEX({"Small","Medium","Large"},MATCH(TRUE,ISNUMBER(SEARCH({"Small","Medium","Large"},A68)),0)),"")</f>
        <v>Medium</v>
      </c>
      <c r="E68" t="str">
        <f t="shared" si="1"/>
        <v>0.042</v>
      </c>
    </row>
    <row r="69" spans="1:5" x14ac:dyDescent="0.3">
      <c r="A69" t="s">
        <v>67</v>
      </c>
      <c r="B69" t="str" cm="1">
        <f t="array" ref="B69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redcedar"},A69)),0)),"")</f>
        <v>Douglas-fir (west OR)</v>
      </c>
      <c r="C69" t="str" cm="1">
        <f t="array" ref="C69">IFERROR(INDEX({"Ridgetop","Other"},MATCH(TRUE,ISNUMBER(SEARCH({"Ridgetop","Other"},A69)),0)),"")</f>
        <v>Ridgetop</v>
      </c>
      <c r="D69" t="str" cm="1">
        <f t="array" ref="D69">IFERROR(INDEX({"Small","Medium","Large"},MATCH(TRUE,ISNUMBER(SEARCH({"Small","Medium","Large"},A69)),0)),"")</f>
        <v>Large</v>
      </c>
      <c r="E69" t="str">
        <f t="shared" si="1"/>
        <v>0.014</v>
      </c>
    </row>
    <row r="70" spans="1:5" x14ac:dyDescent="0.3">
      <c r="A70" t="s">
        <v>68</v>
      </c>
      <c r="B70" t="str" cm="1">
        <f t="array" ref="B70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redcedar"},A70)),0)),"")</f>
        <v>Douglas-fir (west OR)</v>
      </c>
      <c r="C70" t="str" cm="1">
        <f t="array" ref="C70">IFERROR(INDEX({"Ridgetop","Other"},MATCH(TRUE,ISNUMBER(SEARCH({"Ridgetop","Other"},A70)),0)),"")</f>
        <v>Ridgetop</v>
      </c>
      <c r="D70" t="str" cm="1">
        <f t="array" ref="D70">IFERROR(INDEX({"Small","Medium","Large"},MATCH(TRUE,ISNUMBER(SEARCH({"Small","Medium","Large"},A70)),0)),"")</f>
        <v>Small</v>
      </c>
      <c r="E70" t="str">
        <f t="shared" si="1"/>
        <v>0.094</v>
      </c>
    </row>
    <row r="71" spans="1:5" x14ac:dyDescent="0.3">
      <c r="A71" t="s">
        <v>69</v>
      </c>
      <c r="B71" t="str" cm="1">
        <f t="array" ref="B71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redcedar"},A71)),0)),"")</f>
        <v>Douglas-fir (west OR)</v>
      </c>
      <c r="C71" t="str" cm="1">
        <f t="array" ref="C71">IFERROR(INDEX({"Ridgetop","Other"},MATCH(TRUE,ISNUMBER(SEARCH({"Ridgetop","Other"},A71)),0)),"")</f>
        <v>Ridgetop</v>
      </c>
      <c r="D71" t="str" cm="1">
        <f t="array" ref="D71">IFERROR(INDEX({"Small","Medium","Large"},MATCH(TRUE,ISNUMBER(SEARCH({"Small","Medium","Large"},A71)),0)),"")</f>
        <v>Medium</v>
      </c>
      <c r="E71" t="str">
        <f t="shared" si="1"/>
        <v>0.042</v>
      </c>
    </row>
    <row r="72" spans="1:5" x14ac:dyDescent="0.3">
      <c r="A72" t="s">
        <v>70</v>
      </c>
      <c r="B72" t="str" cm="1">
        <f t="array" ref="B72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redcedar"},A72)),0)),"")</f>
        <v>Douglas-fir (west OR)</v>
      </c>
      <c r="C72" t="str" cm="1">
        <f t="array" ref="C72">IFERROR(INDEX({"Ridgetop","Other"},MATCH(TRUE,ISNUMBER(SEARCH({"Ridgetop","Other"},A72)),0)),"")</f>
        <v>Ridgetop</v>
      </c>
      <c r="D72" t="str" cm="1">
        <f t="array" ref="D72">IFERROR(INDEX({"Small","Medium","Large"},MATCH(TRUE,ISNUMBER(SEARCH({"Small","Medium","Large"},A72)),0)),"")</f>
        <v>Large</v>
      </c>
      <c r="E72" t="str">
        <f t="shared" si="1"/>
        <v>0.014</v>
      </c>
    </row>
    <row r="73" spans="1:5" x14ac:dyDescent="0.3">
      <c r="A73" t="s">
        <v>71</v>
      </c>
      <c r="B73" t="str" cm="1">
        <f t="array" ref="B73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redcedar"},A73)),0)),"")</f>
        <v>Douglas-fir (west OR)</v>
      </c>
      <c r="C73" t="str" cm="1">
        <f t="array" ref="C73">IFERROR(INDEX({"Ridgetop","Other"},MATCH(TRUE,ISNUMBER(SEARCH({"Ridgetop","Other"},A73)),0)),"")</f>
        <v>Other</v>
      </c>
      <c r="D73" t="str" cm="1">
        <f t="array" ref="D73">IFERROR(INDEX({"Small","Medium","Large"},MATCH(TRUE,ISNUMBER(SEARCH({"Small","Medium","Large"},A73)),0)),"")</f>
        <v>Small</v>
      </c>
      <c r="E73" t="str">
        <f t="shared" si="1"/>
        <v>0.046</v>
      </c>
    </row>
    <row r="74" spans="1:5" x14ac:dyDescent="0.3">
      <c r="A74" t="s">
        <v>72</v>
      </c>
      <c r="B74" t="str" cm="1">
        <f t="array" ref="B74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redcedar"},A74)),0)),"")</f>
        <v>Douglas-fir (west OR)</v>
      </c>
      <c r="C74" t="str" cm="1">
        <f t="array" ref="C74">IFERROR(INDEX({"Ridgetop","Other"},MATCH(TRUE,ISNUMBER(SEARCH({"Ridgetop","Other"},A74)),0)),"")</f>
        <v>Other</v>
      </c>
      <c r="D74" t="str" cm="1">
        <f t="array" ref="D74">IFERROR(INDEX({"Small","Medium","Large"},MATCH(TRUE,ISNUMBER(SEARCH({"Small","Medium","Large"},A74)),0)),"")</f>
        <v>Medium</v>
      </c>
      <c r="E74" t="str">
        <f t="shared" si="1"/>
        <v>0.020</v>
      </c>
    </row>
    <row r="75" spans="1:5" x14ac:dyDescent="0.3">
      <c r="A75" t="s">
        <v>73</v>
      </c>
      <c r="B75" t="str" cm="1">
        <f t="array" ref="B75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redcedar"},A75)),0)),"")</f>
        <v>Douglas-fir (west OR)</v>
      </c>
      <c r="C75" t="str" cm="1">
        <f t="array" ref="C75">IFERROR(INDEX({"Ridgetop","Other"},MATCH(TRUE,ISNUMBER(SEARCH({"Ridgetop","Other"},A75)),0)),"")</f>
        <v>Other</v>
      </c>
      <c r="D75" t="str" cm="1">
        <f t="array" ref="D75">IFERROR(INDEX({"Small","Medium","Large"},MATCH(TRUE,ISNUMBER(SEARCH({"Small","Medium","Large"},A75)),0)),"")</f>
        <v>Large</v>
      </c>
      <c r="E75" t="str">
        <f t="shared" si="1"/>
        <v>0.007</v>
      </c>
    </row>
    <row r="76" spans="1:5" x14ac:dyDescent="0.3">
      <c r="A76" t="s">
        <v>74</v>
      </c>
      <c r="B76" t="str" cm="1">
        <f t="array" ref="B76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redcedar"},A76)),0)),"")</f>
        <v>Douglas-fir (west OR)</v>
      </c>
      <c r="C76" t="str" cm="1">
        <f t="array" ref="C76">IFERROR(INDEX({"Ridgetop","Other"},MATCH(TRUE,ISNUMBER(SEARCH({"Ridgetop","Other"},A76)),0)),"")</f>
        <v>Other</v>
      </c>
      <c r="D76" t="str" cm="1">
        <f t="array" ref="D76">IFERROR(INDEX({"Small","Medium","Large"},MATCH(TRUE,ISNUMBER(SEARCH({"Small","Medium","Large"},A76)),0)),"")</f>
        <v>Small</v>
      </c>
      <c r="E76" t="str">
        <f t="shared" si="1"/>
        <v>0.052</v>
      </c>
    </row>
    <row r="77" spans="1:5" x14ac:dyDescent="0.3">
      <c r="A77" t="s">
        <v>75</v>
      </c>
      <c r="B77" t="str" cm="1">
        <f t="array" ref="B77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redcedar"},A77)),0)),"")</f>
        <v>Douglas-fir (west OR)</v>
      </c>
      <c r="C77" t="str" cm="1">
        <f t="array" ref="C77">IFERROR(INDEX({"Ridgetop","Other"},MATCH(TRUE,ISNUMBER(SEARCH({"Ridgetop","Other"},A77)),0)),"")</f>
        <v>Other</v>
      </c>
      <c r="D77" t="str" cm="1">
        <f t="array" ref="D77">IFERROR(INDEX({"Small","Medium","Large"},MATCH(TRUE,ISNUMBER(SEARCH({"Small","Medium","Large"},A77)),0)),"")</f>
        <v>Medium</v>
      </c>
      <c r="E77" t="str">
        <f t="shared" si="1"/>
        <v>0.023</v>
      </c>
    </row>
    <row r="78" spans="1:5" x14ac:dyDescent="0.3">
      <c r="A78" t="s">
        <v>76</v>
      </c>
      <c r="B78" t="str" cm="1">
        <f t="array" ref="B78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redcedar"},A78)),0)),"")</f>
        <v>Douglas-fir (west OR)</v>
      </c>
      <c r="C78" t="str" cm="1">
        <f t="array" ref="C78">IFERROR(INDEX({"Ridgetop","Other"},MATCH(TRUE,ISNUMBER(SEARCH({"Ridgetop","Other"},A78)),0)),"")</f>
        <v>Other</v>
      </c>
      <c r="D78" t="str" cm="1">
        <f t="array" ref="D78">IFERROR(INDEX({"Small","Medium","Large"},MATCH(TRUE,ISNUMBER(SEARCH({"Small","Medium","Large"},A78)),0)),"")</f>
        <v>Large</v>
      </c>
      <c r="E78" t="str">
        <f t="shared" si="1"/>
        <v>0.008</v>
      </c>
    </row>
    <row r="79" spans="1:5" x14ac:dyDescent="0.3">
      <c r="A79" t="s">
        <v>77</v>
      </c>
      <c r="B79" t="str" cm="1">
        <f t="array" ref="B79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redcedar"},A79)),0)),"")</f>
        <v>Douglas-fir (west OR)</v>
      </c>
      <c r="C79" t="str" cm="1">
        <f t="array" ref="C79">IFERROR(INDEX({"Ridgetop","Other"},MATCH(TRUE,ISNUMBER(SEARCH({"Ridgetop","Other"},A79)),0)),"")</f>
        <v>Other</v>
      </c>
      <c r="D79" t="str" cm="1">
        <f t="array" ref="D79">IFERROR(INDEX({"Small","Medium","Large"},MATCH(TRUE,ISNUMBER(SEARCH({"Small","Medium","Large"},A79)),0)),"")</f>
        <v>Small</v>
      </c>
      <c r="E79" t="str">
        <f t="shared" si="1"/>
        <v>0.056</v>
      </c>
    </row>
    <row r="80" spans="1:5" x14ac:dyDescent="0.3">
      <c r="A80" t="s">
        <v>78</v>
      </c>
      <c r="B80" t="str" cm="1">
        <f t="array" ref="B80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redcedar"},A80)),0)),"")</f>
        <v>Douglas-fir (west OR)</v>
      </c>
      <c r="C80" t="str" cm="1">
        <f t="array" ref="C80">IFERROR(INDEX({"Ridgetop","Other"},MATCH(TRUE,ISNUMBER(SEARCH({"Ridgetop","Other"},A80)),0)),"")</f>
        <v>Other</v>
      </c>
      <c r="D80" t="str" cm="1">
        <f t="array" ref="D80">IFERROR(INDEX({"Small","Medium","Large"},MATCH(TRUE,ISNUMBER(SEARCH({"Small","Medium","Large"},A80)),0)),"")</f>
        <v>Medium</v>
      </c>
      <c r="E80" t="str">
        <f t="shared" si="1"/>
        <v>0.025</v>
      </c>
    </row>
    <row r="81" spans="1:5" x14ac:dyDescent="0.3">
      <c r="A81" t="s">
        <v>79</v>
      </c>
      <c r="B81" t="str" cm="1">
        <f t="array" ref="B81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redcedar"},A81)),0)),"")</f>
        <v>Douglas-fir (west OR)</v>
      </c>
      <c r="C81" t="str" cm="1">
        <f t="array" ref="C81">IFERROR(INDEX({"Ridgetop","Other"},MATCH(TRUE,ISNUMBER(SEARCH({"Ridgetop","Other"},A81)),0)),"")</f>
        <v>Other</v>
      </c>
      <c r="D81" t="str" cm="1">
        <f t="array" ref="D81">IFERROR(INDEX({"Small","Medium","Large"},MATCH(TRUE,ISNUMBER(SEARCH({"Small","Medium","Large"},A81)),0)),"")</f>
        <v>Large</v>
      </c>
      <c r="E81" t="str">
        <f t="shared" si="1"/>
        <v>0.008</v>
      </c>
    </row>
    <row r="82" spans="1:5" x14ac:dyDescent="0.3">
      <c r="A82" t="s">
        <v>80</v>
      </c>
      <c r="B82" t="str" cm="1">
        <f t="array" ref="B82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redcedar"},A82)),0)),"")</f>
        <v>Douglas-fir (west OR)</v>
      </c>
      <c r="C82" t="str" cm="1">
        <f t="array" ref="C82">IFERROR(INDEX({"Ridgetop","Other"},MATCH(TRUE,ISNUMBER(SEARCH({"Ridgetop","Other"},A82)),0)),"")</f>
        <v>Ridgetop</v>
      </c>
      <c r="D82" t="str" cm="1">
        <f t="array" ref="D82">IFERROR(INDEX({"Small","Medium","Large"},MATCH(TRUE,ISNUMBER(SEARCH({"Small","Medium","Large"},A82)),0)),"")</f>
        <v>Small</v>
      </c>
      <c r="E82" t="str">
        <f t="shared" si="1"/>
        <v>0.087</v>
      </c>
    </row>
    <row r="83" spans="1:5" x14ac:dyDescent="0.3">
      <c r="A83" t="s">
        <v>81</v>
      </c>
      <c r="B83" t="str" cm="1">
        <f t="array" ref="B83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redcedar"},A83)),0)),"")</f>
        <v>Douglas-fir (west OR)</v>
      </c>
      <c r="C83" t="str" cm="1">
        <f t="array" ref="C83">IFERROR(INDEX({"Ridgetop","Other"},MATCH(TRUE,ISNUMBER(SEARCH({"Ridgetop","Other"},A83)),0)),"")</f>
        <v>Ridgetop</v>
      </c>
      <c r="D83" t="str" cm="1">
        <f t="array" ref="D83">IFERROR(INDEX({"Small","Medium","Large"},MATCH(TRUE,ISNUMBER(SEARCH({"Small","Medium","Large"},A83)),0)),"")</f>
        <v>Medium</v>
      </c>
      <c r="E83" t="str">
        <f t="shared" si="1"/>
        <v>0.039</v>
      </c>
    </row>
    <row r="84" spans="1:5" x14ac:dyDescent="0.3">
      <c r="A84" t="s">
        <v>82</v>
      </c>
      <c r="B84" t="str" cm="1">
        <f t="array" ref="B84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redcedar"},A84)),0)),"")</f>
        <v>Douglas-fir (west OR)</v>
      </c>
      <c r="C84" t="str" cm="1">
        <f t="array" ref="C84">IFERROR(INDEX({"Ridgetop","Other"},MATCH(TRUE,ISNUMBER(SEARCH({"Ridgetop","Other"},A84)),0)),"")</f>
        <v>Ridgetop</v>
      </c>
      <c r="D84" t="str" cm="1">
        <f t="array" ref="D84">IFERROR(INDEX({"Small","Medium","Large"},MATCH(TRUE,ISNUMBER(SEARCH({"Small","Medium","Large"},A84)),0)),"")</f>
        <v>Large</v>
      </c>
      <c r="E84" t="str">
        <f t="shared" si="1"/>
        <v>0.013</v>
      </c>
    </row>
    <row r="85" spans="1:5" x14ac:dyDescent="0.3">
      <c r="A85" t="s">
        <v>83</v>
      </c>
      <c r="B85" t="str" cm="1">
        <f t="array" ref="B85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redcedar"},A85)),0)),"")</f>
        <v>Douglas-fir (west OR)</v>
      </c>
      <c r="C85" t="str" cm="1">
        <f t="array" ref="C85">IFERROR(INDEX({"Ridgetop","Other"},MATCH(TRUE,ISNUMBER(SEARCH({"Ridgetop","Other"},A85)),0)),"")</f>
        <v>Ridgetop</v>
      </c>
      <c r="D85" t="str" cm="1">
        <f t="array" ref="D85">IFERROR(INDEX({"Small","Medium","Large"},MATCH(TRUE,ISNUMBER(SEARCH({"Small","Medium","Large"},A85)),0)),"")</f>
        <v>Small</v>
      </c>
      <c r="E85" t="str">
        <f t="shared" si="1"/>
        <v>0.087</v>
      </c>
    </row>
    <row r="86" spans="1:5" x14ac:dyDescent="0.3">
      <c r="A86" t="s">
        <v>84</v>
      </c>
      <c r="B86" t="str" cm="1">
        <f t="array" ref="B86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redcedar"},A86)),0)),"")</f>
        <v>Douglas-fir (west OR)</v>
      </c>
      <c r="C86" t="str" cm="1">
        <f t="array" ref="C86">IFERROR(INDEX({"Ridgetop","Other"},MATCH(TRUE,ISNUMBER(SEARCH({"Ridgetop","Other"},A86)),0)),"")</f>
        <v>Ridgetop</v>
      </c>
      <c r="D86" t="str" cm="1">
        <f t="array" ref="D86">IFERROR(INDEX({"Small","Medium","Large"},MATCH(TRUE,ISNUMBER(SEARCH({"Small","Medium","Large"},A86)),0)),"")</f>
        <v>Medium</v>
      </c>
      <c r="E86" t="str">
        <f t="shared" si="1"/>
        <v>0.039</v>
      </c>
    </row>
    <row r="87" spans="1:5" x14ac:dyDescent="0.3">
      <c r="A87" t="s">
        <v>85</v>
      </c>
      <c r="B87" t="str" cm="1">
        <f t="array" ref="B87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redcedar"},A87)),0)),"")</f>
        <v>Douglas-fir (west OR)</v>
      </c>
      <c r="C87" t="str" cm="1">
        <f t="array" ref="C87">IFERROR(INDEX({"Ridgetop","Other"},MATCH(TRUE,ISNUMBER(SEARCH({"Ridgetop","Other"},A87)),0)),"")</f>
        <v>Ridgetop</v>
      </c>
      <c r="D87" t="str" cm="1">
        <f t="array" ref="D87">IFERROR(INDEX({"Small","Medium","Large"},MATCH(TRUE,ISNUMBER(SEARCH({"Small","Medium","Large"},A87)),0)),"")</f>
        <v>Large</v>
      </c>
      <c r="E87" t="str">
        <f t="shared" si="1"/>
        <v>0.013</v>
      </c>
    </row>
    <row r="88" spans="1:5" x14ac:dyDescent="0.3">
      <c r="A88" t="s">
        <v>86</v>
      </c>
      <c r="B88" t="str" cm="1">
        <f t="array" ref="B88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redcedar"},A88)),0)),"")</f>
        <v>Douglas-fir (west OR)</v>
      </c>
      <c r="C88" t="str" cm="1">
        <f t="array" ref="C88">IFERROR(INDEX({"Ridgetop","Other"},MATCH(TRUE,ISNUMBER(SEARCH({"Ridgetop","Other"},A88)),0)),"")</f>
        <v>Ridgetop</v>
      </c>
      <c r="D88" t="str" cm="1">
        <f t="array" ref="D88">IFERROR(INDEX({"Small","Medium","Large"},MATCH(TRUE,ISNUMBER(SEARCH({"Small","Medium","Large"},A88)),0)),"")</f>
        <v>Small</v>
      </c>
      <c r="E88" t="str">
        <f t="shared" si="1"/>
        <v>0.089</v>
      </c>
    </row>
    <row r="89" spans="1:5" x14ac:dyDescent="0.3">
      <c r="A89" t="s">
        <v>87</v>
      </c>
      <c r="B89" t="str" cm="1">
        <f t="array" ref="B89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redcedar"},A89)),0)),"")</f>
        <v>Douglas-fir (west OR)</v>
      </c>
      <c r="C89" t="str" cm="1">
        <f t="array" ref="C89">IFERROR(INDEX({"Ridgetop","Other"},MATCH(TRUE,ISNUMBER(SEARCH({"Ridgetop","Other"},A89)),0)),"")</f>
        <v>Ridgetop</v>
      </c>
      <c r="D89" t="str" cm="1">
        <f t="array" ref="D89">IFERROR(INDEX({"Small","Medium","Large"},MATCH(TRUE,ISNUMBER(SEARCH({"Small","Medium","Large"},A89)),0)),"")</f>
        <v>Medium</v>
      </c>
      <c r="E89" t="str">
        <f t="shared" si="1"/>
        <v>0.040</v>
      </c>
    </row>
    <row r="90" spans="1:5" x14ac:dyDescent="0.3">
      <c r="A90" t="s">
        <v>88</v>
      </c>
      <c r="B90" t="str" cm="1">
        <f t="array" ref="B90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redcedar"},A90)),0)),"")</f>
        <v>Douglas-fir (west OR)</v>
      </c>
      <c r="C90" t="str" cm="1">
        <f t="array" ref="C90">IFERROR(INDEX({"Ridgetop","Other"},MATCH(TRUE,ISNUMBER(SEARCH({"Ridgetop","Other"},A90)),0)),"")</f>
        <v>Ridgetop</v>
      </c>
      <c r="D90" t="str" cm="1">
        <f t="array" ref="D90">IFERROR(INDEX({"Small","Medium","Large"},MATCH(TRUE,ISNUMBER(SEARCH({"Small","Medium","Large"},A90)),0)),"")</f>
        <v>Large</v>
      </c>
      <c r="E90" t="str">
        <f t="shared" si="1"/>
        <v>0.013</v>
      </c>
    </row>
    <row r="91" spans="1:5" x14ac:dyDescent="0.3">
      <c r="A91" t="s">
        <v>89</v>
      </c>
      <c r="B91" t="str" cm="1">
        <f t="array" ref="B91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redcedar"},A91)),0)),"")</f>
        <v>Douglas-fir (west OR)</v>
      </c>
      <c r="C91" t="str" cm="1">
        <f t="array" ref="C91">IFERROR(INDEX({"Ridgetop","Other"},MATCH(TRUE,ISNUMBER(SEARCH({"Ridgetop","Other"},A91)),0)),"")</f>
        <v>Other</v>
      </c>
      <c r="D91" t="str" cm="1">
        <f t="array" ref="D91">IFERROR(INDEX({"Small","Medium","Large"},MATCH(TRUE,ISNUMBER(SEARCH({"Small","Medium","Large"},A91)),0)),"")</f>
        <v>Small</v>
      </c>
      <c r="E91" t="str">
        <f t="shared" si="1"/>
        <v>0.052</v>
      </c>
    </row>
    <row r="92" spans="1:5" x14ac:dyDescent="0.3">
      <c r="A92" t="s">
        <v>90</v>
      </c>
      <c r="B92" t="str" cm="1">
        <f t="array" ref="B92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redcedar"},A92)),0)),"")</f>
        <v>Douglas-fir (west OR)</v>
      </c>
      <c r="C92" t="str" cm="1">
        <f t="array" ref="C92">IFERROR(INDEX({"Ridgetop","Other"},MATCH(TRUE,ISNUMBER(SEARCH({"Ridgetop","Other"},A92)),0)),"")</f>
        <v>Other</v>
      </c>
      <c r="D92" t="str" cm="1">
        <f t="array" ref="D92">IFERROR(INDEX({"Small","Medium","Large"},MATCH(TRUE,ISNUMBER(SEARCH({"Small","Medium","Large"},A92)),0)),"")</f>
        <v>Medium</v>
      </c>
      <c r="E92" t="str">
        <f t="shared" si="1"/>
        <v>0.023</v>
      </c>
    </row>
    <row r="93" spans="1:5" x14ac:dyDescent="0.3">
      <c r="A93" t="s">
        <v>91</v>
      </c>
      <c r="B93" t="str" cm="1">
        <f t="array" ref="B93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redcedar"},A93)),0)),"")</f>
        <v>Douglas-fir (west OR)</v>
      </c>
      <c r="C93" t="str" cm="1">
        <f t="array" ref="C93">IFERROR(INDEX({"Ridgetop","Other"},MATCH(TRUE,ISNUMBER(SEARCH({"Ridgetop","Other"},A93)),0)),"")</f>
        <v>Other</v>
      </c>
      <c r="D93" t="str" cm="1">
        <f t="array" ref="D93">IFERROR(INDEX({"Small","Medium","Large"},MATCH(TRUE,ISNUMBER(SEARCH({"Small","Medium","Large"},A93)),0)),"")</f>
        <v>Large</v>
      </c>
      <c r="E93" t="str">
        <f t="shared" si="1"/>
        <v>0.008</v>
      </c>
    </row>
    <row r="94" spans="1:5" x14ac:dyDescent="0.3">
      <c r="A94" t="s">
        <v>92</v>
      </c>
      <c r="B94" t="str" cm="1">
        <f t="array" ref="B94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redcedar"},A94)),0)),"")</f>
        <v>Douglas-fir (west OR)</v>
      </c>
      <c r="C94" t="str" cm="1">
        <f t="array" ref="C94">IFERROR(INDEX({"Ridgetop","Other"},MATCH(TRUE,ISNUMBER(SEARCH({"Ridgetop","Other"},A94)),0)),"")</f>
        <v>Other</v>
      </c>
      <c r="D94" t="str" cm="1">
        <f t="array" ref="D94">IFERROR(INDEX({"Small","Medium","Large"},MATCH(TRUE,ISNUMBER(SEARCH({"Small","Medium","Large"},A94)),0)),"")</f>
        <v>Small</v>
      </c>
      <c r="E94" t="str">
        <f t="shared" si="1"/>
        <v>0.056</v>
      </c>
    </row>
    <row r="95" spans="1:5" x14ac:dyDescent="0.3">
      <c r="A95" t="s">
        <v>93</v>
      </c>
      <c r="B95" t="str" cm="1">
        <f t="array" ref="B95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redcedar"},A95)),0)),"")</f>
        <v>Douglas-fir (west OR)</v>
      </c>
      <c r="C95" t="str" cm="1">
        <f t="array" ref="C95">IFERROR(INDEX({"Ridgetop","Other"},MATCH(TRUE,ISNUMBER(SEARCH({"Ridgetop","Other"},A95)),0)),"")</f>
        <v>Other</v>
      </c>
      <c r="D95" t="str" cm="1">
        <f t="array" ref="D95">IFERROR(INDEX({"Small","Medium","Large"},MATCH(TRUE,ISNUMBER(SEARCH({"Small","Medium","Large"},A95)),0)),"")</f>
        <v>Medium</v>
      </c>
      <c r="E95" t="str">
        <f t="shared" si="1"/>
        <v>0.025</v>
      </c>
    </row>
    <row r="96" spans="1:5" x14ac:dyDescent="0.3">
      <c r="A96" t="s">
        <v>94</v>
      </c>
      <c r="B96" t="str" cm="1">
        <f t="array" ref="B96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redcedar"},A96)),0)),"")</f>
        <v>Douglas-fir (west OR)</v>
      </c>
      <c r="C96" t="str" cm="1">
        <f t="array" ref="C96">IFERROR(INDEX({"Ridgetop","Other"},MATCH(TRUE,ISNUMBER(SEARCH({"Ridgetop","Other"},A96)),0)),"")</f>
        <v>Other</v>
      </c>
      <c r="D96" t="str" cm="1">
        <f t="array" ref="D96">IFERROR(INDEX({"Small","Medium","Large"},MATCH(TRUE,ISNUMBER(SEARCH({"Small","Medium","Large"},A96)),0)),"")</f>
        <v>Large</v>
      </c>
      <c r="E96" t="str">
        <f t="shared" si="1"/>
        <v>0.008</v>
      </c>
    </row>
    <row r="97" spans="1:5" x14ac:dyDescent="0.3">
      <c r="A97" t="s">
        <v>95</v>
      </c>
      <c r="B97" t="str" cm="1">
        <f t="array" ref="B97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redcedar"},A97)),0)),"")</f>
        <v>Douglas-fir (west OR)</v>
      </c>
      <c r="C97" t="str" cm="1">
        <f t="array" ref="C97">IFERROR(INDEX({"Ridgetop","Other"},MATCH(TRUE,ISNUMBER(SEARCH({"Ridgetop","Other"},A97)),0)),"")</f>
        <v>Other</v>
      </c>
      <c r="D97" t="str" cm="1">
        <f t="array" ref="D97">IFERROR(INDEX({"Small","Medium","Large"},MATCH(TRUE,ISNUMBER(SEARCH({"Small","Medium","Large"},A97)),0)),"")</f>
        <v>Small</v>
      </c>
      <c r="E97" t="str">
        <f t="shared" si="1"/>
        <v>0.056</v>
      </c>
    </row>
    <row r="98" spans="1:5" x14ac:dyDescent="0.3">
      <c r="A98" t="s">
        <v>96</v>
      </c>
      <c r="B98" t="str" cm="1">
        <f t="array" ref="B98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redcedar"},A98)),0)),"")</f>
        <v>Douglas-fir (west OR)</v>
      </c>
      <c r="C98" t="str" cm="1">
        <f t="array" ref="C98">IFERROR(INDEX({"Ridgetop","Other"},MATCH(TRUE,ISNUMBER(SEARCH({"Ridgetop","Other"},A98)),0)),"")</f>
        <v>Other</v>
      </c>
      <c r="D98" t="str" cm="1">
        <f t="array" ref="D98">IFERROR(INDEX({"Small","Medium","Large"},MATCH(TRUE,ISNUMBER(SEARCH({"Small","Medium","Large"},A98)),0)),"")</f>
        <v>Medium</v>
      </c>
      <c r="E98" t="str">
        <f t="shared" si="1"/>
        <v>0.025</v>
      </c>
    </row>
    <row r="99" spans="1:5" x14ac:dyDescent="0.3">
      <c r="A99" t="s">
        <v>97</v>
      </c>
      <c r="B99" t="str" cm="1">
        <f t="array" ref="B99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redcedar"},A99)),0)),"")</f>
        <v>Douglas-fir (west OR)</v>
      </c>
      <c r="C99" t="str" cm="1">
        <f t="array" ref="C99">IFERROR(INDEX({"Ridgetop","Other"},MATCH(TRUE,ISNUMBER(SEARCH({"Ridgetop","Other"},A99)),0)),"")</f>
        <v>Other</v>
      </c>
      <c r="D99" t="str" cm="1">
        <f t="array" ref="D99">IFERROR(INDEX({"Small","Medium","Large"},MATCH(TRUE,ISNUMBER(SEARCH({"Small","Medium","Large"},A99)),0)),"")</f>
        <v>Large</v>
      </c>
      <c r="E99" t="str">
        <f t="shared" si="1"/>
        <v>0.008</v>
      </c>
    </row>
    <row r="100" spans="1:5" x14ac:dyDescent="0.3">
      <c r="A100" t="s">
        <v>98</v>
      </c>
      <c r="B100" t="str" cm="1">
        <f t="array" ref="B100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redcedar"},A100)),0)),"")</f>
        <v>Douglas-fir (west OR)</v>
      </c>
      <c r="C100" t="str" cm="1">
        <f t="array" ref="C100">IFERROR(INDEX({"Ridgetop","Other"},MATCH(TRUE,ISNUMBER(SEARCH({"Ridgetop","Other"},A100)),0)),"")</f>
        <v>Ridgetop</v>
      </c>
      <c r="D100" t="str" cm="1">
        <f t="array" ref="D100">IFERROR(INDEX({"Small","Medium","Large"},MATCH(TRUE,ISNUMBER(SEARCH({"Small","Medium","Large"},A100)),0)),"")</f>
        <v>Small</v>
      </c>
      <c r="E100" t="str">
        <f t="shared" si="1"/>
        <v>0.094</v>
      </c>
    </row>
    <row r="101" spans="1:5" x14ac:dyDescent="0.3">
      <c r="A101" t="s">
        <v>99</v>
      </c>
      <c r="B101" t="str" cm="1">
        <f t="array" ref="B101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redcedar"},A101)),0)),"")</f>
        <v>Douglas-fir (west OR)</v>
      </c>
      <c r="C101" t="str" cm="1">
        <f t="array" ref="C101">IFERROR(INDEX({"Ridgetop","Other"},MATCH(TRUE,ISNUMBER(SEARCH({"Ridgetop","Other"},A101)),0)),"")</f>
        <v>Ridgetop</v>
      </c>
      <c r="D101" t="str" cm="1">
        <f t="array" ref="D101">IFERROR(INDEX({"Small","Medium","Large"},MATCH(TRUE,ISNUMBER(SEARCH({"Small","Medium","Large"},A101)),0)),"")</f>
        <v>Medium</v>
      </c>
      <c r="E101" t="str">
        <f t="shared" si="1"/>
        <v>0.042</v>
      </c>
    </row>
    <row r="102" spans="1:5" x14ac:dyDescent="0.3">
      <c r="A102" t="s">
        <v>100</v>
      </c>
      <c r="B102" t="str" cm="1">
        <f t="array" ref="B102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redcedar"},A102)),0)),"")</f>
        <v>Douglas-fir (west OR)</v>
      </c>
      <c r="C102" t="str" cm="1">
        <f t="array" ref="C102">IFERROR(INDEX({"Ridgetop","Other"},MATCH(TRUE,ISNUMBER(SEARCH({"Ridgetop","Other"},A102)),0)),"")</f>
        <v>Ridgetop</v>
      </c>
      <c r="D102" t="str" cm="1">
        <f t="array" ref="D102">IFERROR(INDEX({"Small","Medium","Large"},MATCH(TRUE,ISNUMBER(SEARCH({"Small","Medium","Large"},A102)),0)),"")</f>
        <v>Large</v>
      </c>
      <c r="E102" t="str">
        <f t="shared" si="1"/>
        <v>0.014</v>
      </c>
    </row>
    <row r="103" spans="1:5" x14ac:dyDescent="0.3">
      <c r="A103" t="s">
        <v>101</v>
      </c>
      <c r="B103" t="str" cm="1">
        <f t="array" ref="B103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redcedar"},A103)),0)),"")</f>
        <v>Douglas-fir (west OR)</v>
      </c>
      <c r="C103" t="str" cm="1">
        <f t="array" ref="C103">IFERROR(INDEX({"Ridgetop","Other"},MATCH(TRUE,ISNUMBER(SEARCH({"Ridgetop","Other"},A103)),0)),"")</f>
        <v>Ridgetop</v>
      </c>
      <c r="D103" t="str" cm="1">
        <f t="array" ref="D103">IFERROR(INDEX({"Small","Medium","Large"},MATCH(TRUE,ISNUMBER(SEARCH({"Small","Medium","Large"},A103)),0)),"")</f>
        <v>Small</v>
      </c>
      <c r="E103" t="str">
        <f t="shared" si="1"/>
        <v>0.094</v>
      </c>
    </row>
    <row r="104" spans="1:5" x14ac:dyDescent="0.3">
      <c r="A104" t="s">
        <v>102</v>
      </c>
      <c r="B104" t="str" cm="1">
        <f t="array" ref="B104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redcedar"},A104)),0)),"")</f>
        <v>Douglas-fir (west OR)</v>
      </c>
      <c r="C104" t="str" cm="1">
        <f t="array" ref="C104">IFERROR(INDEX({"Ridgetop","Other"},MATCH(TRUE,ISNUMBER(SEARCH({"Ridgetop","Other"},A104)),0)),"")</f>
        <v>Ridgetop</v>
      </c>
      <c r="D104" t="str" cm="1">
        <f t="array" ref="D104">IFERROR(INDEX({"Small","Medium","Large"},MATCH(TRUE,ISNUMBER(SEARCH({"Small","Medium","Large"},A104)),0)),"")</f>
        <v>Medium</v>
      </c>
      <c r="E104" t="str">
        <f t="shared" si="1"/>
        <v>0.042</v>
      </c>
    </row>
    <row r="105" spans="1:5" x14ac:dyDescent="0.3">
      <c r="A105" t="s">
        <v>103</v>
      </c>
      <c r="B105" t="str" cm="1">
        <f t="array" ref="B105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redcedar"},A105)),0)),"")</f>
        <v>Douglas-fir (west OR)</v>
      </c>
      <c r="C105" t="str" cm="1">
        <f t="array" ref="C105">IFERROR(INDEX({"Ridgetop","Other"},MATCH(TRUE,ISNUMBER(SEARCH({"Ridgetop","Other"},A105)),0)),"")</f>
        <v>Ridgetop</v>
      </c>
      <c r="D105" t="str" cm="1">
        <f t="array" ref="D105">IFERROR(INDEX({"Small","Medium","Large"},MATCH(TRUE,ISNUMBER(SEARCH({"Small","Medium","Large"},A105)),0)),"")</f>
        <v>Large</v>
      </c>
      <c r="E105" t="str">
        <f t="shared" si="1"/>
        <v>0.014</v>
      </c>
    </row>
    <row r="106" spans="1:5" x14ac:dyDescent="0.3">
      <c r="A106" t="s">
        <v>104</v>
      </c>
      <c r="B106" t="str" cm="1">
        <f t="array" ref="B106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redcedar"},A106)),0)),"")</f>
        <v>Douglas-fir (west OR)</v>
      </c>
      <c r="C106" t="str" cm="1">
        <f t="array" ref="C106">IFERROR(INDEX({"Ridgetop","Other"},MATCH(TRUE,ISNUMBER(SEARCH({"Ridgetop","Other"},A106)),0)),"")</f>
        <v>Ridgetop</v>
      </c>
      <c r="D106" t="str" cm="1">
        <f t="array" ref="D106">IFERROR(INDEX({"Small","Medium","Large"},MATCH(TRUE,ISNUMBER(SEARCH({"Small","Medium","Large"},A106)),0)),"")</f>
        <v>Small</v>
      </c>
      <c r="E106" t="str">
        <f t="shared" si="1"/>
        <v>0.094</v>
      </c>
    </row>
    <row r="107" spans="1:5" x14ac:dyDescent="0.3">
      <c r="A107" t="s">
        <v>105</v>
      </c>
      <c r="B107" t="str" cm="1">
        <f t="array" ref="B107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redcedar"},A107)),0)),"")</f>
        <v>Douglas-fir (west OR)</v>
      </c>
      <c r="C107" t="str" cm="1">
        <f t="array" ref="C107">IFERROR(INDEX({"Ridgetop","Other"},MATCH(TRUE,ISNUMBER(SEARCH({"Ridgetop","Other"},A107)),0)),"")</f>
        <v>Ridgetop</v>
      </c>
      <c r="D107" t="str" cm="1">
        <f t="array" ref="D107">IFERROR(INDEX({"Small","Medium","Large"},MATCH(TRUE,ISNUMBER(SEARCH({"Small","Medium","Large"},A107)),0)),"")</f>
        <v>Medium</v>
      </c>
      <c r="E107" t="str">
        <f t="shared" si="1"/>
        <v>0.042</v>
      </c>
    </row>
    <row r="108" spans="1:5" x14ac:dyDescent="0.3">
      <c r="A108" t="s">
        <v>106</v>
      </c>
      <c r="B108" t="str" cm="1">
        <f t="array" ref="B108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redcedar"},A108)),0)),"")</f>
        <v>Douglas-fir (west OR)</v>
      </c>
      <c r="C108" t="str" cm="1">
        <f t="array" ref="C108">IFERROR(INDEX({"Ridgetop","Other"},MATCH(TRUE,ISNUMBER(SEARCH({"Ridgetop","Other"},A108)),0)),"")</f>
        <v>Ridgetop</v>
      </c>
      <c r="D108" t="str" cm="1">
        <f t="array" ref="D108">IFERROR(INDEX({"Small","Medium","Large"},MATCH(TRUE,ISNUMBER(SEARCH({"Small","Medium","Large"},A108)),0)),"")</f>
        <v>Large</v>
      </c>
      <c r="E108" t="str">
        <f t="shared" si="1"/>
        <v>0.014</v>
      </c>
    </row>
    <row r="109" spans="1:5" x14ac:dyDescent="0.3">
      <c r="A109" t="s">
        <v>107</v>
      </c>
      <c r="B109" t="str" cm="1">
        <f t="array" ref="B109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redcedar"},A109)),0)),"")</f>
        <v>Douglas-fir (west WA)</v>
      </c>
      <c r="C109" t="str" cm="1">
        <f t="array" ref="C109">IFERROR(INDEX({"Ridgetop","Other"},MATCH(TRUE,ISNUMBER(SEARCH({"Ridgetop","Other"},A109)),0)),"")</f>
        <v>Other</v>
      </c>
      <c r="D109" t="str" cm="1">
        <f t="array" ref="D109">IFERROR(INDEX({"Small","Medium","Large"},MATCH(TRUE,ISNUMBER(SEARCH({"Small","Medium","Large"},A109)),0)),"")</f>
        <v>Small</v>
      </c>
      <c r="E109" t="str">
        <f t="shared" si="1"/>
        <v>0.032</v>
      </c>
    </row>
    <row r="110" spans="1:5" x14ac:dyDescent="0.3">
      <c r="A110" t="s">
        <v>108</v>
      </c>
      <c r="B110" t="str" cm="1">
        <f t="array" ref="B110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redcedar"},A110)),0)),"")</f>
        <v>Douglas-fir (west WA)</v>
      </c>
      <c r="C110" t="str" cm="1">
        <f t="array" ref="C110">IFERROR(INDEX({"Ridgetop","Other"},MATCH(TRUE,ISNUMBER(SEARCH({"Ridgetop","Other"},A110)),0)),"")</f>
        <v>Other</v>
      </c>
      <c r="D110" t="str" cm="1">
        <f t="array" ref="D110">IFERROR(INDEX({"Small","Medium","Large"},MATCH(TRUE,ISNUMBER(SEARCH({"Small","Medium","Large"},A110)),0)),"")</f>
        <v>Medium</v>
      </c>
      <c r="E110" t="str">
        <f t="shared" si="1"/>
        <v>0.016</v>
      </c>
    </row>
    <row r="111" spans="1:5" x14ac:dyDescent="0.3">
      <c r="A111" t="s">
        <v>109</v>
      </c>
      <c r="B111" t="str" cm="1">
        <f t="array" ref="B111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redcedar"},A111)),0)),"")</f>
        <v>Douglas-fir (west WA)</v>
      </c>
      <c r="C111" t="str" cm="1">
        <f t="array" ref="C111">IFERROR(INDEX({"Ridgetop","Other"},MATCH(TRUE,ISNUMBER(SEARCH({"Ridgetop","Other"},A111)),0)),"")</f>
        <v>Other</v>
      </c>
      <c r="D111" t="str" cm="1">
        <f t="array" ref="D111">IFERROR(INDEX({"Small","Medium","Large"},MATCH(TRUE,ISNUMBER(SEARCH({"Small","Medium","Large"},A111)),0)),"")</f>
        <v>Large</v>
      </c>
      <c r="E111" t="str">
        <f t="shared" si="1"/>
        <v>0.009</v>
      </c>
    </row>
    <row r="112" spans="1:5" x14ac:dyDescent="0.3">
      <c r="A112" t="s">
        <v>110</v>
      </c>
      <c r="B112" t="str" cm="1">
        <f t="array" ref="B112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redcedar"},A112)),0)),"")</f>
        <v>Douglas-fir (west WA)</v>
      </c>
      <c r="C112" t="str" cm="1">
        <f t="array" ref="C112">IFERROR(INDEX({"Ridgetop","Other"},MATCH(TRUE,ISNUMBER(SEARCH({"Ridgetop","Other"},A112)),0)),"")</f>
        <v>Other</v>
      </c>
      <c r="D112" t="str" cm="1">
        <f t="array" ref="D112">IFERROR(INDEX({"Small","Medium","Large"},MATCH(TRUE,ISNUMBER(SEARCH({"Small","Medium","Large"},A112)),0)),"")</f>
        <v>Small</v>
      </c>
      <c r="E112" t="str">
        <f t="shared" si="1"/>
        <v>0.035</v>
      </c>
    </row>
    <row r="113" spans="1:5" x14ac:dyDescent="0.3">
      <c r="A113" t="s">
        <v>111</v>
      </c>
      <c r="B113" t="str" cm="1">
        <f t="array" ref="B113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redcedar"},A113)),0)),"")</f>
        <v>Douglas-fir (west WA)</v>
      </c>
      <c r="C113" t="str" cm="1">
        <f t="array" ref="C113">IFERROR(INDEX({"Ridgetop","Other"},MATCH(TRUE,ISNUMBER(SEARCH({"Ridgetop","Other"},A113)),0)),"")</f>
        <v>Other</v>
      </c>
      <c r="D113" t="str" cm="1">
        <f t="array" ref="D113">IFERROR(INDEX({"Small","Medium","Large"},MATCH(TRUE,ISNUMBER(SEARCH({"Small","Medium","Large"},A113)),0)),"")</f>
        <v>Medium</v>
      </c>
      <c r="E113" t="str">
        <f t="shared" si="1"/>
        <v>0.018</v>
      </c>
    </row>
    <row r="114" spans="1:5" x14ac:dyDescent="0.3">
      <c r="A114" t="s">
        <v>112</v>
      </c>
      <c r="B114" t="str" cm="1">
        <f t="array" ref="B114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redcedar"},A114)),0)),"")</f>
        <v>Douglas-fir (west WA)</v>
      </c>
      <c r="C114" t="str" cm="1">
        <f t="array" ref="C114">IFERROR(INDEX({"Ridgetop","Other"},MATCH(TRUE,ISNUMBER(SEARCH({"Ridgetop","Other"},A114)),0)),"")</f>
        <v>Other</v>
      </c>
      <c r="D114" t="str" cm="1">
        <f t="array" ref="D114">IFERROR(INDEX({"Small","Medium","Large"},MATCH(TRUE,ISNUMBER(SEARCH({"Small","Medium","Large"},A114)),0)),"")</f>
        <v>Large</v>
      </c>
      <c r="E114" t="str">
        <f t="shared" si="1"/>
        <v>0.010</v>
      </c>
    </row>
    <row r="115" spans="1:5" x14ac:dyDescent="0.3">
      <c r="A115" t="s">
        <v>113</v>
      </c>
      <c r="B115" t="str" cm="1">
        <f t="array" ref="B115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redcedar"},A115)),0)),"")</f>
        <v>Douglas-fir (west WA)</v>
      </c>
      <c r="C115" t="str" cm="1">
        <f t="array" ref="C115">IFERROR(INDEX({"Ridgetop","Other"},MATCH(TRUE,ISNUMBER(SEARCH({"Ridgetop","Other"},A115)),0)),"")</f>
        <v>Other</v>
      </c>
      <c r="D115" t="str" cm="1">
        <f t="array" ref="D115">IFERROR(INDEX({"Small","Medium","Large"},MATCH(TRUE,ISNUMBER(SEARCH({"Small","Medium","Large"},A115)),0)),"")</f>
        <v>Small</v>
      </c>
      <c r="E115" t="str">
        <f t="shared" si="1"/>
        <v>0.043</v>
      </c>
    </row>
    <row r="116" spans="1:5" x14ac:dyDescent="0.3">
      <c r="A116" t="s">
        <v>114</v>
      </c>
      <c r="B116" t="str" cm="1">
        <f t="array" ref="B116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redcedar"},A116)),0)),"")</f>
        <v>Douglas-fir (west WA)</v>
      </c>
      <c r="C116" t="str" cm="1">
        <f t="array" ref="C116">IFERROR(INDEX({"Ridgetop","Other"},MATCH(TRUE,ISNUMBER(SEARCH({"Ridgetop","Other"},A116)),0)),"")</f>
        <v>Other</v>
      </c>
      <c r="D116" t="str" cm="1">
        <f t="array" ref="D116">IFERROR(INDEX({"Small","Medium","Large"},MATCH(TRUE,ISNUMBER(SEARCH({"Small","Medium","Large"},A116)),0)),"")</f>
        <v>Medium</v>
      </c>
      <c r="E116" t="str">
        <f t="shared" si="1"/>
        <v>0.022</v>
      </c>
    </row>
    <row r="117" spans="1:5" x14ac:dyDescent="0.3">
      <c r="A117" t="s">
        <v>115</v>
      </c>
      <c r="B117" t="str" cm="1">
        <f t="array" ref="B117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redcedar"},A117)),0)),"")</f>
        <v>Douglas-fir (west WA)</v>
      </c>
      <c r="C117" t="str" cm="1">
        <f t="array" ref="C117">IFERROR(INDEX({"Ridgetop","Other"},MATCH(TRUE,ISNUMBER(SEARCH({"Ridgetop","Other"},A117)),0)),"")</f>
        <v>Other</v>
      </c>
      <c r="D117" t="str" cm="1">
        <f t="array" ref="D117">IFERROR(INDEX({"Small","Medium","Large"},MATCH(TRUE,ISNUMBER(SEARCH({"Small","Medium","Large"},A117)),0)),"")</f>
        <v>Large</v>
      </c>
      <c r="E117" t="str">
        <f t="shared" si="1"/>
        <v>0.012</v>
      </c>
    </row>
    <row r="118" spans="1:5" x14ac:dyDescent="0.3">
      <c r="A118" t="s">
        <v>116</v>
      </c>
      <c r="B118" t="str" cm="1">
        <f t="array" ref="B118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redcedar"},A118)),0)),"")</f>
        <v>Douglas-fir (west WA)</v>
      </c>
      <c r="C118" t="str" cm="1">
        <f t="array" ref="C118">IFERROR(INDEX({"Ridgetop","Other"},MATCH(TRUE,ISNUMBER(SEARCH({"Ridgetop","Other"},A118)),0)),"")</f>
        <v>Ridgetop</v>
      </c>
      <c r="D118" t="str" cm="1">
        <f t="array" ref="D118">IFERROR(INDEX({"Small","Medium","Large"},MATCH(TRUE,ISNUMBER(SEARCH({"Small","Medium","Large"},A118)),0)),"")</f>
        <v>Small</v>
      </c>
      <c r="E118" t="str">
        <f t="shared" si="1"/>
        <v>0.056</v>
      </c>
    </row>
    <row r="119" spans="1:5" x14ac:dyDescent="0.3">
      <c r="A119" t="s">
        <v>117</v>
      </c>
      <c r="B119" t="str" cm="1">
        <f t="array" ref="B119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redcedar"},A119)),0)),"")</f>
        <v>Douglas-fir (west WA)</v>
      </c>
      <c r="C119" t="str" cm="1">
        <f t="array" ref="C119">IFERROR(INDEX({"Ridgetop","Other"},MATCH(TRUE,ISNUMBER(SEARCH({"Ridgetop","Other"},A119)),0)),"")</f>
        <v>Ridgetop</v>
      </c>
      <c r="D119" t="str" cm="1">
        <f t="array" ref="D119">IFERROR(INDEX({"Small","Medium","Large"},MATCH(TRUE,ISNUMBER(SEARCH({"Small","Medium","Large"},A119)),0)),"")</f>
        <v>Medium</v>
      </c>
      <c r="E119" t="str">
        <f t="shared" si="1"/>
        <v>0.028</v>
      </c>
    </row>
    <row r="120" spans="1:5" x14ac:dyDescent="0.3">
      <c r="A120" t="s">
        <v>118</v>
      </c>
      <c r="B120" t="str" cm="1">
        <f t="array" ref="B120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redcedar"},A120)),0)),"")</f>
        <v>Douglas-fir (west WA)</v>
      </c>
      <c r="C120" t="str" cm="1">
        <f t="array" ref="C120">IFERROR(INDEX({"Ridgetop","Other"},MATCH(TRUE,ISNUMBER(SEARCH({"Ridgetop","Other"},A120)),0)),"")</f>
        <v>Ridgetop</v>
      </c>
      <c r="D120" t="str" cm="1">
        <f t="array" ref="D120">IFERROR(INDEX({"Small","Medium","Large"},MATCH(TRUE,ISNUMBER(SEARCH({"Small","Medium","Large"},A120)),0)),"")</f>
        <v>Large</v>
      </c>
      <c r="E120" t="str">
        <f t="shared" si="1"/>
        <v>0.016</v>
      </c>
    </row>
    <row r="121" spans="1:5" x14ac:dyDescent="0.3">
      <c r="A121" t="s">
        <v>119</v>
      </c>
      <c r="B121" t="str" cm="1">
        <f t="array" ref="B121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redcedar"},A121)),0)),"")</f>
        <v>Douglas-fir (west WA)</v>
      </c>
      <c r="C121" t="str" cm="1">
        <f t="array" ref="C121">IFERROR(INDEX({"Ridgetop","Other"},MATCH(TRUE,ISNUMBER(SEARCH({"Ridgetop","Other"},A121)),0)),"")</f>
        <v>Ridgetop</v>
      </c>
      <c r="D121" t="str" cm="1">
        <f t="array" ref="D121">IFERROR(INDEX({"Small","Medium","Large"},MATCH(TRUE,ISNUMBER(SEARCH({"Small","Medium","Large"},A121)),0)),"")</f>
        <v>Small</v>
      </c>
      <c r="E121" t="str">
        <f t="shared" si="1"/>
        <v>0.058</v>
      </c>
    </row>
    <row r="122" spans="1:5" x14ac:dyDescent="0.3">
      <c r="A122" t="s">
        <v>120</v>
      </c>
      <c r="B122" t="str" cm="1">
        <f t="array" ref="B122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redcedar"},A122)),0)),"")</f>
        <v>Douglas-fir (west WA)</v>
      </c>
      <c r="C122" t="str" cm="1">
        <f t="array" ref="C122">IFERROR(INDEX({"Ridgetop","Other"},MATCH(TRUE,ISNUMBER(SEARCH({"Ridgetop","Other"},A122)),0)),"")</f>
        <v>Ridgetop</v>
      </c>
      <c r="D122" t="str" cm="1">
        <f t="array" ref="D122">IFERROR(INDEX({"Small","Medium","Large"},MATCH(TRUE,ISNUMBER(SEARCH({"Small","Medium","Large"},A122)),0)),"")</f>
        <v>Medium</v>
      </c>
      <c r="E122" t="str">
        <f t="shared" si="1"/>
        <v>0.029</v>
      </c>
    </row>
    <row r="123" spans="1:5" x14ac:dyDescent="0.3">
      <c r="A123" t="s">
        <v>121</v>
      </c>
      <c r="B123" t="str" cm="1">
        <f t="array" ref="B123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redcedar"},A123)),0)),"")</f>
        <v>Douglas-fir (west WA)</v>
      </c>
      <c r="C123" t="str" cm="1">
        <f t="array" ref="C123">IFERROR(INDEX({"Ridgetop","Other"},MATCH(TRUE,ISNUMBER(SEARCH({"Ridgetop","Other"},A123)),0)),"")</f>
        <v>Ridgetop</v>
      </c>
      <c r="D123" t="str" cm="1">
        <f t="array" ref="D123">IFERROR(INDEX({"Small","Medium","Large"},MATCH(TRUE,ISNUMBER(SEARCH({"Small","Medium","Large"},A123)),0)),"")</f>
        <v>Large</v>
      </c>
      <c r="E123" t="str">
        <f t="shared" si="1"/>
        <v>0.016</v>
      </c>
    </row>
    <row r="124" spans="1:5" x14ac:dyDescent="0.3">
      <c r="A124" t="s">
        <v>122</v>
      </c>
      <c r="B124" t="str" cm="1">
        <f t="array" ref="B124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redcedar"},A124)),0)),"")</f>
        <v>Douglas-fir (west WA)</v>
      </c>
      <c r="C124" t="str" cm="1">
        <f t="array" ref="C124">IFERROR(INDEX({"Ridgetop","Other"},MATCH(TRUE,ISNUMBER(SEARCH({"Ridgetop","Other"},A124)),0)),"")</f>
        <v>Ridgetop</v>
      </c>
      <c r="D124" t="str" cm="1">
        <f t="array" ref="D124">IFERROR(INDEX({"Small","Medium","Large"},MATCH(TRUE,ISNUMBER(SEARCH({"Small","Medium","Large"},A124)),0)),"")</f>
        <v>Small</v>
      </c>
      <c r="E124" t="str">
        <f t="shared" si="1"/>
        <v>0.061</v>
      </c>
    </row>
    <row r="125" spans="1:5" x14ac:dyDescent="0.3">
      <c r="A125" t="s">
        <v>123</v>
      </c>
      <c r="B125" t="str" cm="1">
        <f t="array" ref="B125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redcedar"},A125)),0)),"")</f>
        <v>Douglas-fir (west WA)</v>
      </c>
      <c r="C125" t="str" cm="1">
        <f t="array" ref="C125">IFERROR(INDEX({"Ridgetop","Other"},MATCH(TRUE,ISNUMBER(SEARCH({"Ridgetop","Other"},A125)),0)),"")</f>
        <v>Ridgetop</v>
      </c>
      <c r="D125" t="str" cm="1">
        <f t="array" ref="D125">IFERROR(INDEX({"Small","Medium","Large"},MATCH(TRUE,ISNUMBER(SEARCH({"Small","Medium","Large"},A125)),0)),"")</f>
        <v>Medium</v>
      </c>
      <c r="E125" t="str">
        <f t="shared" si="1"/>
        <v>0.031</v>
      </c>
    </row>
    <row r="126" spans="1:5" x14ac:dyDescent="0.3">
      <c r="A126" t="s">
        <v>124</v>
      </c>
      <c r="B126" t="str" cm="1">
        <f t="array" ref="B126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redcedar"},A126)),0)),"")</f>
        <v>Douglas-fir (west WA)</v>
      </c>
      <c r="C126" t="str" cm="1">
        <f t="array" ref="C126">IFERROR(INDEX({"Ridgetop","Other"},MATCH(TRUE,ISNUMBER(SEARCH({"Ridgetop","Other"},A126)),0)),"")</f>
        <v>Ridgetop</v>
      </c>
      <c r="D126" t="str" cm="1">
        <f t="array" ref="D126">IFERROR(INDEX({"Small","Medium","Large"},MATCH(TRUE,ISNUMBER(SEARCH({"Small","Medium","Large"},A126)),0)),"")</f>
        <v>Large</v>
      </c>
      <c r="E126" t="str">
        <f t="shared" si="1"/>
        <v>0.017</v>
      </c>
    </row>
    <row r="127" spans="1:5" x14ac:dyDescent="0.3">
      <c r="A127" t="s">
        <v>125</v>
      </c>
      <c r="B127" t="str" cm="1">
        <f t="array" ref="B127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redcedar"},A127)),0)),"")</f>
        <v>Douglas-fir (west WA)</v>
      </c>
      <c r="C127" t="str" cm="1">
        <f t="array" ref="C127">IFERROR(INDEX({"Ridgetop","Other"},MATCH(TRUE,ISNUMBER(SEARCH({"Ridgetop","Other"},A127)),0)),"")</f>
        <v>Other</v>
      </c>
      <c r="D127" t="str" cm="1">
        <f t="array" ref="D127">IFERROR(INDEX({"Small","Medium","Large"},MATCH(TRUE,ISNUMBER(SEARCH({"Small","Medium","Large"},A127)),0)),"")</f>
        <v>Small</v>
      </c>
      <c r="E127" t="str">
        <f t="shared" si="1"/>
        <v>0.040</v>
      </c>
    </row>
    <row r="128" spans="1:5" x14ac:dyDescent="0.3">
      <c r="A128" t="s">
        <v>126</v>
      </c>
      <c r="B128" t="str" cm="1">
        <f t="array" ref="B128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redcedar"},A128)),0)),"")</f>
        <v>Douglas-fir (west WA)</v>
      </c>
      <c r="C128" t="str" cm="1">
        <f t="array" ref="C128">IFERROR(INDEX({"Ridgetop","Other"},MATCH(TRUE,ISNUMBER(SEARCH({"Ridgetop","Other"},A128)),0)),"")</f>
        <v>Other</v>
      </c>
      <c r="D128" t="str" cm="1">
        <f t="array" ref="D128">IFERROR(INDEX({"Small","Medium","Large"},MATCH(TRUE,ISNUMBER(SEARCH({"Small","Medium","Large"},A128)),0)),"")</f>
        <v>Medium</v>
      </c>
      <c r="E128" t="str">
        <f t="shared" si="1"/>
        <v>0.020</v>
      </c>
    </row>
    <row r="129" spans="1:5" x14ac:dyDescent="0.3">
      <c r="A129" t="s">
        <v>127</v>
      </c>
      <c r="B129" t="str" cm="1">
        <f t="array" ref="B129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redcedar"},A129)),0)),"")</f>
        <v>Douglas-fir (west WA)</v>
      </c>
      <c r="C129" t="str" cm="1">
        <f t="array" ref="C129">IFERROR(INDEX({"Ridgetop","Other"},MATCH(TRUE,ISNUMBER(SEARCH({"Ridgetop","Other"},A129)),0)),"")</f>
        <v>Other</v>
      </c>
      <c r="D129" t="str" cm="1">
        <f t="array" ref="D129">IFERROR(INDEX({"Small","Medium","Large"},MATCH(TRUE,ISNUMBER(SEARCH({"Small","Medium","Large"},A129)),0)),"")</f>
        <v>Large</v>
      </c>
      <c r="E129" t="str">
        <f t="shared" si="1"/>
        <v>0.011</v>
      </c>
    </row>
    <row r="130" spans="1:5" x14ac:dyDescent="0.3">
      <c r="A130" t="s">
        <v>128</v>
      </c>
      <c r="B130" t="str" cm="1">
        <f t="array" ref="B130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redcedar"},A130)),0)),"")</f>
        <v>Douglas-fir (west WA)</v>
      </c>
      <c r="C130" t="str" cm="1">
        <f t="array" ref="C130">IFERROR(INDEX({"Ridgetop","Other"},MATCH(TRUE,ISNUMBER(SEARCH({"Ridgetop","Other"},A130)),0)),"")</f>
        <v>Other</v>
      </c>
      <c r="D130" t="str" cm="1">
        <f t="array" ref="D130">IFERROR(INDEX({"Small","Medium","Large"},MATCH(TRUE,ISNUMBER(SEARCH({"Small","Medium","Large"},A130)),0)),"")</f>
        <v>Small</v>
      </c>
      <c r="E130" t="str">
        <f t="shared" si="1"/>
        <v>0.043</v>
      </c>
    </row>
    <row r="131" spans="1:5" x14ac:dyDescent="0.3">
      <c r="A131" t="s">
        <v>129</v>
      </c>
      <c r="B131" t="str" cm="1">
        <f t="array" ref="B131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redcedar"},A131)),0)),"")</f>
        <v>Douglas-fir (west WA)</v>
      </c>
      <c r="C131" t="str" cm="1">
        <f t="array" ref="C131">IFERROR(INDEX({"Ridgetop","Other"},MATCH(TRUE,ISNUMBER(SEARCH({"Ridgetop","Other"},A131)),0)),"")</f>
        <v>Other</v>
      </c>
      <c r="D131" t="str" cm="1">
        <f t="array" ref="D131">IFERROR(INDEX({"Small","Medium","Large"},MATCH(TRUE,ISNUMBER(SEARCH({"Small","Medium","Large"},A131)),0)),"")</f>
        <v>Medium</v>
      </c>
      <c r="E131" t="str">
        <f t="shared" ref="E131:E194" si="2">RIGHT(A131,LEN(A131)-FIND("@",SUBSTITUTE(A131," ","@",LEN(A131)-LEN(SUBSTITUTE(A131," ","")))))</f>
        <v>0.022</v>
      </c>
    </row>
    <row r="132" spans="1:5" x14ac:dyDescent="0.3">
      <c r="A132" t="s">
        <v>130</v>
      </c>
      <c r="B132" t="str" cm="1">
        <f t="array" ref="B132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redcedar"},A132)),0)),"")</f>
        <v>Douglas-fir (west WA)</v>
      </c>
      <c r="C132" t="str" cm="1">
        <f t="array" ref="C132">IFERROR(INDEX({"Ridgetop","Other"},MATCH(TRUE,ISNUMBER(SEARCH({"Ridgetop","Other"},A132)),0)),"")</f>
        <v>Other</v>
      </c>
      <c r="D132" t="str" cm="1">
        <f t="array" ref="D132">IFERROR(INDEX({"Small","Medium","Large"},MATCH(TRUE,ISNUMBER(SEARCH({"Small","Medium","Large"},A132)),0)),"")</f>
        <v>Large</v>
      </c>
      <c r="E132" t="str">
        <f t="shared" si="2"/>
        <v>0.012</v>
      </c>
    </row>
    <row r="133" spans="1:5" x14ac:dyDescent="0.3">
      <c r="A133" t="s">
        <v>131</v>
      </c>
      <c r="B133" t="str" cm="1">
        <f t="array" ref="B133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redcedar"},A133)),0)),"")</f>
        <v>Douglas-fir (west WA)</v>
      </c>
      <c r="C133" t="str" cm="1">
        <f t="array" ref="C133">IFERROR(INDEX({"Ridgetop","Other"},MATCH(TRUE,ISNUMBER(SEARCH({"Ridgetop","Other"},A133)),0)),"")</f>
        <v>Other</v>
      </c>
      <c r="D133" t="str" cm="1">
        <f t="array" ref="D133">IFERROR(INDEX({"Small","Medium","Large"},MATCH(TRUE,ISNUMBER(SEARCH({"Small","Medium","Large"},A133)),0)),"")</f>
        <v>Small</v>
      </c>
      <c r="E133" t="str">
        <f t="shared" si="2"/>
        <v>0.043</v>
      </c>
    </row>
    <row r="134" spans="1:5" x14ac:dyDescent="0.3">
      <c r="A134" t="s">
        <v>132</v>
      </c>
      <c r="B134" t="str" cm="1">
        <f t="array" ref="B134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redcedar"},A134)),0)),"")</f>
        <v>Douglas-fir (west WA)</v>
      </c>
      <c r="C134" t="str" cm="1">
        <f t="array" ref="C134">IFERROR(INDEX({"Ridgetop","Other"},MATCH(TRUE,ISNUMBER(SEARCH({"Ridgetop","Other"},A134)),0)),"")</f>
        <v>Other</v>
      </c>
      <c r="D134" t="str" cm="1">
        <f t="array" ref="D134">IFERROR(INDEX({"Small","Medium","Large"},MATCH(TRUE,ISNUMBER(SEARCH({"Small","Medium","Large"},A134)),0)),"")</f>
        <v>Medium</v>
      </c>
      <c r="E134" t="str">
        <f t="shared" si="2"/>
        <v>0.022</v>
      </c>
    </row>
    <row r="135" spans="1:5" x14ac:dyDescent="0.3">
      <c r="A135" t="s">
        <v>133</v>
      </c>
      <c r="B135" t="str" cm="1">
        <f t="array" ref="B135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redcedar"},A135)),0)),"")</f>
        <v>Douglas-fir (west WA)</v>
      </c>
      <c r="C135" t="str" cm="1">
        <f t="array" ref="C135">IFERROR(INDEX({"Ridgetop","Other"},MATCH(TRUE,ISNUMBER(SEARCH({"Ridgetop","Other"},A135)),0)),"")</f>
        <v>Other</v>
      </c>
      <c r="D135" t="str" cm="1">
        <f t="array" ref="D135">IFERROR(INDEX({"Small","Medium","Large"},MATCH(TRUE,ISNUMBER(SEARCH({"Small","Medium","Large"},A135)),0)),"")</f>
        <v>Large</v>
      </c>
      <c r="E135" t="str">
        <f t="shared" si="2"/>
        <v>0.012</v>
      </c>
    </row>
    <row r="136" spans="1:5" x14ac:dyDescent="0.3">
      <c r="A136" t="s">
        <v>134</v>
      </c>
      <c r="B136" t="str" cm="1">
        <f t="array" ref="B136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redcedar"},A136)),0)),"")</f>
        <v>Douglas-fir (west WA)</v>
      </c>
      <c r="C136" t="str" cm="1">
        <f t="array" ref="C136">IFERROR(INDEX({"Ridgetop","Other"},MATCH(TRUE,ISNUMBER(SEARCH({"Ridgetop","Other"},A136)),0)),"")</f>
        <v>Ridgetop</v>
      </c>
      <c r="D136" t="str" cm="1">
        <f t="array" ref="D136">IFERROR(INDEX({"Small","Medium","Large"},MATCH(TRUE,ISNUMBER(SEARCH({"Small","Medium","Large"},A136)),0)),"")</f>
        <v>Small</v>
      </c>
      <c r="E136" t="str">
        <f t="shared" si="2"/>
        <v>0.072</v>
      </c>
    </row>
    <row r="137" spans="1:5" x14ac:dyDescent="0.3">
      <c r="A137" t="s">
        <v>135</v>
      </c>
      <c r="B137" t="str" cm="1">
        <f t="array" ref="B137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redcedar"},A137)),0)),"")</f>
        <v>Douglas-fir (west WA)</v>
      </c>
      <c r="C137" t="str" cm="1">
        <f t="array" ref="C137">IFERROR(INDEX({"Ridgetop","Other"},MATCH(TRUE,ISNUMBER(SEARCH({"Ridgetop","Other"},A137)),0)),"")</f>
        <v>Ridgetop</v>
      </c>
      <c r="D137" t="str" cm="1">
        <f t="array" ref="D137">IFERROR(INDEX({"Small","Medium","Large"},MATCH(TRUE,ISNUMBER(SEARCH({"Small","Medium","Large"},A137)),0)),"")</f>
        <v>Medium</v>
      </c>
      <c r="E137" t="str">
        <f t="shared" si="2"/>
        <v>0.036</v>
      </c>
    </row>
    <row r="138" spans="1:5" x14ac:dyDescent="0.3">
      <c r="A138" t="s">
        <v>136</v>
      </c>
      <c r="B138" t="str" cm="1">
        <f t="array" ref="B138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redcedar"},A138)),0)),"")</f>
        <v>Douglas-fir (west WA)</v>
      </c>
      <c r="C138" t="str" cm="1">
        <f t="array" ref="C138">IFERROR(INDEX({"Ridgetop","Other"},MATCH(TRUE,ISNUMBER(SEARCH({"Ridgetop","Other"},A138)),0)),"")</f>
        <v>Ridgetop</v>
      </c>
      <c r="D138" t="str" cm="1">
        <f t="array" ref="D138">IFERROR(INDEX({"Small","Medium","Large"},MATCH(TRUE,ISNUMBER(SEARCH({"Small","Medium","Large"},A138)),0)),"")</f>
        <v>Large</v>
      </c>
      <c r="E138" t="str">
        <f t="shared" si="2"/>
        <v>0.020</v>
      </c>
    </row>
    <row r="139" spans="1:5" x14ac:dyDescent="0.3">
      <c r="A139" t="s">
        <v>137</v>
      </c>
      <c r="B139" t="str" cm="1">
        <f t="array" ref="B139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redcedar"},A139)),0)),"")</f>
        <v>Douglas-fir (west WA)</v>
      </c>
      <c r="C139" t="str" cm="1">
        <f t="array" ref="C139">IFERROR(INDEX({"Ridgetop","Other"},MATCH(TRUE,ISNUMBER(SEARCH({"Ridgetop","Other"},A139)),0)),"")</f>
        <v>Ridgetop</v>
      </c>
      <c r="D139" t="str" cm="1">
        <f t="array" ref="D139">IFERROR(INDEX({"Small","Medium","Large"},MATCH(TRUE,ISNUMBER(SEARCH({"Small","Medium","Large"},A139)),0)),"")</f>
        <v>Small</v>
      </c>
      <c r="E139" t="str">
        <f t="shared" si="2"/>
        <v>0.072</v>
      </c>
    </row>
    <row r="140" spans="1:5" x14ac:dyDescent="0.3">
      <c r="A140" t="s">
        <v>138</v>
      </c>
      <c r="B140" t="str" cm="1">
        <f t="array" ref="B140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redcedar"},A140)),0)),"")</f>
        <v>Douglas-fir (west WA)</v>
      </c>
      <c r="C140" t="str" cm="1">
        <f t="array" ref="C140">IFERROR(INDEX({"Ridgetop","Other"},MATCH(TRUE,ISNUMBER(SEARCH({"Ridgetop","Other"},A140)),0)),"")</f>
        <v>Ridgetop</v>
      </c>
      <c r="D140" t="str" cm="1">
        <f t="array" ref="D140">IFERROR(INDEX({"Small","Medium","Large"},MATCH(TRUE,ISNUMBER(SEARCH({"Small","Medium","Large"},A140)),0)),"")</f>
        <v>Medium</v>
      </c>
      <c r="E140" t="str">
        <f t="shared" si="2"/>
        <v>0.036</v>
      </c>
    </row>
    <row r="141" spans="1:5" x14ac:dyDescent="0.3">
      <c r="A141" t="s">
        <v>139</v>
      </c>
      <c r="B141" t="str" cm="1">
        <f t="array" ref="B141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redcedar"},A141)),0)),"")</f>
        <v>Douglas-fir (west WA)</v>
      </c>
      <c r="C141" t="str" cm="1">
        <f t="array" ref="C141">IFERROR(INDEX({"Ridgetop","Other"},MATCH(TRUE,ISNUMBER(SEARCH({"Ridgetop","Other"},A141)),0)),"")</f>
        <v>Ridgetop</v>
      </c>
      <c r="D141" t="str" cm="1">
        <f t="array" ref="D141">IFERROR(INDEX({"Small","Medium","Large"},MATCH(TRUE,ISNUMBER(SEARCH({"Small","Medium","Large"},A141)),0)),"")</f>
        <v>Large</v>
      </c>
      <c r="E141" t="str">
        <f t="shared" si="2"/>
        <v>0.020</v>
      </c>
    </row>
    <row r="142" spans="1:5" x14ac:dyDescent="0.3">
      <c r="A142" t="s">
        <v>140</v>
      </c>
      <c r="B142" t="str" cm="1">
        <f t="array" ref="B142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redcedar"},A142)),0)),"")</f>
        <v>Douglas-fir (west WA)</v>
      </c>
      <c r="C142" t="str" cm="1">
        <f t="array" ref="C142">IFERROR(INDEX({"Ridgetop","Other"},MATCH(TRUE,ISNUMBER(SEARCH({"Ridgetop","Other"},A142)),0)),"")</f>
        <v>Ridgetop</v>
      </c>
      <c r="D142" t="str" cm="1">
        <f t="array" ref="D142">IFERROR(INDEX({"Small","Medium","Large"},MATCH(TRUE,ISNUMBER(SEARCH({"Small","Medium","Large"},A142)),0)),"")</f>
        <v>Small</v>
      </c>
      <c r="E142" t="str">
        <f t="shared" si="2"/>
        <v>0.072</v>
      </c>
    </row>
    <row r="143" spans="1:5" x14ac:dyDescent="0.3">
      <c r="A143" t="s">
        <v>141</v>
      </c>
      <c r="B143" t="str" cm="1">
        <f t="array" ref="B143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redcedar"},A143)),0)),"")</f>
        <v>Douglas-fir (west WA)</v>
      </c>
      <c r="C143" t="str" cm="1">
        <f t="array" ref="C143">IFERROR(INDEX({"Ridgetop","Other"},MATCH(TRUE,ISNUMBER(SEARCH({"Ridgetop","Other"},A143)),0)),"")</f>
        <v>Ridgetop</v>
      </c>
      <c r="D143" t="str" cm="1">
        <f t="array" ref="D143">IFERROR(INDEX({"Small","Medium","Large"},MATCH(TRUE,ISNUMBER(SEARCH({"Small","Medium","Large"},A143)),0)),"")</f>
        <v>Medium</v>
      </c>
      <c r="E143" t="str">
        <f t="shared" si="2"/>
        <v>0.036</v>
      </c>
    </row>
    <row r="144" spans="1:5" x14ac:dyDescent="0.3">
      <c r="A144" t="s">
        <v>142</v>
      </c>
      <c r="B144" t="str" cm="1">
        <f t="array" ref="B144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redcedar"},A144)),0)),"")</f>
        <v>Douglas-fir (west WA)</v>
      </c>
      <c r="C144" t="str" cm="1">
        <f t="array" ref="C144">IFERROR(INDEX({"Ridgetop","Other"},MATCH(TRUE,ISNUMBER(SEARCH({"Ridgetop","Other"},A144)),0)),"")</f>
        <v>Ridgetop</v>
      </c>
      <c r="D144" t="str" cm="1">
        <f t="array" ref="D144">IFERROR(INDEX({"Small","Medium","Large"},MATCH(TRUE,ISNUMBER(SEARCH({"Small","Medium","Large"},A144)),0)),"")</f>
        <v>Large</v>
      </c>
      <c r="E144" t="str">
        <f t="shared" si="2"/>
        <v>0.020</v>
      </c>
    </row>
    <row r="145" spans="1:5" x14ac:dyDescent="0.3">
      <c r="A145" t="s">
        <v>143</v>
      </c>
      <c r="B145" t="str" cm="1">
        <f t="array" ref="B145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redcedar"},A145)),0)),"")</f>
        <v>Douglas-fir (west WA)</v>
      </c>
      <c r="C145" t="str" cm="1">
        <f t="array" ref="C145">IFERROR(INDEX({"Ridgetop","Other"},MATCH(TRUE,ISNUMBER(SEARCH({"Ridgetop","Other"},A145)),0)),"")</f>
        <v>Other</v>
      </c>
      <c r="D145" t="str" cm="1">
        <f t="array" ref="D145">IFERROR(INDEX({"Small","Medium","Large"},MATCH(TRUE,ISNUMBER(SEARCH({"Small","Medium","Large"},A145)),0)),"")</f>
        <v>Small</v>
      </c>
      <c r="E145" t="str">
        <f t="shared" si="2"/>
        <v>0.032</v>
      </c>
    </row>
    <row r="146" spans="1:5" x14ac:dyDescent="0.3">
      <c r="A146" t="s">
        <v>144</v>
      </c>
      <c r="B146" t="str" cm="1">
        <f t="array" ref="B146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redcedar"},A146)),0)),"")</f>
        <v>Douglas-fir (west WA)</v>
      </c>
      <c r="C146" t="str" cm="1">
        <f t="array" ref="C146">IFERROR(INDEX({"Ridgetop","Other"},MATCH(TRUE,ISNUMBER(SEARCH({"Ridgetop","Other"},A146)),0)),"")</f>
        <v>Other</v>
      </c>
      <c r="D146" t="str" cm="1">
        <f t="array" ref="D146">IFERROR(INDEX({"Small","Medium","Large"},MATCH(TRUE,ISNUMBER(SEARCH({"Small","Medium","Large"},A146)),0)),"")</f>
        <v>Medium</v>
      </c>
      <c r="E146" t="str">
        <f t="shared" si="2"/>
        <v>0.016</v>
      </c>
    </row>
    <row r="147" spans="1:5" x14ac:dyDescent="0.3">
      <c r="A147" t="s">
        <v>145</v>
      </c>
      <c r="B147" t="str" cm="1">
        <f t="array" ref="B147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redcedar"},A147)),0)),"")</f>
        <v>Douglas-fir (west WA)</v>
      </c>
      <c r="C147" t="str" cm="1">
        <f t="array" ref="C147">IFERROR(INDEX({"Ridgetop","Other"},MATCH(TRUE,ISNUMBER(SEARCH({"Ridgetop","Other"},A147)),0)),"")</f>
        <v>Other</v>
      </c>
      <c r="D147" t="str" cm="1">
        <f t="array" ref="D147">IFERROR(INDEX({"Small","Medium","Large"},MATCH(TRUE,ISNUMBER(SEARCH({"Small","Medium","Large"},A147)),0)),"")</f>
        <v>Large</v>
      </c>
      <c r="E147" t="str">
        <f t="shared" si="2"/>
        <v>0.009</v>
      </c>
    </row>
    <row r="148" spans="1:5" x14ac:dyDescent="0.3">
      <c r="A148" t="s">
        <v>146</v>
      </c>
      <c r="B148" t="str" cm="1">
        <f t="array" ref="B148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redcedar"},A148)),0)),"")</f>
        <v>Douglas-fir (west WA)</v>
      </c>
      <c r="C148" t="str" cm="1">
        <f t="array" ref="C148">IFERROR(INDEX({"Ridgetop","Other"},MATCH(TRUE,ISNUMBER(SEARCH({"Ridgetop","Other"},A148)),0)),"")</f>
        <v>Other</v>
      </c>
      <c r="D148" t="str" cm="1">
        <f t="array" ref="D148">IFERROR(INDEX({"Small","Medium","Large"},MATCH(TRUE,ISNUMBER(SEARCH({"Small","Medium","Large"},A148)),0)),"")</f>
        <v>Small</v>
      </c>
      <c r="E148" t="str">
        <f t="shared" si="2"/>
        <v>0.036</v>
      </c>
    </row>
    <row r="149" spans="1:5" x14ac:dyDescent="0.3">
      <c r="A149" t="s">
        <v>147</v>
      </c>
      <c r="B149" t="str" cm="1">
        <f t="array" ref="B149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redcedar"},A149)),0)),"")</f>
        <v>Douglas-fir (west WA)</v>
      </c>
      <c r="C149" t="str" cm="1">
        <f t="array" ref="C149">IFERROR(INDEX({"Ridgetop","Other"},MATCH(TRUE,ISNUMBER(SEARCH({"Ridgetop","Other"},A149)),0)),"")</f>
        <v>Other</v>
      </c>
      <c r="D149" t="str" cm="1">
        <f t="array" ref="D149">IFERROR(INDEX({"Small","Medium","Large"},MATCH(TRUE,ISNUMBER(SEARCH({"Small","Medium","Large"},A149)),0)),"")</f>
        <v>Medium</v>
      </c>
      <c r="E149" t="str">
        <f t="shared" si="2"/>
        <v>0.018</v>
      </c>
    </row>
    <row r="150" spans="1:5" x14ac:dyDescent="0.3">
      <c r="A150" t="s">
        <v>148</v>
      </c>
      <c r="B150" t="str" cm="1">
        <f t="array" ref="B150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redcedar"},A150)),0)),"")</f>
        <v>Douglas-fir (west WA)</v>
      </c>
      <c r="C150" t="str" cm="1">
        <f t="array" ref="C150">IFERROR(INDEX({"Ridgetop","Other"},MATCH(TRUE,ISNUMBER(SEARCH({"Ridgetop","Other"},A150)),0)),"")</f>
        <v>Other</v>
      </c>
      <c r="D150" t="str" cm="1">
        <f t="array" ref="D150">IFERROR(INDEX({"Small","Medium","Large"},MATCH(TRUE,ISNUMBER(SEARCH({"Small","Medium","Large"},A150)),0)),"")</f>
        <v>Large</v>
      </c>
      <c r="E150" t="str">
        <f t="shared" si="2"/>
        <v>0.010</v>
      </c>
    </row>
    <row r="151" spans="1:5" x14ac:dyDescent="0.3">
      <c r="A151" t="s">
        <v>149</v>
      </c>
      <c r="B151" t="str" cm="1">
        <f t="array" ref="B151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redcedar"},A151)),0)),"")</f>
        <v>Douglas-fir (west WA)</v>
      </c>
      <c r="C151" t="str" cm="1">
        <f t="array" ref="C151">IFERROR(INDEX({"Ridgetop","Other"},MATCH(TRUE,ISNUMBER(SEARCH({"Ridgetop","Other"},A151)),0)),"")</f>
        <v>Other</v>
      </c>
      <c r="D151" t="str" cm="1">
        <f t="array" ref="D151">IFERROR(INDEX({"Small","Medium","Large"},MATCH(TRUE,ISNUMBER(SEARCH({"Small","Medium","Large"},A151)),0)),"")</f>
        <v>Small</v>
      </c>
      <c r="E151" t="str">
        <f t="shared" si="2"/>
        <v>0.043</v>
      </c>
    </row>
    <row r="152" spans="1:5" x14ac:dyDescent="0.3">
      <c r="A152" t="s">
        <v>150</v>
      </c>
      <c r="B152" t="str" cm="1">
        <f t="array" ref="B152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redcedar"},A152)),0)),"")</f>
        <v>Douglas-fir (west WA)</v>
      </c>
      <c r="C152" t="str" cm="1">
        <f t="array" ref="C152">IFERROR(INDEX({"Ridgetop","Other"},MATCH(TRUE,ISNUMBER(SEARCH({"Ridgetop","Other"},A152)),0)),"")</f>
        <v>Other</v>
      </c>
      <c r="D152" t="str" cm="1">
        <f t="array" ref="D152">IFERROR(INDEX({"Small","Medium","Large"},MATCH(TRUE,ISNUMBER(SEARCH({"Small","Medium","Large"},A152)),0)),"")</f>
        <v>Medium</v>
      </c>
      <c r="E152" t="str">
        <f t="shared" si="2"/>
        <v>0.022</v>
      </c>
    </row>
    <row r="153" spans="1:5" x14ac:dyDescent="0.3">
      <c r="A153" t="s">
        <v>151</v>
      </c>
      <c r="B153" t="str" cm="1">
        <f t="array" ref="B153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redcedar"},A153)),0)),"")</f>
        <v>Douglas-fir (west WA)</v>
      </c>
      <c r="C153" t="str" cm="1">
        <f t="array" ref="C153">IFERROR(INDEX({"Ridgetop","Other"},MATCH(TRUE,ISNUMBER(SEARCH({"Ridgetop","Other"},A153)),0)),"")</f>
        <v>Other</v>
      </c>
      <c r="D153" t="str" cm="1">
        <f t="array" ref="D153">IFERROR(INDEX({"Small","Medium","Large"},MATCH(TRUE,ISNUMBER(SEARCH({"Small","Medium","Large"},A153)),0)),"")</f>
        <v>Large</v>
      </c>
      <c r="E153" t="str">
        <f t="shared" si="2"/>
        <v>0.012</v>
      </c>
    </row>
    <row r="154" spans="1:5" x14ac:dyDescent="0.3">
      <c r="A154" t="s">
        <v>152</v>
      </c>
      <c r="B154" t="str" cm="1">
        <f t="array" ref="B154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redcedar"},A154)),0)),"")</f>
        <v>Douglas-fir (west WA)</v>
      </c>
      <c r="C154" t="str" cm="1">
        <f t="array" ref="C154">IFERROR(INDEX({"Ridgetop","Other"},MATCH(TRUE,ISNUMBER(SEARCH({"Ridgetop","Other"},A154)),0)),"")</f>
        <v>Ridgetop</v>
      </c>
      <c r="D154" t="str" cm="1">
        <f t="array" ref="D154">IFERROR(INDEX({"Small","Medium","Large"},MATCH(TRUE,ISNUMBER(SEARCH({"Small","Medium","Large"},A154)),0)),"")</f>
        <v>Small</v>
      </c>
      <c r="E154" t="str">
        <f t="shared" si="2"/>
        <v>0.061</v>
      </c>
    </row>
    <row r="155" spans="1:5" x14ac:dyDescent="0.3">
      <c r="A155" t="s">
        <v>153</v>
      </c>
      <c r="B155" t="str" cm="1">
        <f t="array" ref="B155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redcedar"},A155)),0)),"")</f>
        <v>Douglas-fir (west WA)</v>
      </c>
      <c r="C155" t="str" cm="1">
        <f t="array" ref="C155">IFERROR(INDEX({"Ridgetop","Other"},MATCH(TRUE,ISNUMBER(SEARCH({"Ridgetop","Other"},A155)),0)),"")</f>
        <v>Ridgetop</v>
      </c>
      <c r="D155" t="str" cm="1">
        <f t="array" ref="D155">IFERROR(INDEX({"Small","Medium","Large"},MATCH(TRUE,ISNUMBER(SEARCH({"Small","Medium","Large"},A155)),0)),"")</f>
        <v>Medium</v>
      </c>
      <c r="E155" t="str">
        <f t="shared" si="2"/>
        <v>0.031</v>
      </c>
    </row>
    <row r="156" spans="1:5" x14ac:dyDescent="0.3">
      <c r="A156" t="s">
        <v>154</v>
      </c>
      <c r="B156" t="str" cm="1">
        <f t="array" ref="B156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redcedar"},A156)),0)),"")</f>
        <v>Douglas-fir (west WA)</v>
      </c>
      <c r="C156" t="str" cm="1">
        <f t="array" ref="C156">IFERROR(INDEX({"Ridgetop","Other"},MATCH(TRUE,ISNUMBER(SEARCH({"Ridgetop","Other"},A156)),0)),"")</f>
        <v>Ridgetop</v>
      </c>
      <c r="D156" t="str" cm="1">
        <f t="array" ref="D156">IFERROR(INDEX({"Small","Medium","Large"},MATCH(TRUE,ISNUMBER(SEARCH({"Small","Medium","Large"},A156)),0)),"")</f>
        <v>Large</v>
      </c>
      <c r="E156" t="str">
        <f t="shared" si="2"/>
        <v>0.017</v>
      </c>
    </row>
    <row r="157" spans="1:5" x14ac:dyDescent="0.3">
      <c r="A157" t="s">
        <v>155</v>
      </c>
      <c r="B157" t="str" cm="1">
        <f t="array" ref="B157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redcedar"},A157)),0)),"")</f>
        <v>Douglas-fir (west WA)</v>
      </c>
      <c r="C157" t="str" cm="1">
        <f t="array" ref="C157">IFERROR(INDEX({"Ridgetop","Other"},MATCH(TRUE,ISNUMBER(SEARCH({"Ridgetop","Other"},A157)),0)),"")</f>
        <v>Ridgetop</v>
      </c>
      <c r="D157" t="str" cm="1">
        <f t="array" ref="D157">IFERROR(INDEX({"Small","Medium","Large"},MATCH(TRUE,ISNUMBER(SEARCH({"Small","Medium","Large"},A157)),0)),"")</f>
        <v>Small</v>
      </c>
      <c r="E157" t="str">
        <f t="shared" si="2"/>
        <v>0.061</v>
      </c>
    </row>
    <row r="158" spans="1:5" x14ac:dyDescent="0.3">
      <c r="A158" t="s">
        <v>156</v>
      </c>
      <c r="B158" t="str" cm="1">
        <f t="array" ref="B158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redcedar"},A158)),0)),"")</f>
        <v>Douglas-fir (west WA)</v>
      </c>
      <c r="C158" t="str" cm="1">
        <f t="array" ref="C158">IFERROR(INDEX({"Ridgetop","Other"},MATCH(TRUE,ISNUMBER(SEARCH({"Ridgetop","Other"},A158)),0)),"")</f>
        <v>Ridgetop</v>
      </c>
      <c r="D158" t="str" cm="1">
        <f t="array" ref="D158">IFERROR(INDEX({"Small","Medium","Large"},MATCH(TRUE,ISNUMBER(SEARCH({"Small","Medium","Large"},A158)),0)),"")</f>
        <v>Medium</v>
      </c>
      <c r="E158" t="str">
        <f t="shared" si="2"/>
        <v>0.031</v>
      </c>
    </row>
    <row r="159" spans="1:5" x14ac:dyDescent="0.3">
      <c r="A159" t="s">
        <v>157</v>
      </c>
      <c r="B159" t="str" cm="1">
        <f t="array" ref="B159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redcedar"},A159)),0)),"")</f>
        <v>Douglas-fir (west WA)</v>
      </c>
      <c r="C159" t="str" cm="1">
        <f t="array" ref="C159">IFERROR(INDEX({"Ridgetop","Other"},MATCH(TRUE,ISNUMBER(SEARCH({"Ridgetop","Other"},A159)),0)),"")</f>
        <v>Ridgetop</v>
      </c>
      <c r="D159" t="str" cm="1">
        <f t="array" ref="D159">IFERROR(INDEX({"Small","Medium","Large"},MATCH(TRUE,ISNUMBER(SEARCH({"Small","Medium","Large"},A159)),0)),"")</f>
        <v>Large</v>
      </c>
      <c r="E159" t="str">
        <f t="shared" si="2"/>
        <v>0.017</v>
      </c>
    </row>
    <row r="160" spans="1:5" x14ac:dyDescent="0.3">
      <c r="A160" t="s">
        <v>158</v>
      </c>
      <c r="B160" t="str" cm="1">
        <f t="array" ref="B160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redcedar"},A160)),0)),"")</f>
        <v>Douglas-fir (west WA)</v>
      </c>
      <c r="C160" t="str" cm="1">
        <f t="array" ref="C160">IFERROR(INDEX({"Ridgetop","Other"},MATCH(TRUE,ISNUMBER(SEARCH({"Ridgetop","Other"},A160)),0)),"")</f>
        <v>Ridgetop</v>
      </c>
      <c r="D160" t="str" cm="1">
        <f t="array" ref="D160">IFERROR(INDEX({"Small","Medium","Large"},MATCH(TRUE,ISNUMBER(SEARCH({"Small","Medium","Large"},A160)),0)),"")</f>
        <v>Small</v>
      </c>
      <c r="E160" t="str">
        <f t="shared" si="2"/>
        <v>0.065</v>
      </c>
    </row>
    <row r="161" spans="1:5" x14ac:dyDescent="0.3">
      <c r="A161" t="s">
        <v>159</v>
      </c>
      <c r="B161" t="str" cm="1">
        <f t="array" ref="B161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redcedar"},A161)),0)),"")</f>
        <v>Douglas-fir (west WA)</v>
      </c>
      <c r="C161" t="str" cm="1">
        <f t="array" ref="C161">IFERROR(INDEX({"Ridgetop","Other"},MATCH(TRUE,ISNUMBER(SEARCH({"Ridgetop","Other"},A161)),0)),"")</f>
        <v>Ridgetop</v>
      </c>
      <c r="D161" t="str" cm="1">
        <f t="array" ref="D161">IFERROR(INDEX({"Small","Medium","Large"},MATCH(TRUE,ISNUMBER(SEARCH({"Small","Medium","Large"},A161)),0)),"")</f>
        <v>Medium</v>
      </c>
      <c r="E161" t="str">
        <f t="shared" si="2"/>
        <v>0.032</v>
      </c>
    </row>
    <row r="162" spans="1:5" x14ac:dyDescent="0.3">
      <c r="A162" t="s">
        <v>160</v>
      </c>
      <c r="B162" t="str" cm="1">
        <f t="array" ref="B162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redcedar"},A162)),0)),"")</f>
        <v>Douglas-fir (west WA)</v>
      </c>
      <c r="C162" t="str" cm="1">
        <f t="array" ref="C162">IFERROR(INDEX({"Ridgetop","Other"},MATCH(TRUE,ISNUMBER(SEARCH({"Ridgetop","Other"},A162)),0)),"")</f>
        <v>Ridgetop</v>
      </c>
      <c r="D162" t="str" cm="1">
        <f t="array" ref="D162">IFERROR(INDEX({"Small","Medium","Large"},MATCH(TRUE,ISNUMBER(SEARCH({"Small","Medium","Large"},A162)),0)),"")</f>
        <v>Large</v>
      </c>
      <c r="E162" t="str">
        <f t="shared" si="2"/>
        <v>0.018</v>
      </c>
    </row>
    <row r="163" spans="1:5" x14ac:dyDescent="0.3">
      <c r="A163" t="s">
        <v>161</v>
      </c>
      <c r="B163" t="str" cm="1">
        <f t="array" ref="B163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redcedar"},A163)),0)),"")</f>
        <v>Douglas-fir (west WA)</v>
      </c>
      <c r="C163" t="str" cm="1">
        <f t="array" ref="C163">IFERROR(INDEX({"Ridgetop","Other"},MATCH(TRUE,ISNUMBER(SEARCH({"Ridgetop","Other"},A163)),0)),"")</f>
        <v>Other</v>
      </c>
      <c r="D163" t="str" cm="1">
        <f t="array" ref="D163">IFERROR(INDEX({"Small","Medium","Large"},MATCH(TRUE,ISNUMBER(SEARCH({"Small","Medium","Large"},A163)),0)),"")</f>
        <v>Small</v>
      </c>
      <c r="E163" t="str">
        <f t="shared" si="2"/>
        <v>0.040</v>
      </c>
    </row>
    <row r="164" spans="1:5" x14ac:dyDescent="0.3">
      <c r="A164" t="s">
        <v>162</v>
      </c>
      <c r="B164" t="str" cm="1">
        <f t="array" ref="B164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redcedar"},A164)),0)),"")</f>
        <v>Douglas-fir (west WA)</v>
      </c>
      <c r="C164" t="str" cm="1">
        <f t="array" ref="C164">IFERROR(INDEX({"Ridgetop","Other"},MATCH(TRUE,ISNUMBER(SEARCH({"Ridgetop","Other"},A164)),0)),"")</f>
        <v>Other</v>
      </c>
      <c r="D164" t="str" cm="1">
        <f t="array" ref="D164">IFERROR(INDEX({"Small","Medium","Large"},MATCH(TRUE,ISNUMBER(SEARCH({"Small","Medium","Large"},A164)),0)),"")</f>
        <v>Medium</v>
      </c>
      <c r="E164" t="str">
        <f t="shared" si="2"/>
        <v>0.020</v>
      </c>
    </row>
    <row r="165" spans="1:5" x14ac:dyDescent="0.3">
      <c r="A165" t="s">
        <v>163</v>
      </c>
      <c r="B165" t="str" cm="1">
        <f t="array" ref="B165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redcedar"},A165)),0)),"")</f>
        <v>Douglas-fir (west WA)</v>
      </c>
      <c r="C165" t="str" cm="1">
        <f t="array" ref="C165">IFERROR(INDEX({"Ridgetop","Other"},MATCH(TRUE,ISNUMBER(SEARCH({"Ridgetop","Other"},A165)),0)),"")</f>
        <v>Other</v>
      </c>
      <c r="D165" t="str" cm="1">
        <f t="array" ref="D165">IFERROR(INDEX({"Small","Medium","Large"},MATCH(TRUE,ISNUMBER(SEARCH({"Small","Medium","Large"},A165)),0)),"")</f>
        <v>Large</v>
      </c>
      <c r="E165" t="str">
        <f t="shared" si="2"/>
        <v>0.011</v>
      </c>
    </row>
    <row r="166" spans="1:5" x14ac:dyDescent="0.3">
      <c r="A166" t="s">
        <v>164</v>
      </c>
      <c r="B166" t="str" cm="1">
        <f t="array" ref="B166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redcedar"},A166)),0)),"")</f>
        <v>Douglas-fir (west WA)</v>
      </c>
      <c r="C166" t="str" cm="1">
        <f t="array" ref="C166">IFERROR(INDEX({"Ridgetop","Other"},MATCH(TRUE,ISNUMBER(SEARCH({"Ridgetop","Other"},A166)),0)),"")</f>
        <v>Other</v>
      </c>
      <c r="D166" t="str" cm="1">
        <f t="array" ref="D166">IFERROR(INDEX({"Small","Medium","Large"},MATCH(TRUE,ISNUMBER(SEARCH({"Small","Medium","Large"},A166)),0)),"")</f>
        <v>Small</v>
      </c>
      <c r="E166" t="str">
        <f t="shared" si="2"/>
        <v>0.043</v>
      </c>
    </row>
    <row r="167" spans="1:5" x14ac:dyDescent="0.3">
      <c r="A167" t="s">
        <v>165</v>
      </c>
      <c r="B167" t="str" cm="1">
        <f t="array" ref="B167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redcedar"},A167)),0)),"")</f>
        <v>Douglas-fir (west WA)</v>
      </c>
      <c r="C167" t="str" cm="1">
        <f t="array" ref="C167">IFERROR(INDEX({"Ridgetop","Other"},MATCH(TRUE,ISNUMBER(SEARCH({"Ridgetop","Other"},A167)),0)),"")</f>
        <v>Other</v>
      </c>
      <c r="D167" t="str" cm="1">
        <f t="array" ref="D167">IFERROR(INDEX({"Small","Medium","Large"},MATCH(TRUE,ISNUMBER(SEARCH({"Small","Medium","Large"},A167)),0)),"")</f>
        <v>Medium</v>
      </c>
      <c r="E167" t="str">
        <f t="shared" si="2"/>
        <v>0.022</v>
      </c>
    </row>
    <row r="168" spans="1:5" x14ac:dyDescent="0.3">
      <c r="A168" t="s">
        <v>166</v>
      </c>
      <c r="B168" t="str" cm="1">
        <f t="array" ref="B168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redcedar"},A168)),0)),"")</f>
        <v>Douglas-fir (west WA)</v>
      </c>
      <c r="C168" t="str" cm="1">
        <f t="array" ref="C168">IFERROR(INDEX({"Ridgetop","Other"},MATCH(TRUE,ISNUMBER(SEARCH({"Ridgetop","Other"},A168)),0)),"")</f>
        <v>Other</v>
      </c>
      <c r="D168" t="str" cm="1">
        <f t="array" ref="D168">IFERROR(INDEX({"Small","Medium","Large"},MATCH(TRUE,ISNUMBER(SEARCH({"Small","Medium","Large"},A168)),0)),"")</f>
        <v>Large</v>
      </c>
      <c r="E168" t="str">
        <f t="shared" si="2"/>
        <v>0.012</v>
      </c>
    </row>
    <row r="169" spans="1:5" x14ac:dyDescent="0.3">
      <c r="A169" t="s">
        <v>167</v>
      </c>
      <c r="B169" t="str" cm="1">
        <f t="array" ref="B169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redcedar"},A169)),0)),"")</f>
        <v>Douglas-fir (west WA)</v>
      </c>
      <c r="C169" t="str" cm="1">
        <f t="array" ref="C169">IFERROR(INDEX({"Ridgetop","Other"},MATCH(TRUE,ISNUMBER(SEARCH({"Ridgetop","Other"},A169)),0)),"")</f>
        <v>Other</v>
      </c>
      <c r="D169" t="str" cm="1">
        <f t="array" ref="D169">IFERROR(INDEX({"Small","Medium","Large"},MATCH(TRUE,ISNUMBER(SEARCH({"Small","Medium","Large"},A169)),0)),"")</f>
        <v>Small</v>
      </c>
      <c r="E169" t="str">
        <f t="shared" si="2"/>
        <v>0.043</v>
      </c>
    </row>
    <row r="170" spans="1:5" x14ac:dyDescent="0.3">
      <c r="A170" t="s">
        <v>168</v>
      </c>
      <c r="B170" t="str" cm="1">
        <f t="array" ref="B170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redcedar"},A170)),0)),"")</f>
        <v>Douglas-fir (west WA)</v>
      </c>
      <c r="C170" t="str" cm="1">
        <f t="array" ref="C170">IFERROR(INDEX({"Ridgetop","Other"},MATCH(TRUE,ISNUMBER(SEARCH({"Ridgetop","Other"},A170)),0)),"")</f>
        <v>Other</v>
      </c>
      <c r="D170" t="str" cm="1">
        <f t="array" ref="D170">IFERROR(INDEX({"Small","Medium","Large"},MATCH(TRUE,ISNUMBER(SEARCH({"Small","Medium","Large"},A170)),0)),"")</f>
        <v>Medium</v>
      </c>
      <c r="E170" t="str">
        <f t="shared" si="2"/>
        <v>0.022</v>
      </c>
    </row>
    <row r="171" spans="1:5" x14ac:dyDescent="0.3">
      <c r="A171" t="s">
        <v>169</v>
      </c>
      <c r="B171" t="str" cm="1">
        <f t="array" ref="B171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redcedar"},A171)),0)),"")</f>
        <v>Douglas-fir (west WA)</v>
      </c>
      <c r="C171" t="str" cm="1">
        <f t="array" ref="C171">IFERROR(INDEX({"Ridgetop","Other"},MATCH(TRUE,ISNUMBER(SEARCH({"Ridgetop","Other"},A171)),0)),"")</f>
        <v>Other</v>
      </c>
      <c r="D171" t="str" cm="1">
        <f t="array" ref="D171">IFERROR(INDEX({"Small","Medium","Large"},MATCH(TRUE,ISNUMBER(SEARCH({"Small","Medium","Large"},A171)),0)),"")</f>
        <v>Large</v>
      </c>
      <c r="E171" t="str">
        <f t="shared" si="2"/>
        <v>0.012</v>
      </c>
    </row>
    <row r="172" spans="1:5" x14ac:dyDescent="0.3">
      <c r="A172" t="s">
        <v>170</v>
      </c>
      <c r="B172" t="str" cm="1">
        <f t="array" ref="B172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redcedar"},A172)),0)),"")</f>
        <v>Douglas-fir (west WA)</v>
      </c>
      <c r="C172" t="str" cm="1">
        <f t="array" ref="C172">IFERROR(INDEX({"Ridgetop","Other"},MATCH(TRUE,ISNUMBER(SEARCH({"Ridgetop","Other"},A172)),0)),"")</f>
        <v>Ridgetop</v>
      </c>
      <c r="D172" t="str" cm="1">
        <f t="array" ref="D172">IFERROR(INDEX({"Small","Medium","Large"},MATCH(TRUE,ISNUMBER(SEARCH({"Small","Medium","Large"},A172)),0)),"")</f>
        <v>Small</v>
      </c>
      <c r="E172" t="str">
        <f t="shared" si="2"/>
        <v>0.072</v>
      </c>
    </row>
    <row r="173" spans="1:5" x14ac:dyDescent="0.3">
      <c r="A173" t="s">
        <v>171</v>
      </c>
      <c r="B173" t="str" cm="1">
        <f t="array" ref="B173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redcedar"},A173)),0)),"")</f>
        <v>Douglas-fir (west WA)</v>
      </c>
      <c r="C173" t="str" cm="1">
        <f t="array" ref="C173">IFERROR(INDEX({"Ridgetop","Other"},MATCH(TRUE,ISNUMBER(SEARCH({"Ridgetop","Other"},A173)),0)),"")</f>
        <v>Ridgetop</v>
      </c>
      <c r="D173" t="str" cm="1">
        <f t="array" ref="D173">IFERROR(INDEX({"Small","Medium","Large"},MATCH(TRUE,ISNUMBER(SEARCH({"Small","Medium","Large"},A173)),0)),"")</f>
        <v>Medium</v>
      </c>
      <c r="E173" t="str">
        <f t="shared" si="2"/>
        <v>0.036</v>
      </c>
    </row>
    <row r="174" spans="1:5" x14ac:dyDescent="0.3">
      <c r="A174" t="s">
        <v>172</v>
      </c>
      <c r="B174" t="str" cm="1">
        <f t="array" ref="B174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redcedar"},A174)),0)),"")</f>
        <v>Douglas-fir (west WA)</v>
      </c>
      <c r="C174" t="str" cm="1">
        <f t="array" ref="C174">IFERROR(INDEX({"Ridgetop","Other"},MATCH(TRUE,ISNUMBER(SEARCH({"Ridgetop","Other"},A174)),0)),"")</f>
        <v>Ridgetop</v>
      </c>
      <c r="D174" t="str" cm="1">
        <f t="array" ref="D174">IFERROR(INDEX({"Small","Medium","Large"},MATCH(TRUE,ISNUMBER(SEARCH({"Small","Medium","Large"},A174)),0)),"")</f>
        <v>Large</v>
      </c>
      <c r="E174" t="str">
        <f t="shared" si="2"/>
        <v>0.020</v>
      </c>
    </row>
    <row r="175" spans="1:5" x14ac:dyDescent="0.3">
      <c r="A175" t="s">
        <v>173</v>
      </c>
      <c r="B175" t="str" cm="1">
        <f t="array" ref="B175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redcedar"},A175)),0)),"")</f>
        <v>Douglas-fir (west WA)</v>
      </c>
      <c r="C175" t="str" cm="1">
        <f t="array" ref="C175">IFERROR(INDEX({"Ridgetop","Other"},MATCH(TRUE,ISNUMBER(SEARCH({"Ridgetop","Other"},A175)),0)),"")</f>
        <v>Ridgetop</v>
      </c>
      <c r="D175" t="str" cm="1">
        <f t="array" ref="D175">IFERROR(INDEX({"Small","Medium","Large"},MATCH(TRUE,ISNUMBER(SEARCH({"Small","Medium","Large"},A175)),0)),"")</f>
        <v>Small</v>
      </c>
      <c r="E175" t="str">
        <f t="shared" si="2"/>
        <v>0.072</v>
      </c>
    </row>
    <row r="176" spans="1:5" x14ac:dyDescent="0.3">
      <c r="A176" t="s">
        <v>174</v>
      </c>
      <c r="B176" t="str" cm="1">
        <f t="array" ref="B176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redcedar"},A176)),0)),"")</f>
        <v>Douglas-fir (west WA)</v>
      </c>
      <c r="C176" t="str" cm="1">
        <f t="array" ref="C176">IFERROR(INDEX({"Ridgetop","Other"},MATCH(TRUE,ISNUMBER(SEARCH({"Ridgetop","Other"},A176)),0)),"")</f>
        <v>Ridgetop</v>
      </c>
      <c r="D176" t="str" cm="1">
        <f t="array" ref="D176">IFERROR(INDEX({"Small","Medium","Large"},MATCH(TRUE,ISNUMBER(SEARCH({"Small","Medium","Large"},A176)),0)),"")</f>
        <v>Medium</v>
      </c>
      <c r="E176" t="str">
        <f t="shared" si="2"/>
        <v>0.036</v>
      </c>
    </row>
    <row r="177" spans="1:5" x14ac:dyDescent="0.3">
      <c r="A177" t="s">
        <v>175</v>
      </c>
      <c r="B177" t="str" cm="1">
        <f t="array" ref="B177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redcedar"},A177)),0)),"")</f>
        <v>Douglas-fir (west WA)</v>
      </c>
      <c r="C177" t="str" cm="1">
        <f t="array" ref="C177">IFERROR(INDEX({"Ridgetop","Other"},MATCH(TRUE,ISNUMBER(SEARCH({"Ridgetop","Other"},A177)),0)),"")</f>
        <v>Ridgetop</v>
      </c>
      <c r="D177" t="str" cm="1">
        <f t="array" ref="D177">IFERROR(INDEX({"Small","Medium","Large"},MATCH(TRUE,ISNUMBER(SEARCH({"Small","Medium","Large"},A177)),0)),"")</f>
        <v>Large</v>
      </c>
      <c r="E177" t="str">
        <f t="shared" si="2"/>
        <v>0.020</v>
      </c>
    </row>
    <row r="178" spans="1:5" x14ac:dyDescent="0.3">
      <c r="A178" t="s">
        <v>176</v>
      </c>
      <c r="B178" t="str" cm="1">
        <f t="array" ref="B178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redcedar"},A178)),0)),"")</f>
        <v>Douglas-fir (west WA)</v>
      </c>
      <c r="C178" t="str" cm="1">
        <f t="array" ref="C178">IFERROR(INDEX({"Ridgetop","Other"},MATCH(TRUE,ISNUMBER(SEARCH({"Ridgetop","Other"},A178)),0)),"")</f>
        <v>Ridgetop</v>
      </c>
      <c r="D178" t="str" cm="1">
        <f t="array" ref="D178">IFERROR(INDEX({"Small","Medium","Large"},MATCH(TRUE,ISNUMBER(SEARCH({"Small","Medium","Large"},A178)),0)),"")</f>
        <v>Small</v>
      </c>
      <c r="E178" t="str">
        <f t="shared" si="2"/>
        <v>0.072</v>
      </c>
    </row>
    <row r="179" spans="1:5" x14ac:dyDescent="0.3">
      <c r="A179" t="s">
        <v>177</v>
      </c>
      <c r="B179" t="str" cm="1">
        <f t="array" ref="B179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redcedar"},A179)),0)),"")</f>
        <v>Douglas-fir (west WA)</v>
      </c>
      <c r="C179" t="str" cm="1">
        <f t="array" ref="C179">IFERROR(INDEX({"Ridgetop","Other"},MATCH(TRUE,ISNUMBER(SEARCH({"Ridgetop","Other"},A179)),0)),"")</f>
        <v>Ridgetop</v>
      </c>
      <c r="D179" t="str" cm="1">
        <f t="array" ref="D179">IFERROR(INDEX({"Small","Medium","Large"},MATCH(TRUE,ISNUMBER(SEARCH({"Small","Medium","Large"},A179)),0)),"")</f>
        <v>Medium</v>
      </c>
      <c r="E179" t="str">
        <f t="shared" si="2"/>
        <v>0.036</v>
      </c>
    </row>
    <row r="180" spans="1:5" x14ac:dyDescent="0.3">
      <c r="A180" t="s">
        <v>178</v>
      </c>
      <c r="B180" t="str" cm="1">
        <f t="array" ref="B180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redcedar"},A180)),0)),"")</f>
        <v>Douglas-fir (west WA)</v>
      </c>
      <c r="C180" t="str" cm="1">
        <f t="array" ref="C180">IFERROR(INDEX({"Ridgetop","Other"},MATCH(TRUE,ISNUMBER(SEARCH({"Ridgetop","Other"},A180)),0)),"")</f>
        <v>Ridgetop</v>
      </c>
      <c r="D180" t="str" cm="1">
        <f t="array" ref="D180">IFERROR(INDEX({"Small","Medium","Large"},MATCH(TRUE,ISNUMBER(SEARCH({"Small","Medium","Large"},A180)),0)),"")</f>
        <v>Large</v>
      </c>
      <c r="E180" t="str">
        <f t="shared" si="2"/>
        <v>0.020</v>
      </c>
    </row>
    <row r="181" spans="1:5" x14ac:dyDescent="0.3">
      <c r="A181" t="s">
        <v>179</v>
      </c>
      <c r="B181" t="str" cm="1">
        <f t="array" ref="B181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redcedar"},A181)),0)),"")</f>
        <v>Douglas-fir (west WA)</v>
      </c>
      <c r="C181" t="str" cm="1">
        <f t="array" ref="C181">IFERROR(INDEX({"Ridgetop","Other"},MATCH(TRUE,ISNUMBER(SEARCH({"Ridgetop","Other"},A181)),0)),"")</f>
        <v>Other</v>
      </c>
      <c r="D181" t="str" cm="1">
        <f t="array" ref="D181">IFERROR(INDEX({"Small","Medium","Large"},MATCH(TRUE,ISNUMBER(SEARCH({"Small","Medium","Large"},A181)),0)),"")</f>
        <v>Small</v>
      </c>
      <c r="E181" t="str">
        <f t="shared" si="2"/>
        <v>0.035</v>
      </c>
    </row>
    <row r="182" spans="1:5" x14ac:dyDescent="0.3">
      <c r="A182" t="s">
        <v>180</v>
      </c>
      <c r="B182" t="str" cm="1">
        <f t="array" ref="B182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redcedar"},A182)),0)),"")</f>
        <v>Douglas-fir (west WA)</v>
      </c>
      <c r="C182" t="str" cm="1">
        <f t="array" ref="C182">IFERROR(INDEX({"Ridgetop","Other"},MATCH(TRUE,ISNUMBER(SEARCH({"Ridgetop","Other"},A182)),0)),"")</f>
        <v>Other</v>
      </c>
      <c r="D182" t="str" cm="1">
        <f t="array" ref="D182">IFERROR(INDEX({"Small","Medium","Large"},MATCH(TRUE,ISNUMBER(SEARCH({"Small","Medium","Large"},A182)),0)),"")</f>
        <v>Medium</v>
      </c>
      <c r="E182" t="str">
        <f t="shared" si="2"/>
        <v>0.018</v>
      </c>
    </row>
    <row r="183" spans="1:5" x14ac:dyDescent="0.3">
      <c r="A183" t="s">
        <v>181</v>
      </c>
      <c r="B183" t="str" cm="1">
        <f t="array" ref="B183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redcedar"},A183)),0)),"")</f>
        <v>Douglas-fir (west WA)</v>
      </c>
      <c r="C183" t="str" cm="1">
        <f t="array" ref="C183">IFERROR(INDEX({"Ridgetop","Other"},MATCH(TRUE,ISNUMBER(SEARCH({"Ridgetop","Other"},A183)),0)),"")</f>
        <v>Other</v>
      </c>
      <c r="D183" t="str" cm="1">
        <f t="array" ref="D183">IFERROR(INDEX({"Small","Medium","Large"},MATCH(TRUE,ISNUMBER(SEARCH({"Small","Medium","Large"},A183)),0)),"")</f>
        <v>Large</v>
      </c>
      <c r="E183" t="str">
        <f t="shared" si="2"/>
        <v>0.010</v>
      </c>
    </row>
    <row r="184" spans="1:5" x14ac:dyDescent="0.3">
      <c r="A184" t="s">
        <v>182</v>
      </c>
      <c r="B184" t="str" cm="1">
        <f t="array" ref="B184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redcedar"},A184)),0)),"")</f>
        <v>Douglas-fir (west WA)</v>
      </c>
      <c r="C184" t="str" cm="1">
        <f t="array" ref="C184">IFERROR(INDEX({"Ridgetop","Other"},MATCH(TRUE,ISNUMBER(SEARCH({"Ridgetop","Other"},A184)),0)),"")</f>
        <v>Other</v>
      </c>
      <c r="D184" t="str" cm="1">
        <f t="array" ref="D184">IFERROR(INDEX({"Small","Medium","Large"},MATCH(TRUE,ISNUMBER(SEARCH({"Small","Medium","Large"},A184)),0)),"")</f>
        <v>Small</v>
      </c>
      <c r="E184" t="str">
        <f t="shared" si="2"/>
        <v>0.040</v>
      </c>
    </row>
    <row r="185" spans="1:5" x14ac:dyDescent="0.3">
      <c r="A185" t="s">
        <v>183</v>
      </c>
      <c r="B185" t="str" cm="1">
        <f t="array" ref="B185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redcedar"},A185)),0)),"")</f>
        <v>Douglas-fir (west WA)</v>
      </c>
      <c r="C185" t="str" cm="1">
        <f t="array" ref="C185">IFERROR(INDEX({"Ridgetop","Other"},MATCH(TRUE,ISNUMBER(SEARCH({"Ridgetop","Other"},A185)),0)),"")</f>
        <v>Other</v>
      </c>
      <c r="D185" t="str" cm="1">
        <f t="array" ref="D185">IFERROR(INDEX({"Small","Medium","Large"},MATCH(TRUE,ISNUMBER(SEARCH({"Small","Medium","Large"},A185)),0)),"")</f>
        <v>Medium</v>
      </c>
      <c r="E185" t="str">
        <f t="shared" si="2"/>
        <v>0.020</v>
      </c>
    </row>
    <row r="186" spans="1:5" x14ac:dyDescent="0.3">
      <c r="A186" t="s">
        <v>184</v>
      </c>
      <c r="B186" t="str" cm="1">
        <f t="array" ref="B186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redcedar"},A186)),0)),"")</f>
        <v>Douglas-fir (west WA)</v>
      </c>
      <c r="C186" t="str" cm="1">
        <f t="array" ref="C186">IFERROR(INDEX({"Ridgetop","Other"},MATCH(TRUE,ISNUMBER(SEARCH({"Ridgetop","Other"},A186)),0)),"")</f>
        <v>Other</v>
      </c>
      <c r="D186" t="str" cm="1">
        <f t="array" ref="D186">IFERROR(INDEX({"Small","Medium","Large"},MATCH(TRUE,ISNUMBER(SEARCH({"Small","Medium","Large"},A186)),0)),"")</f>
        <v>Large</v>
      </c>
      <c r="E186" t="str">
        <f t="shared" si="2"/>
        <v>0.011</v>
      </c>
    </row>
    <row r="187" spans="1:5" x14ac:dyDescent="0.3">
      <c r="A187" t="s">
        <v>185</v>
      </c>
      <c r="B187" t="str" cm="1">
        <f t="array" ref="B187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redcedar"},A187)),0)),"")</f>
        <v>Douglas-fir (west WA)</v>
      </c>
      <c r="C187" t="str" cm="1">
        <f t="array" ref="C187">IFERROR(INDEX({"Ridgetop","Other"},MATCH(TRUE,ISNUMBER(SEARCH({"Ridgetop","Other"},A187)),0)),"")</f>
        <v>Other</v>
      </c>
      <c r="D187" t="str" cm="1">
        <f t="array" ref="D187">IFERROR(INDEX({"Small","Medium","Large"},MATCH(TRUE,ISNUMBER(SEARCH({"Small","Medium","Large"},A187)),0)),"")</f>
        <v>Small</v>
      </c>
      <c r="E187" t="str">
        <f t="shared" si="2"/>
        <v>0.043</v>
      </c>
    </row>
    <row r="188" spans="1:5" x14ac:dyDescent="0.3">
      <c r="A188" t="s">
        <v>186</v>
      </c>
      <c r="B188" t="str" cm="1">
        <f t="array" ref="B188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redcedar"},A188)),0)),"")</f>
        <v>Douglas-fir (west WA)</v>
      </c>
      <c r="C188" t="str" cm="1">
        <f t="array" ref="C188">IFERROR(INDEX({"Ridgetop","Other"},MATCH(TRUE,ISNUMBER(SEARCH({"Ridgetop","Other"},A188)),0)),"")</f>
        <v>Other</v>
      </c>
      <c r="D188" t="str" cm="1">
        <f t="array" ref="D188">IFERROR(INDEX({"Small","Medium","Large"},MATCH(TRUE,ISNUMBER(SEARCH({"Small","Medium","Large"},A188)),0)),"")</f>
        <v>Medium</v>
      </c>
      <c r="E188" t="str">
        <f t="shared" si="2"/>
        <v>0.022</v>
      </c>
    </row>
    <row r="189" spans="1:5" x14ac:dyDescent="0.3">
      <c r="A189" t="s">
        <v>187</v>
      </c>
      <c r="B189" t="str" cm="1">
        <f t="array" ref="B189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redcedar"},A189)),0)),"")</f>
        <v>Douglas-fir (west WA)</v>
      </c>
      <c r="C189" t="str" cm="1">
        <f t="array" ref="C189">IFERROR(INDEX({"Ridgetop","Other"},MATCH(TRUE,ISNUMBER(SEARCH({"Ridgetop","Other"},A189)),0)),"")</f>
        <v>Other</v>
      </c>
      <c r="D189" t="str" cm="1">
        <f t="array" ref="D189">IFERROR(INDEX({"Small","Medium","Large"},MATCH(TRUE,ISNUMBER(SEARCH({"Small","Medium","Large"},A189)),0)),"")</f>
        <v>Large</v>
      </c>
      <c r="E189" t="str">
        <f t="shared" si="2"/>
        <v>0.012</v>
      </c>
    </row>
    <row r="190" spans="1:5" x14ac:dyDescent="0.3">
      <c r="A190" t="s">
        <v>188</v>
      </c>
      <c r="B190" t="str" cm="1">
        <f t="array" ref="B190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redcedar"},A190)),0)),"")</f>
        <v>Douglas-fir (west WA)</v>
      </c>
      <c r="C190" t="str" cm="1">
        <f t="array" ref="C190">IFERROR(INDEX({"Ridgetop","Other"},MATCH(TRUE,ISNUMBER(SEARCH({"Ridgetop","Other"},A190)),0)),"")</f>
        <v>Ridgetop</v>
      </c>
      <c r="D190" t="str" cm="1">
        <f t="array" ref="D190">IFERROR(INDEX({"Small","Medium","Large"},MATCH(TRUE,ISNUMBER(SEARCH({"Small","Medium","Large"},A190)),0)),"")</f>
        <v>Small</v>
      </c>
      <c r="E190" t="str">
        <f t="shared" si="2"/>
        <v>0.067</v>
      </c>
    </row>
    <row r="191" spans="1:5" x14ac:dyDescent="0.3">
      <c r="A191" t="s">
        <v>189</v>
      </c>
      <c r="B191" t="str" cm="1">
        <f t="array" ref="B191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redcedar"},A191)),0)),"")</f>
        <v>Douglas-fir (west WA)</v>
      </c>
      <c r="C191" t="str" cm="1">
        <f t="array" ref="C191">IFERROR(INDEX({"Ridgetop","Other"},MATCH(TRUE,ISNUMBER(SEARCH({"Ridgetop","Other"},A191)),0)),"")</f>
        <v>Ridgetop</v>
      </c>
      <c r="D191" t="str" cm="1">
        <f t="array" ref="D191">IFERROR(INDEX({"Small","Medium","Large"},MATCH(TRUE,ISNUMBER(SEARCH({"Small","Medium","Large"},A191)),0)),"")</f>
        <v>Medium</v>
      </c>
      <c r="E191" t="str">
        <f t="shared" si="2"/>
        <v>0.033</v>
      </c>
    </row>
    <row r="192" spans="1:5" x14ac:dyDescent="0.3">
      <c r="A192" t="s">
        <v>190</v>
      </c>
      <c r="B192" t="str" cm="1">
        <f t="array" ref="B192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redcedar"},A192)),0)),"")</f>
        <v>Douglas-fir (west WA)</v>
      </c>
      <c r="C192" t="str" cm="1">
        <f t="array" ref="C192">IFERROR(INDEX({"Ridgetop","Other"},MATCH(TRUE,ISNUMBER(SEARCH({"Ridgetop","Other"},A192)),0)),"")</f>
        <v>Ridgetop</v>
      </c>
      <c r="D192" t="str" cm="1">
        <f t="array" ref="D192">IFERROR(INDEX({"Small","Medium","Large"},MATCH(TRUE,ISNUMBER(SEARCH({"Small","Medium","Large"},A192)),0)),"")</f>
        <v>Large</v>
      </c>
      <c r="E192" t="str">
        <f t="shared" si="2"/>
        <v>0.019</v>
      </c>
    </row>
    <row r="193" spans="1:5" x14ac:dyDescent="0.3">
      <c r="A193" t="s">
        <v>191</v>
      </c>
      <c r="B193" t="str" cm="1">
        <f t="array" ref="B193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redcedar"},A193)),0)),"")</f>
        <v>Douglas-fir (west WA)</v>
      </c>
      <c r="C193" t="str" cm="1">
        <f t="array" ref="C193">IFERROR(INDEX({"Ridgetop","Other"},MATCH(TRUE,ISNUMBER(SEARCH({"Ridgetop","Other"},A193)),0)),"")</f>
        <v>Ridgetop</v>
      </c>
      <c r="D193" t="str" cm="1">
        <f t="array" ref="D193">IFERROR(INDEX({"Small","Medium","Large"},MATCH(TRUE,ISNUMBER(SEARCH({"Small","Medium","Large"},A193)),0)),"")</f>
        <v>Small</v>
      </c>
      <c r="E193" t="str">
        <f t="shared" si="2"/>
        <v>0.067</v>
      </c>
    </row>
    <row r="194" spans="1:5" x14ac:dyDescent="0.3">
      <c r="A194" t="s">
        <v>192</v>
      </c>
      <c r="B194" t="str" cm="1">
        <f t="array" ref="B194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redcedar"},A194)),0)),"")</f>
        <v>Douglas-fir (west WA)</v>
      </c>
      <c r="C194" t="str" cm="1">
        <f t="array" ref="C194">IFERROR(INDEX({"Ridgetop","Other"},MATCH(TRUE,ISNUMBER(SEARCH({"Ridgetop","Other"},A194)),0)),"")</f>
        <v>Ridgetop</v>
      </c>
      <c r="D194" t="str" cm="1">
        <f t="array" ref="D194">IFERROR(INDEX({"Small","Medium","Large"},MATCH(TRUE,ISNUMBER(SEARCH({"Small","Medium","Large"},A194)),0)),"")</f>
        <v>Medium</v>
      </c>
      <c r="E194" t="str">
        <f t="shared" si="2"/>
        <v>0.033</v>
      </c>
    </row>
    <row r="195" spans="1:5" x14ac:dyDescent="0.3">
      <c r="A195" t="s">
        <v>193</v>
      </c>
      <c r="B195" t="str" cm="1">
        <f t="array" ref="B195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redcedar"},A195)),0)),"")</f>
        <v>Douglas-fir (west WA)</v>
      </c>
      <c r="C195" t="str" cm="1">
        <f t="array" ref="C195">IFERROR(INDEX({"Ridgetop","Other"},MATCH(TRUE,ISNUMBER(SEARCH({"Ridgetop","Other"},A195)),0)),"")</f>
        <v>Ridgetop</v>
      </c>
      <c r="D195" t="str" cm="1">
        <f t="array" ref="D195">IFERROR(INDEX({"Small","Medium","Large"},MATCH(TRUE,ISNUMBER(SEARCH({"Small","Medium","Large"},A195)),0)),"")</f>
        <v>Large</v>
      </c>
      <c r="E195" t="str">
        <f t="shared" ref="E195:E258" si="3">RIGHT(A195,LEN(A195)-FIND("@",SUBSTITUTE(A195," ","@",LEN(A195)-LEN(SUBSTITUTE(A195," ","")))))</f>
        <v>0.019</v>
      </c>
    </row>
    <row r="196" spans="1:5" x14ac:dyDescent="0.3">
      <c r="A196" t="s">
        <v>194</v>
      </c>
      <c r="B196" t="str" cm="1">
        <f t="array" ref="B196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redcedar"},A196)),0)),"")</f>
        <v>Douglas-fir (west WA)</v>
      </c>
      <c r="C196" t="str" cm="1">
        <f t="array" ref="C196">IFERROR(INDEX({"Ridgetop","Other"},MATCH(TRUE,ISNUMBER(SEARCH({"Ridgetop","Other"},A196)),0)),"")</f>
        <v>Ridgetop</v>
      </c>
      <c r="D196" t="str" cm="1">
        <f t="array" ref="D196">IFERROR(INDEX({"Small","Medium","Large"},MATCH(TRUE,ISNUMBER(SEARCH({"Small","Medium","Large"},A196)),0)),"")</f>
        <v>Small</v>
      </c>
      <c r="E196" t="str">
        <f t="shared" si="3"/>
        <v>0.068</v>
      </c>
    </row>
    <row r="197" spans="1:5" x14ac:dyDescent="0.3">
      <c r="A197" t="s">
        <v>195</v>
      </c>
      <c r="B197" t="str" cm="1">
        <f t="array" ref="B197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redcedar"},A197)),0)),"")</f>
        <v>Douglas-fir (west WA)</v>
      </c>
      <c r="C197" t="str" cm="1">
        <f t="array" ref="C197">IFERROR(INDEX({"Ridgetop","Other"},MATCH(TRUE,ISNUMBER(SEARCH({"Ridgetop","Other"},A197)),0)),"")</f>
        <v>Ridgetop</v>
      </c>
      <c r="D197" t="str" cm="1">
        <f t="array" ref="D197">IFERROR(INDEX({"Small","Medium","Large"},MATCH(TRUE,ISNUMBER(SEARCH({"Small","Medium","Large"},A197)),0)),"")</f>
        <v>Medium</v>
      </c>
      <c r="E197" t="str">
        <f t="shared" si="3"/>
        <v>0.034</v>
      </c>
    </row>
    <row r="198" spans="1:5" x14ac:dyDescent="0.3">
      <c r="A198" t="s">
        <v>196</v>
      </c>
      <c r="B198" t="str" cm="1">
        <f t="array" ref="B198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redcedar"},A198)),0)),"")</f>
        <v>Douglas-fir (west WA)</v>
      </c>
      <c r="C198" t="str" cm="1">
        <f t="array" ref="C198">IFERROR(INDEX({"Ridgetop","Other"},MATCH(TRUE,ISNUMBER(SEARCH({"Ridgetop","Other"},A198)),0)),"")</f>
        <v>Ridgetop</v>
      </c>
      <c r="D198" t="str" cm="1">
        <f t="array" ref="D198">IFERROR(INDEX({"Small","Medium","Large"},MATCH(TRUE,ISNUMBER(SEARCH({"Small","Medium","Large"},A198)),0)),"")</f>
        <v>Large</v>
      </c>
      <c r="E198" t="str">
        <f t="shared" si="3"/>
        <v>0.019</v>
      </c>
    </row>
    <row r="199" spans="1:5" x14ac:dyDescent="0.3">
      <c r="A199" t="s">
        <v>197</v>
      </c>
      <c r="B199" t="str" cm="1">
        <f t="array" ref="B199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redcedar"},A199)),0)),"")</f>
        <v>Douglas-fir (west WA)</v>
      </c>
      <c r="C199" t="str" cm="1">
        <f t="array" ref="C199">IFERROR(INDEX({"Ridgetop","Other"},MATCH(TRUE,ISNUMBER(SEARCH({"Ridgetop","Other"},A199)),0)),"")</f>
        <v>Other</v>
      </c>
      <c r="D199" t="str" cm="1">
        <f t="array" ref="D199">IFERROR(INDEX({"Small","Medium","Large"},MATCH(TRUE,ISNUMBER(SEARCH({"Small","Medium","Large"},A199)),0)),"")</f>
        <v>Small</v>
      </c>
      <c r="E199" t="str">
        <f t="shared" si="3"/>
        <v>0.040</v>
      </c>
    </row>
    <row r="200" spans="1:5" x14ac:dyDescent="0.3">
      <c r="A200" t="s">
        <v>198</v>
      </c>
      <c r="B200" t="str" cm="1">
        <f t="array" ref="B200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redcedar"},A200)),0)),"")</f>
        <v>Douglas-fir (west WA)</v>
      </c>
      <c r="C200" t="str" cm="1">
        <f t="array" ref="C200">IFERROR(INDEX({"Ridgetop","Other"},MATCH(TRUE,ISNUMBER(SEARCH({"Ridgetop","Other"},A200)),0)),"")</f>
        <v>Other</v>
      </c>
      <c r="D200" t="str" cm="1">
        <f t="array" ref="D200">IFERROR(INDEX({"Small","Medium","Large"},MATCH(TRUE,ISNUMBER(SEARCH({"Small","Medium","Large"},A200)),0)),"")</f>
        <v>Medium</v>
      </c>
      <c r="E200" t="str">
        <f t="shared" si="3"/>
        <v>0.020</v>
      </c>
    </row>
    <row r="201" spans="1:5" x14ac:dyDescent="0.3">
      <c r="A201" t="s">
        <v>199</v>
      </c>
      <c r="B201" t="str" cm="1">
        <f t="array" ref="B201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redcedar"},A201)),0)),"")</f>
        <v>Douglas-fir (west WA)</v>
      </c>
      <c r="C201" t="str" cm="1">
        <f t="array" ref="C201">IFERROR(INDEX({"Ridgetop","Other"},MATCH(TRUE,ISNUMBER(SEARCH({"Ridgetop","Other"},A201)),0)),"")</f>
        <v>Other</v>
      </c>
      <c r="D201" t="str" cm="1">
        <f t="array" ref="D201">IFERROR(INDEX({"Small","Medium","Large"},MATCH(TRUE,ISNUMBER(SEARCH({"Small","Medium","Large"},A201)),0)),"")</f>
        <v>Large</v>
      </c>
      <c r="E201" t="str">
        <f t="shared" si="3"/>
        <v>0.011</v>
      </c>
    </row>
    <row r="202" spans="1:5" x14ac:dyDescent="0.3">
      <c r="A202" t="s">
        <v>200</v>
      </c>
      <c r="B202" t="str" cm="1">
        <f t="array" ref="B202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redcedar"},A202)),0)),"")</f>
        <v>Douglas-fir (west WA)</v>
      </c>
      <c r="C202" t="str" cm="1">
        <f t="array" ref="C202">IFERROR(INDEX({"Ridgetop","Other"},MATCH(TRUE,ISNUMBER(SEARCH({"Ridgetop","Other"},A202)),0)),"")</f>
        <v>Other</v>
      </c>
      <c r="D202" t="str" cm="1">
        <f t="array" ref="D202">IFERROR(INDEX({"Small","Medium","Large"},MATCH(TRUE,ISNUMBER(SEARCH({"Small","Medium","Large"},A202)),0)),"")</f>
        <v>Small</v>
      </c>
      <c r="E202" t="str">
        <f t="shared" si="3"/>
        <v>0.043</v>
      </c>
    </row>
    <row r="203" spans="1:5" x14ac:dyDescent="0.3">
      <c r="A203" t="s">
        <v>201</v>
      </c>
      <c r="B203" t="str" cm="1">
        <f t="array" ref="B203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redcedar"},A203)),0)),"")</f>
        <v>Douglas-fir (west WA)</v>
      </c>
      <c r="C203" t="str" cm="1">
        <f t="array" ref="C203">IFERROR(INDEX({"Ridgetop","Other"},MATCH(TRUE,ISNUMBER(SEARCH({"Ridgetop","Other"},A203)),0)),"")</f>
        <v>Other</v>
      </c>
      <c r="D203" t="str" cm="1">
        <f t="array" ref="D203">IFERROR(INDEX({"Small","Medium","Large"},MATCH(TRUE,ISNUMBER(SEARCH({"Small","Medium","Large"},A203)),0)),"")</f>
        <v>Medium</v>
      </c>
      <c r="E203" t="str">
        <f t="shared" si="3"/>
        <v>0.022</v>
      </c>
    </row>
    <row r="204" spans="1:5" x14ac:dyDescent="0.3">
      <c r="A204" t="s">
        <v>202</v>
      </c>
      <c r="B204" t="str" cm="1">
        <f t="array" ref="B204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redcedar"},A204)),0)),"")</f>
        <v>Douglas-fir (west WA)</v>
      </c>
      <c r="C204" t="str" cm="1">
        <f t="array" ref="C204">IFERROR(INDEX({"Ridgetop","Other"},MATCH(TRUE,ISNUMBER(SEARCH({"Ridgetop","Other"},A204)),0)),"")</f>
        <v>Other</v>
      </c>
      <c r="D204" t="str" cm="1">
        <f t="array" ref="D204">IFERROR(INDEX({"Small","Medium","Large"},MATCH(TRUE,ISNUMBER(SEARCH({"Small","Medium","Large"},A204)),0)),"")</f>
        <v>Large</v>
      </c>
      <c r="E204" t="str">
        <f t="shared" si="3"/>
        <v>0.012</v>
      </c>
    </row>
    <row r="205" spans="1:5" x14ac:dyDescent="0.3">
      <c r="A205" t="s">
        <v>203</v>
      </c>
      <c r="B205" t="str" cm="1">
        <f t="array" ref="B205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redcedar"},A205)),0)),"")</f>
        <v>Douglas-fir (west WA)</v>
      </c>
      <c r="C205" t="str" cm="1">
        <f t="array" ref="C205">IFERROR(INDEX({"Ridgetop","Other"},MATCH(TRUE,ISNUMBER(SEARCH({"Ridgetop","Other"},A205)),0)),"")</f>
        <v>Other</v>
      </c>
      <c r="D205" t="str" cm="1">
        <f t="array" ref="D205">IFERROR(INDEX({"Small","Medium","Large"},MATCH(TRUE,ISNUMBER(SEARCH({"Small","Medium","Large"},A205)),0)),"")</f>
        <v>Small</v>
      </c>
      <c r="E205" t="str">
        <f t="shared" si="3"/>
        <v>0.043</v>
      </c>
    </row>
    <row r="206" spans="1:5" x14ac:dyDescent="0.3">
      <c r="A206" t="s">
        <v>204</v>
      </c>
      <c r="B206" t="str" cm="1">
        <f t="array" ref="B206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redcedar"},A206)),0)),"")</f>
        <v>Douglas-fir (west WA)</v>
      </c>
      <c r="C206" t="str" cm="1">
        <f t="array" ref="C206">IFERROR(INDEX({"Ridgetop","Other"},MATCH(TRUE,ISNUMBER(SEARCH({"Ridgetop","Other"},A206)),0)),"")</f>
        <v>Other</v>
      </c>
      <c r="D206" t="str" cm="1">
        <f t="array" ref="D206">IFERROR(INDEX({"Small","Medium","Large"},MATCH(TRUE,ISNUMBER(SEARCH({"Small","Medium","Large"},A206)),0)),"")</f>
        <v>Medium</v>
      </c>
      <c r="E206" t="str">
        <f t="shared" si="3"/>
        <v>0.022</v>
      </c>
    </row>
    <row r="207" spans="1:5" x14ac:dyDescent="0.3">
      <c r="A207" t="s">
        <v>205</v>
      </c>
      <c r="B207" t="str" cm="1">
        <f t="array" ref="B207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redcedar"},A207)),0)),"")</f>
        <v>Douglas-fir (west WA)</v>
      </c>
      <c r="C207" t="str" cm="1">
        <f t="array" ref="C207">IFERROR(INDEX({"Ridgetop","Other"},MATCH(TRUE,ISNUMBER(SEARCH({"Ridgetop","Other"},A207)),0)),"")</f>
        <v>Other</v>
      </c>
      <c r="D207" t="str" cm="1">
        <f t="array" ref="D207">IFERROR(INDEX({"Small","Medium","Large"},MATCH(TRUE,ISNUMBER(SEARCH({"Small","Medium","Large"},A207)),0)),"")</f>
        <v>Large</v>
      </c>
      <c r="E207" t="str">
        <f t="shared" si="3"/>
        <v>0.012</v>
      </c>
    </row>
    <row r="208" spans="1:5" x14ac:dyDescent="0.3">
      <c r="A208" t="s">
        <v>206</v>
      </c>
      <c r="B208" t="str" cm="1">
        <f t="array" ref="B208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redcedar"},A208)),0)),"")</f>
        <v>Douglas-fir (west WA)</v>
      </c>
      <c r="C208" t="str" cm="1">
        <f t="array" ref="C208">IFERROR(INDEX({"Ridgetop","Other"},MATCH(TRUE,ISNUMBER(SEARCH({"Ridgetop","Other"},A208)),0)),"")</f>
        <v>Ridgetop</v>
      </c>
      <c r="D208" t="str" cm="1">
        <f t="array" ref="D208">IFERROR(INDEX({"Small","Medium","Large"},MATCH(TRUE,ISNUMBER(SEARCH({"Small","Medium","Large"},A208)),0)),"")</f>
        <v>Small</v>
      </c>
      <c r="E208" t="str">
        <f t="shared" si="3"/>
        <v>0.072</v>
      </c>
    </row>
    <row r="209" spans="1:5" x14ac:dyDescent="0.3">
      <c r="A209" t="s">
        <v>207</v>
      </c>
      <c r="B209" t="str" cm="1">
        <f t="array" ref="B209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redcedar"},A209)),0)),"")</f>
        <v>Douglas-fir (west WA)</v>
      </c>
      <c r="C209" t="str" cm="1">
        <f t="array" ref="C209">IFERROR(INDEX({"Ridgetop","Other"},MATCH(TRUE,ISNUMBER(SEARCH({"Ridgetop","Other"},A209)),0)),"")</f>
        <v>Ridgetop</v>
      </c>
      <c r="D209" t="str" cm="1">
        <f t="array" ref="D209">IFERROR(INDEX({"Small","Medium","Large"},MATCH(TRUE,ISNUMBER(SEARCH({"Small","Medium","Large"},A209)),0)),"")</f>
        <v>Medium</v>
      </c>
      <c r="E209" t="str">
        <f t="shared" si="3"/>
        <v>0.036</v>
      </c>
    </row>
    <row r="210" spans="1:5" x14ac:dyDescent="0.3">
      <c r="A210" t="s">
        <v>208</v>
      </c>
      <c r="B210" t="str" cm="1">
        <f t="array" ref="B210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redcedar"},A210)),0)),"")</f>
        <v>Douglas-fir (west WA)</v>
      </c>
      <c r="C210" t="str" cm="1">
        <f t="array" ref="C210">IFERROR(INDEX({"Ridgetop","Other"},MATCH(TRUE,ISNUMBER(SEARCH({"Ridgetop","Other"},A210)),0)),"")</f>
        <v>Ridgetop</v>
      </c>
      <c r="D210" t="str" cm="1">
        <f t="array" ref="D210">IFERROR(INDEX({"Small","Medium","Large"},MATCH(TRUE,ISNUMBER(SEARCH({"Small","Medium","Large"},A210)),0)),"")</f>
        <v>Large</v>
      </c>
      <c r="E210" t="str">
        <f t="shared" si="3"/>
        <v>0.020</v>
      </c>
    </row>
    <row r="211" spans="1:5" x14ac:dyDescent="0.3">
      <c r="A211" t="s">
        <v>209</v>
      </c>
      <c r="B211" t="str" cm="1">
        <f t="array" ref="B211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redcedar"},A211)),0)),"")</f>
        <v>Douglas-fir (west WA)</v>
      </c>
      <c r="C211" t="str" cm="1">
        <f t="array" ref="C211">IFERROR(INDEX({"Ridgetop","Other"},MATCH(TRUE,ISNUMBER(SEARCH({"Ridgetop","Other"},A211)),0)),"")</f>
        <v>Ridgetop</v>
      </c>
      <c r="D211" t="str" cm="1">
        <f t="array" ref="D211">IFERROR(INDEX({"Small","Medium","Large"},MATCH(TRUE,ISNUMBER(SEARCH({"Small","Medium","Large"},A211)),0)),"")</f>
        <v>Small</v>
      </c>
      <c r="E211" t="str">
        <f t="shared" si="3"/>
        <v>0.072</v>
      </c>
    </row>
    <row r="212" spans="1:5" x14ac:dyDescent="0.3">
      <c r="A212" t="s">
        <v>210</v>
      </c>
      <c r="B212" t="str" cm="1">
        <f t="array" ref="B212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redcedar"},A212)),0)),"")</f>
        <v>Douglas-fir (west WA)</v>
      </c>
      <c r="C212" t="str" cm="1">
        <f t="array" ref="C212">IFERROR(INDEX({"Ridgetop","Other"},MATCH(TRUE,ISNUMBER(SEARCH({"Ridgetop","Other"},A212)),0)),"")</f>
        <v>Ridgetop</v>
      </c>
      <c r="D212" t="str" cm="1">
        <f t="array" ref="D212">IFERROR(INDEX({"Small","Medium","Large"},MATCH(TRUE,ISNUMBER(SEARCH({"Small","Medium","Large"},A212)),0)),"")</f>
        <v>Medium</v>
      </c>
      <c r="E212" t="str">
        <f t="shared" si="3"/>
        <v>0.036</v>
      </c>
    </row>
    <row r="213" spans="1:5" x14ac:dyDescent="0.3">
      <c r="A213" t="s">
        <v>211</v>
      </c>
      <c r="B213" t="str" cm="1">
        <f t="array" ref="B213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redcedar"},A213)),0)),"")</f>
        <v>Douglas-fir (west WA)</v>
      </c>
      <c r="C213" t="str" cm="1">
        <f t="array" ref="C213">IFERROR(INDEX({"Ridgetop","Other"},MATCH(TRUE,ISNUMBER(SEARCH({"Ridgetop","Other"},A213)),0)),"")</f>
        <v>Ridgetop</v>
      </c>
      <c r="D213" t="str" cm="1">
        <f t="array" ref="D213">IFERROR(INDEX({"Small","Medium","Large"},MATCH(TRUE,ISNUMBER(SEARCH({"Small","Medium","Large"},A213)),0)),"")</f>
        <v>Large</v>
      </c>
      <c r="E213" t="str">
        <f t="shared" si="3"/>
        <v>0.020</v>
      </c>
    </row>
    <row r="214" spans="1:5" x14ac:dyDescent="0.3">
      <c r="A214" t="s">
        <v>212</v>
      </c>
      <c r="B214" t="str" cm="1">
        <f t="array" ref="B214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redcedar"},A214)),0)),"")</f>
        <v>Douglas-fir (west WA)</v>
      </c>
      <c r="C214" t="str" cm="1">
        <f t="array" ref="C214">IFERROR(INDEX({"Ridgetop","Other"},MATCH(TRUE,ISNUMBER(SEARCH({"Ridgetop","Other"},A214)),0)),"")</f>
        <v>Ridgetop</v>
      </c>
      <c r="D214" t="str" cm="1">
        <f t="array" ref="D214">IFERROR(INDEX({"Small","Medium","Large"},MATCH(TRUE,ISNUMBER(SEARCH({"Small","Medium","Large"},A214)),0)),"")</f>
        <v>Small</v>
      </c>
      <c r="E214" t="str">
        <f t="shared" si="3"/>
        <v>0.072</v>
      </c>
    </row>
    <row r="215" spans="1:5" x14ac:dyDescent="0.3">
      <c r="A215" t="s">
        <v>213</v>
      </c>
      <c r="B215" t="str" cm="1">
        <f t="array" ref="B215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redcedar"},A215)),0)),"")</f>
        <v>Douglas-fir (west WA)</v>
      </c>
      <c r="C215" t="str" cm="1">
        <f t="array" ref="C215">IFERROR(INDEX({"Ridgetop","Other"},MATCH(TRUE,ISNUMBER(SEARCH({"Ridgetop","Other"},A215)),0)),"")</f>
        <v>Ridgetop</v>
      </c>
      <c r="D215" t="str" cm="1">
        <f t="array" ref="D215">IFERROR(INDEX({"Small","Medium","Large"},MATCH(TRUE,ISNUMBER(SEARCH({"Small","Medium","Large"},A215)),0)),"")</f>
        <v>Medium</v>
      </c>
      <c r="E215" t="str">
        <f t="shared" si="3"/>
        <v>0.036</v>
      </c>
    </row>
    <row r="216" spans="1:5" x14ac:dyDescent="0.3">
      <c r="A216" t="s">
        <v>214</v>
      </c>
      <c r="B216" t="str" cm="1">
        <f t="array" ref="B216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redcedar"},A216)),0)),"")</f>
        <v>Douglas-fir (west WA)</v>
      </c>
      <c r="C216" t="str" cm="1">
        <f t="array" ref="C216">IFERROR(INDEX({"Ridgetop","Other"},MATCH(TRUE,ISNUMBER(SEARCH({"Ridgetop","Other"},A216)),0)),"")</f>
        <v>Ridgetop</v>
      </c>
      <c r="D216" t="str" cm="1">
        <f t="array" ref="D216">IFERROR(INDEX({"Small","Medium","Large"},MATCH(TRUE,ISNUMBER(SEARCH({"Small","Medium","Large"},A216)),0)),"")</f>
        <v>Large</v>
      </c>
      <c r="E216" t="str">
        <f t="shared" si="3"/>
        <v>0.020</v>
      </c>
    </row>
    <row r="217" spans="1:5" x14ac:dyDescent="0.3">
      <c r="A217" t="s">
        <v>215</v>
      </c>
      <c r="B217" t="str" cm="1">
        <f t="array" ref="B217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redcedar"},A217)),0)),"")</f>
        <v>Douglas-fir (east OR)</v>
      </c>
      <c r="C217" t="str" cm="1">
        <f t="array" ref="C217">IFERROR(INDEX({"Ridgetop","Other"},MATCH(TRUE,ISNUMBER(SEARCH({"Ridgetop","Other"},A217)),0)),"")</f>
        <v>Other</v>
      </c>
      <c r="D217" t="str" cm="1">
        <f t="array" ref="D217">IFERROR(INDEX({"Small","Medium","Large"},MATCH(TRUE,ISNUMBER(SEARCH({"Small","Medium","Large"},A217)),0)),"")</f>
        <v>Small</v>
      </c>
      <c r="E217" t="str">
        <f t="shared" si="3"/>
        <v>0.067</v>
      </c>
    </row>
    <row r="218" spans="1:5" x14ac:dyDescent="0.3">
      <c r="A218" t="s">
        <v>216</v>
      </c>
      <c r="B218" t="str" cm="1">
        <f t="array" ref="B218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redcedar"},A218)),0)),"")</f>
        <v>Douglas-fir (east OR)</v>
      </c>
      <c r="C218" t="str" cm="1">
        <f t="array" ref="C218">IFERROR(INDEX({"Ridgetop","Other"},MATCH(TRUE,ISNUMBER(SEARCH({"Ridgetop","Other"},A218)),0)),"")</f>
        <v>Other</v>
      </c>
      <c r="D218" t="str" cm="1">
        <f t="array" ref="D218">IFERROR(INDEX({"Small","Medium","Large"},MATCH(TRUE,ISNUMBER(SEARCH({"Small","Medium","Large"},A218)),0)),"")</f>
        <v>Medium</v>
      </c>
      <c r="E218" t="str">
        <f t="shared" si="3"/>
        <v>0.028</v>
      </c>
    </row>
    <row r="219" spans="1:5" x14ac:dyDescent="0.3">
      <c r="A219" t="s">
        <v>217</v>
      </c>
      <c r="B219" t="str" cm="1">
        <f t="array" ref="B219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redcedar"},A219)),0)),"")</f>
        <v>Douglas-fir (east OR)</v>
      </c>
      <c r="C219" t="str" cm="1">
        <f t="array" ref="C219">IFERROR(INDEX({"Ridgetop","Other"},MATCH(TRUE,ISNUMBER(SEARCH({"Ridgetop","Other"},A219)),0)),"")</f>
        <v>Other</v>
      </c>
      <c r="D219" t="str" cm="1">
        <f t="array" ref="D219">IFERROR(INDEX({"Small","Medium","Large"},MATCH(TRUE,ISNUMBER(SEARCH({"Small","Medium","Large"},A219)),0)),"")</f>
        <v>Large</v>
      </c>
      <c r="E219" t="str">
        <f t="shared" si="3"/>
        <v>0.016</v>
      </c>
    </row>
    <row r="220" spans="1:5" x14ac:dyDescent="0.3">
      <c r="A220" t="s">
        <v>218</v>
      </c>
      <c r="B220" t="str" cm="1">
        <f t="array" ref="B220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redcedar"},A220)),0)),"")</f>
        <v>Douglas-fir (east OR)</v>
      </c>
      <c r="C220" t="str" cm="1">
        <f t="array" ref="C220">IFERROR(INDEX({"Ridgetop","Other"},MATCH(TRUE,ISNUMBER(SEARCH({"Ridgetop","Other"},A220)),0)),"")</f>
        <v>Other</v>
      </c>
      <c r="D220" t="str" cm="1">
        <f t="array" ref="D220">IFERROR(INDEX({"Small","Medium","Large"},MATCH(TRUE,ISNUMBER(SEARCH({"Small","Medium","Large"},A220)),0)),"")</f>
        <v>Small</v>
      </c>
      <c r="E220" t="str">
        <f t="shared" si="3"/>
        <v>0.074</v>
      </c>
    </row>
    <row r="221" spans="1:5" x14ac:dyDescent="0.3">
      <c r="A221" t="s">
        <v>219</v>
      </c>
      <c r="B221" t="str" cm="1">
        <f t="array" ref="B221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redcedar"},A221)),0)),"")</f>
        <v>Douglas-fir (east OR)</v>
      </c>
      <c r="C221" t="str" cm="1">
        <f t="array" ref="C221">IFERROR(INDEX({"Ridgetop","Other"},MATCH(TRUE,ISNUMBER(SEARCH({"Ridgetop","Other"},A221)),0)),"")</f>
        <v>Other</v>
      </c>
      <c r="D221" t="str" cm="1">
        <f t="array" ref="D221">IFERROR(INDEX({"Small","Medium","Large"},MATCH(TRUE,ISNUMBER(SEARCH({"Small","Medium","Large"},A221)),0)),"")</f>
        <v>Medium</v>
      </c>
      <c r="E221" t="str">
        <f t="shared" si="3"/>
        <v>0.031</v>
      </c>
    </row>
    <row r="222" spans="1:5" x14ac:dyDescent="0.3">
      <c r="A222" t="s">
        <v>220</v>
      </c>
      <c r="B222" t="str" cm="1">
        <f t="array" ref="B222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redcedar"},A222)),0)),"")</f>
        <v>Douglas-fir (east OR)</v>
      </c>
      <c r="C222" t="str" cm="1">
        <f t="array" ref="C222">IFERROR(INDEX({"Ridgetop","Other"},MATCH(TRUE,ISNUMBER(SEARCH({"Ridgetop","Other"},A222)),0)),"")</f>
        <v>Other</v>
      </c>
      <c r="D222" t="str" cm="1">
        <f t="array" ref="D222">IFERROR(INDEX({"Small","Medium","Large"},MATCH(TRUE,ISNUMBER(SEARCH({"Small","Medium","Large"},A222)),0)),"")</f>
        <v>Large</v>
      </c>
      <c r="E222" t="str">
        <f t="shared" si="3"/>
        <v>0.018</v>
      </c>
    </row>
    <row r="223" spans="1:5" x14ac:dyDescent="0.3">
      <c r="A223" t="s">
        <v>221</v>
      </c>
      <c r="B223" t="str" cm="1">
        <f t="array" ref="B223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redcedar"},A223)),0)),"")</f>
        <v>Douglas-fir (east OR)</v>
      </c>
      <c r="C223" t="str" cm="1">
        <f t="array" ref="C223">IFERROR(INDEX({"Ridgetop","Other"},MATCH(TRUE,ISNUMBER(SEARCH({"Ridgetop","Other"},A223)),0)),"")</f>
        <v>Other</v>
      </c>
      <c r="D223" t="str" cm="1">
        <f t="array" ref="D223">IFERROR(INDEX({"Small","Medium","Large"},MATCH(TRUE,ISNUMBER(SEARCH({"Small","Medium","Large"},A223)),0)),"")</f>
        <v>Small</v>
      </c>
      <c r="E223" t="str">
        <f t="shared" si="3"/>
        <v>0.091</v>
      </c>
    </row>
    <row r="224" spans="1:5" x14ac:dyDescent="0.3">
      <c r="A224" t="s">
        <v>222</v>
      </c>
      <c r="B224" t="str" cm="1">
        <f t="array" ref="B224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redcedar"},A224)),0)),"")</f>
        <v>Douglas-fir (east OR)</v>
      </c>
      <c r="C224" t="str" cm="1">
        <f t="array" ref="C224">IFERROR(INDEX({"Ridgetop","Other"},MATCH(TRUE,ISNUMBER(SEARCH({"Ridgetop","Other"},A224)),0)),"")</f>
        <v>Other</v>
      </c>
      <c r="D224" t="str" cm="1">
        <f t="array" ref="D224">IFERROR(INDEX({"Small","Medium","Large"},MATCH(TRUE,ISNUMBER(SEARCH({"Small","Medium","Large"},A224)),0)),"")</f>
        <v>Medium</v>
      </c>
      <c r="E224" t="str">
        <f t="shared" si="3"/>
        <v>0.038</v>
      </c>
    </row>
    <row r="225" spans="1:5" x14ac:dyDescent="0.3">
      <c r="A225" t="s">
        <v>223</v>
      </c>
      <c r="B225" t="str" cm="1">
        <f t="array" ref="B225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redcedar"},A225)),0)),"")</f>
        <v>Douglas-fir (east OR)</v>
      </c>
      <c r="C225" t="str" cm="1">
        <f t="array" ref="C225">IFERROR(INDEX({"Ridgetop","Other"},MATCH(TRUE,ISNUMBER(SEARCH({"Ridgetop","Other"},A225)),0)),"")</f>
        <v>Other</v>
      </c>
      <c r="D225" t="str" cm="1">
        <f t="array" ref="D225">IFERROR(INDEX({"Small","Medium","Large"},MATCH(TRUE,ISNUMBER(SEARCH({"Small","Medium","Large"},A225)),0)),"")</f>
        <v>Large</v>
      </c>
      <c r="E225" t="str">
        <f t="shared" si="3"/>
        <v>0.022</v>
      </c>
    </row>
    <row r="226" spans="1:5" x14ac:dyDescent="0.3">
      <c r="A226" t="s">
        <v>224</v>
      </c>
      <c r="B226" t="str" cm="1">
        <f t="array" ref="B226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redcedar"},A226)),0)),"")</f>
        <v>Douglas-fir (east OR)</v>
      </c>
      <c r="C226" t="str" cm="1">
        <f t="array" ref="C226">IFERROR(INDEX({"Ridgetop","Other"},MATCH(TRUE,ISNUMBER(SEARCH({"Ridgetop","Other"},A226)),0)),"")</f>
        <v>Ridgetop</v>
      </c>
      <c r="D226" t="str" cm="1">
        <f t="array" ref="D226">IFERROR(INDEX({"Small","Medium","Large"},MATCH(TRUE,ISNUMBER(SEARCH({"Small","Medium","Large"},A226)),0)),"")</f>
        <v>Small</v>
      </c>
      <c r="E226" t="str">
        <f t="shared" si="3"/>
        <v>0.118</v>
      </c>
    </row>
    <row r="227" spans="1:5" x14ac:dyDescent="0.3">
      <c r="A227" t="s">
        <v>225</v>
      </c>
      <c r="B227" t="str" cm="1">
        <f t="array" ref="B227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redcedar"},A227)),0)),"")</f>
        <v>Douglas-fir (east OR)</v>
      </c>
      <c r="C227" t="str" cm="1">
        <f t="array" ref="C227">IFERROR(INDEX({"Ridgetop","Other"},MATCH(TRUE,ISNUMBER(SEARCH({"Ridgetop","Other"},A227)),0)),"")</f>
        <v>Ridgetop</v>
      </c>
      <c r="D227" t="str" cm="1">
        <f t="array" ref="D227">IFERROR(INDEX({"Small","Medium","Large"},MATCH(TRUE,ISNUMBER(SEARCH({"Small","Medium","Large"},A227)),0)),"")</f>
        <v>Medium</v>
      </c>
      <c r="E227" t="str">
        <f t="shared" si="3"/>
        <v>0.050</v>
      </c>
    </row>
    <row r="228" spans="1:5" x14ac:dyDescent="0.3">
      <c r="A228" t="s">
        <v>226</v>
      </c>
      <c r="B228" t="str" cm="1">
        <f t="array" ref="B228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redcedar"},A228)),0)),"")</f>
        <v>Douglas-fir (east OR)</v>
      </c>
      <c r="C228" t="str" cm="1">
        <f t="array" ref="C228">IFERROR(INDEX({"Ridgetop","Other"},MATCH(TRUE,ISNUMBER(SEARCH({"Ridgetop","Other"},A228)),0)),"")</f>
        <v>Ridgetop</v>
      </c>
      <c r="D228" t="str" cm="1">
        <f t="array" ref="D228">IFERROR(INDEX({"Small","Medium","Large"},MATCH(TRUE,ISNUMBER(SEARCH({"Small","Medium","Large"},A228)),0)),"")</f>
        <v>Large</v>
      </c>
      <c r="E228" t="str">
        <f t="shared" si="3"/>
        <v>0.028</v>
      </c>
    </row>
    <row r="229" spans="1:5" x14ac:dyDescent="0.3">
      <c r="A229" t="s">
        <v>227</v>
      </c>
      <c r="B229" t="str" cm="1">
        <f t="array" ref="B229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redcedar"},A229)),0)),"")</f>
        <v>Douglas-fir (east OR)</v>
      </c>
      <c r="C229" t="str" cm="1">
        <f t="array" ref="C229">IFERROR(INDEX({"Ridgetop","Other"},MATCH(TRUE,ISNUMBER(SEARCH({"Ridgetop","Other"},A229)),0)),"")</f>
        <v>Ridgetop</v>
      </c>
      <c r="D229" t="str" cm="1">
        <f t="array" ref="D229">IFERROR(INDEX({"Small","Medium","Large"},MATCH(TRUE,ISNUMBER(SEARCH({"Small","Medium","Large"},A229)),0)),"")</f>
        <v>Small</v>
      </c>
      <c r="E229" t="str">
        <f t="shared" si="3"/>
        <v>0.122</v>
      </c>
    </row>
    <row r="230" spans="1:5" x14ac:dyDescent="0.3">
      <c r="A230" t="s">
        <v>228</v>
      </c>
      <c r="B230" t="str" cm="1">
        <f t="array" ref="B230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redcedar"},A230)),0)),"")</f>
        <v>Douglas-fir (east OR)</v>
      </c>
      <c r="C230" t="str" cm="1">
        <f t="array" ref="C230">IFERROR(INDEX({"Ridgetop","Other"},MATCH(TRUE,ISNUMBER(SEARCH({"Ridgetop","Other"},A230)),0)),"")</f>
        <v>Ridgetop</v>
      </c>
      <c r="D230" t="str" cm="1">
        <f t="array" ref="D230">IFERROR(INDEX({"Small","Medium","Large"},MATCH(TRUE,ISNUMBER(SEARCH({"Small","Medium","Large"},A230)),0)),"")</f>
        <v>Medium</v>
      </c>
      <c r="E230" t="str">
        <f t="shared" si="3"/>
        <v>0.051</v>
      </c>
    </row>
    <row r="231" spans="1:5" x14ac:dyDescent="0.3">
      <c r="A231" t="s">
        <v>229</v>
      </c>
      <c r="B231" t="str" cm="1">
        <f t="array" ref="B231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redcedar"},A231)),0)),"")</f>
        <v>Douglas-fir (east OR)</v>
      </c>
      <c r="C231" t="str" cm="1">
        <f t="array" ref="C231">IFERROR(INDEX({"Ridgetop","Other"},MATCH(TRUE,ISNUMBER(SEARCH({"Ridgetop","Other"},A231)),0)),"")</f>
        <v>Ridgetop</v>
      </c>
      <c r="D231" t="str" cm="1">
        <f t="array" ref="D231">IFERROR(INDEX({"Small","Medium","Large"},MATCH(TRUE,ISNUMBER(SEARCH({"Small","Medium","Large"},A231)),0)),"")</f>
        <v>Large</v>
      </c>
      <c r="E231" t="str">
        <f t="shared" si="3"/>
        <v>0.029</v>
      </c>
    </row>
    <row r="232" spans="1:5" x14ac:dyDescent="0.3">
      <c r="A232" t="s">
        <v>230</v>
      </c>
      <c r="B232" t="str" cm="1">
        <f t="array" ref="B232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redcedar"},A232)),0)),"")</f>
        <v>Douglas-fir (east OR)</v>
      </c>
      <c r="C232" t="str" cm="1">
        <f t="array" ref="C232">IFERROR(INDEX({"Ridgetop","Other"},MATCH(TRUE,ISNUMBER(SEARCH({"Ridgetop","Other"},A232)),0)),"")</f>
        <v>Ridgetop</v>
      </c>
      <c r="D232" t="str" cm="1">
        <f t="array" ref="D232">IFERROR(INDEX({"Small","Medium","Large"},MATCH(TRUE,ISNUMBER(SEARCH({"Small","Medium","Large"},A232)),0)),"")</f>
        <v>Small</v>
      </c>
      <c r="E232" t="str">
        <f t="shared" si="3"/>
        <v>0.129</v>
      </c>
    </row>
    <row r="233" spans="1:5" x14ac:dyDescent="0.3">
      <c r="A233" t="s">
        <v>231</v>
      </c>
      <c r="B233" t="str" cm="1">
        <f t="array" ref="B233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redcedar"},A233)),0)),"")</f>
        <v>Douglas-fir (east OR)</v>
      </c>
      <c r="C233" t="str" cm="1">
        <f t="array" ref="C233">IFERROR(INDEX({"Ridgetop","Other"},MATCH(TRUE,ISNUMBER(SEARCH({"Ridgetop","Other"},A233)),0)),"")</f>
        <v>Ridgetop</v>
      </c>
      <c r="D233" t="str" cm="1">
        <f t="array" ref="D233">IFERROR(INDEX({"Small","Medium","Large"},MATCH(TRUE,ISNUMBER(SEARCH({"Small","Medium","Large"},A233)),0)),"")</f>
        <v>Medium</v>
      </c>
      <c r="E233" t="str">
        <f t="shared" si="3"/>
        <v>0.054</v>
      </c>
    </row>
    <row r="234" spans="1:5" x14ac:dyDescent="0.3">
      <c r="A234" t="s">
        <v>232</v>
      </c>
      <c r="B234" t="str" cm="1">
        <f t="array" ref="B234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redcedar"},A234)),0)),"")</f>
        <v>Douglas-fir (east OR)</v>
      </c>
      <c r="C234" t="str" cm="1">
        <f t="array" ref="C234">IFERROR(INDEX({"Ridgetop","Other"},MATCH(TRUE,ISNUMBER(SEARCH({"Ridgetop","Other"},A234)),0)),"")</f>
        <v>Ridgetop</v>
      </c>
      <c r="D234" t="str" cm="1">
        <f t="array" ref="D234">IFERROR(INDEX({"Small","Medium","Large"},MATCH(TRUE,ISNUMBER(SEARCH({"Small","Medium","Large"},A234)),0)),"")</f>
        <v>Large</v>
      </c>
      <c r="E234" t="str">
        <f t="shared" si="3"/>
        <v>0.031</v>
      </c>
    </row>
    <row r="235" spans="1:5" x14ac:dyDescent="0.3">
      <c r="A235" t="s">
        <v>233</v>
      </c>
      <c r="B235" t="str" cm="1">
        <f t="array" ref="B235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redcedar"},A235)),0)),"")</f>
        <v>Douglas-fir (east OR)</v>
      </c>
      <c r="C235" t="str" cm="1">
        <f t="array" ref="C235">IFERROR(INDEX({"Ridgetop","Other"},MATCH(TRUE,ISNUMBER(SEARCH({"Ridgetop","Other"},A235)),0)),"")</f>
        <v>Other</v>
      </c>
      <c r="D235" t="str" cm="1">
        <f t="array" ref="D235">IFERROR(INDEX({"Small","Medium","Large"},MATCH(TRUE,ISNUMBER(SEARCH({"Small","Medium","Large"},A235)),0)),"")</f>
        <v>Small</v>
      </c>
      <c r="E235" t="str">
        <f t="shared" si="3"/>
        <v>0.084</v>
      </c>
    </row>
    <row r="236" spans="1:5" x14ac:dyDescent="0.3">
      <c r="A236" t="s">
        <v>234</v>
      </c>
      <c r="B236" t="str" cm="1">
        <f t="array" ref="B236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redcedar"},A236)),0)),"")</f>
        <v>Douglas-fir (east OR)</v>
      </c>
      <c r="C236" t="str" cm="1">
        <f t="array" ref="C236">IFERROR(INDEX({"Ridgetop","Other"},MATCH(TRUE,ISNUMBER(SEARCH({"Ridgetop","Other"},A236)),0)),"")</f>
        <v>Other</v>
      </c>
      <c r="D236" t="str" cm="1">
        <f t="array" ref="D236">IFERROR(INDEX({"Small","Medium","Large"},MATCH(TRUE,ISNUMBER(SEARCH({"Small","Medium","Large"},A236)),0)),"")</f>
        <v>Medium</v>
      </c>
      <c r="E236" t="str">
        <f t="shared" si="3"/>
        <v>0.035</v>
      </c>
    </row>
    <row r="237" spans="1:5" x14ac:dyDescent="0.3">
      <c r="A237" t="s">
        <v>235</v>
      </c>
      <c r="B237" t="str" cm="1">
        <f t="array" ref="B237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redcedar"},A237)),0)),"")</f>
        <v>Douglas-fir (east OR)</v>
      </c>
      <c r="C237" t="str" cm="1">
        <f t="array" ref="C237">IFERROR(INDEX({"Ridgetop","Other"},MATCH(TRUE,ISNUMBER(SEARCH({"Ridgetop","Other"},A237)),0)),"")</f>
        <v>Other</v>
      </c>
      <c r="D237" t="str" cm="1">
        <f t="array" ref="D237">IFERROR(INDEX({"Small","Medium","Large"},MATCH(TRUE,ISNUMBER(SEARCH({"Small","Medium","Large"},A237)),0)),"")</f>
        <v>Large</v>
      </c>
      <c r="E237" t="str">
        <f t="shared" si="3"/>
        <v>0.020</v>
      </c>
    </row>
    <row r="238" spans="1:5" x14ac:dyDescent="0.3">
      <c r="A238" t="s">
        <v>236</v>
      </c>
      <c r="B238" t="str" cm="1">
        <f t="array" ref="B238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redcedar"},A238)),0)),"")</f>
        <v>Douglas-fir (east OR)</v>
      </c>
      <c r="C238" t="str" cm="1">
        <f t="array" ref="C238">IFERROR(INDEX({"Ridgetop","Other"},MATCH(TRUE,ISNUMBER(SEARCH({"Ridgetop","Other"},A238)),0)),"")</f>
        <v>Other</v>
      </c>
      <c r="D238" t="str" cm="1">
        <f t="array" ref="D238">IFERROR(INDEX({"Small","Medium","Large"},MATCH(TRUE,ISNUMBER(SEARCH({"Small","Medium","Large"},A238)),0)),"")</f>
        <v>Small</v>
      </c>
      <c r="E238" t="str">
        <f t="shared" si="3"/>
        <v>0.091</v>
      </c>
    </row>
    <row r="239" spans="1:5" x14ac:dyDescent="0.3">
      <c r="A239" t="s">
        <v>237</v>
      </c>
      <c r="B239" t="str" cm="1">
        <f t="array" ref="B239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redcedar"},A239)),0)),"")</f>
        <v>Douglas-fir (east OR)</v>
      </c>
      <c r="C239" t="str" cm="1">
        <f t="array" ref="C239">IFERROR(INDEX({"Ridgetop","Other"},MATCH(TRUE,ISNUMBER(SEARCH({"Ridgetop","Other"},A239)),0)),"")</f>
        <v>Other</v>
      </c>
      <c r="D239" t="str" cm="1">
        <f t="array" ref="D239">IFERROR(INDEX({"Small","Medium","Large"},MATCH(TRUE,ISNUMBER(SEARCH({"Small","Medium","Large"},A239)),0)),"")</f>
        <v>Medium</v>
      </c>
      <c r="E239" t="str">
        <f t="shared" si="3"/>
        <v>0.038</v>
      </c>
    </row>
    <row r="240" spans="1:5" x14ac:dyDescent="0.3">
      <c r="A240" t="s">
        <v>238</v>
      </c>
      <c r="B240" t="str" cm="1">
        <f t="array" ref="B240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redcedar"},A240)),0)),"")</f>
        <v>Douglas-fir (east OR)</v>
      </c>
      <c r="C240" t="str" cm="1">
        <f t="array" ref="C240">IFERROR(INDEX({"Ridgetop","Other"},MATCH(TRUE,ISNUMBER(SEARCH({"Ridgetop","Other"},A240)),0)),"")</f>
        <v>Other</v>
      </c>
      <c r="D240" t="str" cm="1">
        <f t="array" ref="D240">IFERROR(INDEX({"Small","Medium","Large"},MATCH(TRUE,ISNUMBER(SEARCH({"Small","Medium","Large"},A240)),0)),"")</f>
        <v>Large</v>
      </c>
      <c r="E240" t="str">
        <f t="shared" si="3"/>
        <v>0.022</v>
      </c>
    </row>
    <row r="241" spans="1:5" x14ac:dyDescent="0.3">
      <c r="A241" t="s">
        <v>239</v>
      </c>
      <c r="B241" t="str" cm="1">
        <f t="array" ref="B241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redcedar"},A241)),0)),"")</f>
        <v>Douglas-fir (east OR)</v>
      </c>
      <c r="C241" t="str" cm="1">
        <f t="array" ref="C241">IFERROR(INDEX({"Ridgetop","Other"},MATCH(TRUE,ISNUMBER(SEARCH({"Ridgetop","Other"},A241)),0)),"")</f>
        <v>Other</v>
      </c>
      <c r="D241" t="str" cm="1">
        <f t="array" ref="D241">IFERROR(INDEX({"Small","Medium","Large"},MATCH(TRUE,ISNUMBER(SEARCH({"Small","Medium","Large"},A241)),0)),"")</f>
        <v>Small</v>
      </c>
      <c r="E241" t="str">
        <f t="shared" si="3"/>
        <v>0.091</v>
      </c>
    </row>
    <row r="242" spans="1:5" x14ac:dyDescent="0.3">
      <c r="A242" t="s">
        <v>240</v>
      </c>
      <c r="B242" t="str" cm="1">
        <f t="array" ref="B242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redcedar"},A242)),0)),"")</f>
        <v>Douglas-fir (east OR)</v>
      </c>
      <c r="C242" t="str" cm="1">
        <f t="array" ref="C242">IFERROR(INDEX({"Ridgetop","Other"},MATCH(TRUE,ISNUMBER(SEARCH({"Ridgetop","Other"},A242)),0)),"")</f>
        <v>Other</v>
      </c>
      <c r="D242" t="str" cm="1">
        <f t="array" ref="D242">IFERROR(INDEX({"Small","Medium","Large"},MATCH(TRUE,ISNUMBER(SEARCH({"Small","Medium","Large"},A242)),0)),"")</f>
        <v>Medium</v>
      </c>
      <c r="E242" t="str">
        <f t="shared" si="3"/>
        <v>0.038</v>
      </c>
    </row>
    <row r="243" spans="1:5" x14ac:dyDescent="0.3">
      <c r="A243" t="s">
        <v>241</v>
      </c>
      <c r="B243" t="str" cm="1">
        <f t="array" ref="B243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redcedar"},A243)),0)),"")</f>
        <v>Douglas-fir (east OR)</v>
      </c>
      <c r="C243" t="str" cm="1">
        <f t="array" ref="C243">IFERROR(INDEX({"Ridgetop","Other"},MATCH(TRUE,ISNUMBER(SEARCH({"Ridgetop","Other"},A243)),0)),"")</f>
        <v>Other</v>
      </c>
      <c r="D243" t="str" cm="1">
        <f t="array" ref="D243">IFERROR(INDEX({"Small","Medium","Large"},MATCH(TRUE,ISNUMBER(SEARCH({"Small","Medium","Large"},A243)),0)),"")</f>
        <v>Large</v>
      </c>
      <c r="E243" t="str">
        <f t="shared" si="3"/>
        <v>0.022</v>
      </c>
    </row>
    <row r="244" spans="1:5" x14ac:dyDescent="0.3">
      <c r="A244" t="s">
        <v>242</v>
      </c>
      <c r="B244" t="str" cm="1">
        <f t="array" ref="B244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redcedar"},A244)),0)),"")</f>
        <v>Douglas-fir (east OR)</v>
      </c>
      <c r="C244" t="str" cm="1">
        <f t="array" ref="C244">IFERROR(INDEX({"Ridgetop","Other"},MATCH(TRUE,ISNUMBER(SEARCH({"Ridgetop","Other"},A244)),0)),"")</f>
        <v>Ridgetop</v>
      </c>
      <c r="D244" t="str" cm="1">
        <f t="array" ref="D244">IFERROR(INDEX({"Small","Medium","Large"},MATCH(TRUE,ISNUMBER(SEARCH({"Small","Medium","Large"},A244)),0)),"")</f>
        <v>Small</v>
      </c>
      <c r="E244" t="str">
        <f t="shared" si="3"/>
        <v>0.152</v>
      </c>
    </row>
    <row r="245" spans="1:5" x14ac:dyDescent="0.3">
      <c r="A245" t="s">
        <v>243</v>
      </c>
      <c r="B245" t="str" cm="1">
        <f t="array" ref="B245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redcedar"},A245)),0)),"")</f>
        <v>Douglas-fir (east OR)</v>
      </c>
      <c r="C245" t="str" cm="1">
        <f t="array" ref="C245">IFERROR(INDEX({"Ridgetop","Other"},MATCH(TRUE,ISNUMBER(SEARCH({"Ridgetop","Other"},A245)),0)),"")</f>
        <v>Ridgetop</v>
      </c>
      <c r="D245" t="str" cm="1">
        <f t="array" ref="D245">IFERROR(INDEX({"Small","Medium","Large"},MATCH(TRUE,ISNUMBER(SEARCH({"Small","Medium","Large"},A245)),0)),"")</f>
        <v>Medium</v>
      </c>
      <c r="E245" t="str">
        <f t="shared" si="3"/>
        <v>0.064</v>
      </c>
    </row>
    <row r="246" spans="1:5" x14ac:dyDescent="0.3">
      <c r="A246" t="s">
        <v>244</v>
      </c>
      <c r="B246" t="str" cm="1">
        <f t="array" ref="B246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redcedar"},A246)),0)),"")</f>
        <v>Douglas-fir (east OR)</v>
      </c>
      <c r="C246" t="str" cm="1">
        <f t="array" ref="C246">IFERROR(INDEX({"Ridgetop","Other"},MATCH(TRUE,ISNUMBER(SEARCH({"Ridgetop","Other"},A246)),0)),"")</f>
        <v>Ridgetop</v>
      </c>
      <c r="D246" t="str" cm="1">
        <f t="array" ref="D246">IFERROR(INDEX({"Small","Medium","Large"},MATCH(TRUE,ISNUMBER(SEARCH({"Small","Medium","Large"},A246)),0)),"")</f>
        <v>Large</v>
      </c>
      <c r="E246" t="str">
        <f t="shared" si="3"/>
        <v>0.036</v>
      </c>
    </row>
    <row r="247" spans="1:5" x14ac:dyDescent="0.3">
      <c r="A247" t="s">
        <v>245</v>
      </c>
      <c r="B247" t="str" cm="1">
        <f t="array" ref="B247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redcedar"},A247)),0)),"")</f>
        <v>Douglas-fir (east OR)</v>
      </c>
      <c r="C247" t="str" cm="1">
        <f t="array" ref="C247">IFERROR(INDEX({"Ridgetop","Other"},MATCH(TRUE,ISNUMBER(SEARCH({"Ridgetop","Other"},A247)),0)),"")</f>
        <v>Ridgetop</v>
      </c>
      <c r="D247" t="str" cm="1">
        <f t="array" ref="D247">IFERROR(INDEX({"Small","Medium","Large"},MATCH(TRUE,ISNUMBER(SEARCH({"Small","Medium","Large"},A247)),0)),"")</f>
        <v>Small</v>
      </c>
      <c r="E247" t="str">
        <f t="shared" si="3"/>
        <v>0.152</v>
      </c>
    </row>
    <row r="248" spans="1:5" x14ac:dyDescent="0.3">
      <c r="A248" t="s">
        <v>246</v>
      </c>
      <c r="B248" t="str" cm="1">
        <f t="array" ref="B248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redcedar"},A248)),0)),"")</f>
        <v>Douglas-fir (east OR)</v>
      </c>
      <c r="C248" t="str" cm="1">
        <f t="array" ref="C248">IFERROR(INDEX({"Ridgetop","Other"},MATCH(TRUE,ISNUMBER(SEARCH({"Ridgetop","Other"},A248)),0)),"")</f>
        <v>Ridgetop</v>
      </c>
      <c r="D248" t="str" cm="1">
        <f t="array" ref="D248">IFERROR(INDEX({"Small","Medium","Large"},MATCH(TRUE,ISNUMBER(SEARCH({"Small","Medium","Large"},A248)),0)),"")</f>
        <v>Medium</v>
      </c>
      <c r="E248" t="str">
        <f t="shared" si="3"/>
        <v>0.064</v>
      </c>
    </row>
    <row r="249" spans="1:5" x14ac:dyDescent="0.3">
      <c r="A249" t="s">
        <v>247</v>
      </c>
      <c r="B249" t="str" cm="1">
        <f t="array" ref="B249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redcedar"},A249)),0)),"")</f>
        <v>Douglas-fir (east OR)</v>
      </c>
      <c r="C249" t="str" cm="1">
        <f t="array" ref="C249">IFERROR(INDEX({"Ridgetop","Other"},MATCH(TRUE,ISNUMBER(SEARCH({"Ridgetop","Other"},A249)),0)),"")</f>
        <v>Ridgetop</v>
      </c>
      <c r="D249" t="str" cm="1">
        <f t="array" ref="D249">IFERROR(INDEX({"Small","Medium","Large"},MATCH(TRUE,ISNUMBER(SEARCH({"Small","Medium","Large"},A249)),0)),"")</f>
        <v>Large</v>
      </c>
      <c r="E249" t="str">
        <f t="shared" si="3"/>
        <v>0.036</v>
      </c>
    </row>
    <row r="250" spans="1:5" x14ac:dyDescent="0.3">
      <c r="A250" t="s">
        <v>248</v>
      </c>
      <c r="B250" t="str" cm="1">
        <f t="array" ref="B250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redcedar"},A250)),0)),"")</f>
        <v>Douglas-fir (east OR)</v>
      </c>
      <c r="C250" t="str" cm="1">
        <f t="array" ref="C250">IFERROR(INDEX({"Ridgetop","Other"},MATCH(TRUE,ISNUMBER(SEARCH({"Ridgetop","Other"},A250)),0)),"")</f>
        <v>Ridgetop</v>
      </c>
      <c r="D250" t="str" cm="1">
        <f t="array" ref="D250">IFERROR(INDEX({"Small","Medium","Large"},MATCH(TRUE,ISNUMBER(SEARCH({"Small","Medium","Large"},A250)),0)),"")</f>
        <v>Small</v>
      </c>
      <c r="E250" t="str">
        <f t="shared" si="3"/>
        <v>0.152</v>
      </c>
    </row>
    <row r="251" spans="1:5" x14ac:dyDescent="0.3">
      <c r="A251" t="s">
        <v>249</v>
      </c>
      <c r="B251" t="str" cm="1">
        <f t="array" ref="B251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redcedar"},A251)),0)),"")</f>
        <v>Douglas-fir (east OR)</v>
      </c>
      <c r="C251" t="str" cm="1">
        <f t="array" ref="C251">IFERROR(INDEX({"Ridgetop","Other"},MATCH(TRUE,ISNUMBER(SEARCH({"Ridgetop","Other"},A251)),0)),"")</f>
        <v>Ridgetop</v>
      </c>
      <c r="D251" t="str" cm="1">
        <f t="array" ref="D251">IFERROR(INDEX({"Small","Medium","Large"},MATCH(TRUE,ISNUMBER(SEARCH({"Small","Medium","Large"},A251)),0)),"")</f>
        <v>Medium</v>
      </c>
      <c r="E251" t="str">
        <f t="shared" si="3"/>
        <v>0.064</v>
      </c>
    </row>
    <row r="252" spans="1:5" x14ac:dyDescent="0.3">
      <c r="A252" t="s">
        <v>250</v>
      </c>
      <c r="B252" t="str" cm="1">
        <f t="array" ref="B252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redcedar"},A252)),0)),"")</f>
        <v>Douglas-fir (east OR)</v>
      </c>
      <c r="C252" t="str" cm="1">
        <f t="array" ref="C252">IFERROR(INDEX({"Ridgetop","Other"},MATCH(TRUE,ISNUMBER(SEARCH({"Ridgetop","Other"},A252)),0)),"")</f>
        <v>Ridgetop</v>
      </c>
      <c r="D252" t="str" cm="1">
        <f t="array" ref="D252">IFERROR(INDEX({"Small","Medium","Large"},MATCH(TRUE,ISNUMBER(SEARCH({"Small","Medium","Large"},A252)),0)),"")</f>
        <v>Large</v>
      </c>
      <c r="E252" t="str">
        <f t="shared" si="3"/>
        <v>0.036</v>
      </c>
    </row>
    <row r="253" spans="1:5" x14ac:dyDescent="0.3">
      <c r="A253" t="s">
        <v>251</v>
      </c>
      <c r="B253" t="str" cm="1">
        <f t="array" ref="B253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redcedar"},A253)),0)),"")</f>
        <v>Douglas-fir (east OR)</v>
      </c>
      <c r="C253" t="str" cm="1">
        <f t="array" ref="C253">IFERROR(INDEX({"Ridgetop","Other"},MATCH(TRUE,ISNUMBER(SEARCH({"Ridgetop","Other"},A253)),0)),"")</f>
        <v>Other</v>
      </c>
      <c r="D253" t="str" cm="1">
        <f t="array" ref="D253">IFERROR(INDEX({"Small","Medium","Large"},MATCH(TRUE,ISNUMBER(SEARCH({"Small","Medium","Large"},A253)),0)),"")</f>
        <v>Small</v>
      </c>
      <c r="E253" t="str">
        <f t="shared" si="3"/>
        <v>0.068</v>
      </c>
    </row>
    <row r="254" spans="1:5" x14ac:dyDescent="0.3">
      <c r="A254" t="s">
        <v>252</v>
      </c>
      <c r="B254" t="str" cm="1">
        <f t="array" ref="B254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redcedar"},A254)),0)),"")</f>
        <v>Douglas-fir (east OR)</v>
      </c>
      <c r="C254" t="str" cm="1">
        <f t="array" ref="C254">IFERROR(INDEX({"Ridgetop","Other"},MATCH(TRUE,ISNUMBER(SEARCH({"Ridgetop","Other"},A254)),0)),"")</f>
        <v>Other</v>
      </c>
      <c r="D254" t="str" cm="1">
        <f t="array" ref="D254">IFERROR(INDEX({"Small","Medium","Large"},MATCH(TRUE,ISNUMBER(SEARCH({"Small","Medium","Large"},A254)),0)),"")</f>
        <v>Medium</v>
      </c>
      <c r="E254" t="str">
        <f t="shared" si="3"/>
        <v>0.029</v>
      </c>
    </row>
    <row r="255" spans="1:5" x14ac:dyDescent="0.3">
      <c r="A255" t="s">
        <v>253</v>
      </c>
      <c r="B255" t="str" cm="1">
        <f t="array" ref="B255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redcedar"},A255)),0)),"")</f>
        <v>Douglas-fir (east OR)</v>
      </c>
      <c r="C255" t="str" cm="1">
        <f t="array" ref="C255">IFERROR(INDEX({"Ridgetop","Other"},MATCH(TRUE,ISNUMBER(SEARCH({"Ridgetop","Other"},A255)),0)),"")</f>
        <v>Other</v>
      </c>
      <c r="D255" t="str" cm="1">
        <f t="array" ref="D255">IFERROR(INDEX({"Small","Medium","Large"},MATCH(TRUE,ISNUMBER(SEARCH({"Small","Medium","Large"},A255)),0)),"")</f>
        <v>Large</v>
      </c>
      <c r="E255" t="str">
        <f t="shared" si="3"/>
        <v>0.016</v>
      </c>
    </row>
    <row r="256" spans="1:5" x14ac:dyDescent="0.3">
      <c r="A256" t="s">
        <v>254</v>
      </c>
      <c r="B256" t="str" cm="1">
        <f t="array" ref="B256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redcedar"},A256)),0)),"")</f>
        <v>Douglas-fir (east OR)</v>
      </c>
      <c r="C256" t="str" cm="1">
        <f t="array" ref="C256">IFERROR(INDEX({"Ridgetop","Other"},MATCH(TRUE,ISNUMBER(SEARCH({"Ridgetop","Other"},A256)),0)),"")</f>
        <v>Other</v>
      </c>
      <c r="D256" t="str" cm="1">
        <f t="array" ref="D256">IFERROR(INDEX({"Small","Medium","Large"},MATCH(TRUE,ISNUMBER(SEARCH({"Small","Medium","Large"},A256)),0)),"")</f>
        <v>Small</v>
      </c>
      <c r="E256" t="str">
        <f t="shared" si="3"/>
        <v>0.076</v>
      </c>
    </row>
    <row r="257" spans="1:5" x14ac:dyDescent="0.3">
      <c r="A257" t="s">
        <v>255</v>
      </c>
      <c r="B257" t="str" cm="1">
        <f t="array" ref="B257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redcedar"},A257)),0)),"")</f>
        <v>Douglas-fir (east OR)</v>
      </c>
      <c r="C257" t="str" cm="1">
        <f t="array" ref="C257">IFERROR(INDEX({"Ridgetop","Other"},MATCH(TRUE,ISNUMBER(SEARCH({"Ridgetop","Other"},A257)),0)),"")</f>
        <v>Other</v>
      </c>
      <c r="D257" t="str" cm="1">
        <f t="array" ref="D257">IFERROR(INDEX({"Small","Medium","Large"},MATCH(TRUE,ISNUMBER(SEARCH({"Small","Medium","Large"},A257)),0)),"")</f>
        <v>Medium</v>
      </c>
      <c r="E257" t="str">
        <f t="shared" si="3"/>
        <v>0.032</v>
      </c>
    </row>
    <row r="258" spans="1:5" x14ac:dyDescent="0.3">
      <c r="A258" t="s">
        <v>256</v>
      </c>
      <c r="B258" t="str" cm="1">
        <f t="array" ref="B258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redcedar"},A258)),0)),"")</f>
        <v>Douglas-fir (east OR)</v>
      </c>
      <c r="C258" t="str" cm="1">
        <f t="array" ref="C258">IFERROR(INDEX({"Ridgetop","Other"},MATCH(TRUE,ISNUMBER(SEARCH({"Ridgetop","Other"},A258)),0)),"")</f>
        <v>Other</v>
      </c>
      <c r="D258" t="str" cm="1">
        <f t="array" ref="D258">IFERROR(INDEX({"Small","Medium","Large"},MATCH(TRUE,ISNUMBER(SEARCH({"Small","Medium","Large"},A258)),0)),"")</f>
        <v>Large</v>
      </c>
      <c r="E258" t="str">
        <f t="shared" si="3"/>
        <v>0.018</v>
      </c>
    </row>
    <row r="259" spans="1:5" x14ac:dyDescent="0.3">
      <c r="A259" t="s">
        <v>257</v>
      </c>
      <c r="B259" t="str" cm="1">
        <f t="array" ref="B259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redcedar"},A259)),0)),"")</f>
        <v>Douglas-fir (east OR)</v>
      </c>
      <c r="C259" t="str" cm="1">
        <f t="array" ref="C259">IFERROR(INDEX({"Ridgetop","Other"},MATCH(TRUE,ISNUMBER(SEARCH({"Ridgetop","Other"},A259)),0)),"")</f>
        <v>Other</v>
      </c>
      <c r="D259" t="str" cm="1">
        <f t="array" ref="D259">IFERROR(INDEX({"Small","Medium","Large"},MATCH(TRUE,ISNUMBER(SEARCH({"Small","Medium","Large"},A259)),0)),"")</f>
        <v>Small</v>
      </c>
      <c r="E259" t="str">
        <f t="shared" ref="E259:E322" si="4">RIGHT(A259,LEN(A259)-FIND("@",SUBSTITUTE(A259," ","@",LEN(A259)-LEN(SUBSTITUTE(A259," ","")))))</f>
        <v>0.091</v>
      </c>
    </row>
    <row r="260" spans="1:5" x14ac:dyDescent="0.3">
      <c r="A260" t="s">
        <v>258</v>
      </c>
      <c r="B260" t="str" cm="1">
        <f t="array" ref="B260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redcedar"},A260)),0)),"")</f>
        <v>Douglas-fir (east OR)</v>
      </c>
      <c r="C260" t="str" cm="1">
        <f t="array" ref="C260">IFERROR(INDEX({"Ridgetop","Other"},MATCH(TRUE,ISNUMBER(SEARCH({"Ridgetop","Other"},A260)),0)),"")</f>
        <v>Other</v>
      </c>
      <c r="D260" t="str" cm="1">
        <f t="array" ref="D260">IFERROR(INDEX({"Small","Medium","Large"},MATCH(TRUE,ISNUMBER(SEARCH({"Small","Medium","Large"},A260)),0)),"")</f>
        <v>Medium</v>
      </c>
      <c r="E260" t="str">
        <f t="shared" si="4"/>
        <v>0.038</v>
      </c>
    </row>
    <row r="261" spans="1:5" x14ac:dyDescent="0.3">
      <c r="A261" t="s">
        <v>259</v>
      </c>
      <c r="B261" t="str" cm="1">
        <f t="array" ref="B261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redcedar"},A261)),0)),"")</f>
        <v>Douglas-fir (east OR)</v>
      </c>
      <c r="C261" t="str" cm="1">
        <f t="array" ref="C261">IFERROR(INDEX({"Ridgetop","Other"},MATCH(TRUE,ISNUMBER(SEARCH({"Ridgetop","Other"},A261)),0)),"")</f>
        <v>Other</v>
      </c>
      <c r="D261" t="str" cm="1">
        <f t="array" ref="D261">IFERROR(INDEX({"Small","Medium","Large"},MATCH(TRUE,ISNUMBER(SEARCH({"Small","Medium","Large"},A261)),0)),"")</f>
        <v>Large</v>
      </c>
      <c r="E261" t="str">
        <f t="shared" si="4"/>
        <v>0.022</v>
      </c>
    </row>
    <row r="262" spans="1:5" x14ac:dyDescent="0.3">
      <c r="A262" t="s">
        <v>260</v>
      </c>
      <c r="B262" t="str" cm="1">
        <f t="array" ref="B262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redcedar"},A262)),0)),"")</f>
        <v>Douglas-fir (east OR)</v>
      </c>
      <c r="C262" t="str" cm="1">
        <f t="array" ref="C262">IFERROR(INDEX({"Ridgetop","Other"},MATCH(TRUE,ISNUMBER(SEARCH({"Ridgetop","Other"},A262)),0)),"")</f>
        <v>Ridgetop</v>
      </c>
      <c r="D262" t="str" cm="1">
        <f t="array" ref="D262">IFERROR(INDEX({"Small","Medium","Large"},MATCH(TRUE,ISNUMBER(SEARCH({"Small","Medium","Large"},A262)),0)),"")</f>
        <v>Small</v>
      </c>
      <c r="E262" t="str">
        <f t="shared" si="4"/>
        <v>0.129</v>
      </c>
    </row>
    <row r="263" spans="1:5" x14ac:dyDescent="0.3">
      <c r="A263" t="s">
        <v>261</v>
      </c>
      <c r="B263" t="str" cm="1">
        <f t="array" ref="B263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redcedar"},A263)),0)),"")</f>
        <v>Douglas-fir (east OR)</v>
      </c>
      <c r="C263" t="str" cm="1">
        <f t="array" ref="C263">IFERROR(INDEX({"Ridgetop","Other"},MATCH(TRUE,ISNUMBER(SEARCH({"Ridgetop","Other"},A263)),0)),"")</f>
        <v>Ridgetop</v>
      </c>
      <c r="D263" t="str" cm="1">
        <f t="array" ref="D263">IFERROR(INDEX({"Small","Medium","Large"},MATCH(TRUE,ISNUMBER(SEARCH({"Small","Medium","Large"},A263)),0)),"")</f>
        <v>Medium</v>
      </c>
      <c r="E263" t="str">
        <f t="shared" si="4"/>
        <v>0.054</v>
      </c>
    </row>
    <row r="264" spans="1:5" x14ac:dyDescent="0.3">
      <c r="A264" t="s">
        <v>262</v>
      </c>
      <c r="B264" t="str" cm="1">
        <f t="array" ref="B264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redcedar"},A264)),0)),"")</f>
        <v>Douglas-fir (east OR)</v>
      </c>
      <c r="C264" t="str" cm="1">
        <f t="array" ref="C264">IFERROR(INDEX({"Ridgetop","Other"},MATCH(TRUE,ISNUMBER(SEARCH({"Ridgetop","Other"},A264)),0)),"")</f>
        <v>Ridgetop</v>
      </c>
      <c r="D264" t="str" cm="1">
        <f t="array" ref="D264">IFERROR(INDEX({"Small","Medium","Large"},MATCH(TRUE,ISNUMBER(SEARCH({"Small","Medium","Large"},A264)),0)),"")</f>
        <v>Large</v>
      </c>
      <c r="E264" t="str">
        <f t="shared" si="4"/>
        <v>0.031</v>
      </c>
    </row>
    <row r="265" spans="1:5" x14ac:dyDescent="0.3">
      <c r="A265" t="s">
        <v>263</v>
      </c>
      <c r="B265" t="str" cm="1">
        <f t="array" ref="B265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redcedar"},A265)),0)),"")</f>
        <v>Douglas-fir (east OR)</v>
      </c>
      <c r="C265" t="str" cm="1">
        <f t="array" ref="C265">IFERROR(INDEX({"Ridgetop","Other"},MATCH(TRUE,ISNUMBER(SEARCH({"Ridgetop","Other"},A265)),0)),"")</f>
        <v>Ridgetop</v>
      </c>
      <c r="D265" t="str" cm="1">
        <f t="array" ref="D265">IFERROR(INDEX({"Small","Medium","Large"},MATCH(TRUE,ISNUMBER(SEARCH({"Small","Medium","Large"},A265)),0)),"")</f>
        <v>Small</v>
      </c>
      <c r="E265" t="str">
        <f t="shared" si="4"/>
        <v>0.129</v>
      </c>
    </row>
    <row r="266" spans="1:5" x14ac:dyDescent="0.3">
      <c r="A266" t="s">
        <v>264</v>
      </c>
      <c r="B266" t="str" cm="1">
        <f t="array" ref="B266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redcedar"},A266)),0)),"")</f>
        <v>Douglas-fir (east OR)</v>
      </c>
      <c r="C266" t="str" cm="1">
        <f t="array" ref="C266">IFERROR(INDEX({"Ridgetop","Other"},MATCH(TRUE,ISNUMBER(SEARCH({"Ridgetop","Other"},A266)),0)),"")</f>
        <v>Ridgetop</v>
      </c>
      <c r="D266" t="str" cm="1">
        <f t="array" ref="D266">IFERROR(INDEX({"Small","Medium","Large"},MATCH(TRUE,ISNUMBER(SEARCH({"Small","Medium","Large"},A266)),0)),"")</f>
        <v>Medium</v>
      </c>
      <c r="E266" t="str">
        <f t="shared" si="4"/>
        <v>0.054</v>
      </c>
    </row>
    <row r="267" spans="1:5" x14ac:dyDescent="0.3">
      <c r="A267" t="s">
        <v>265</v>
      </c>
      <c r="B267" t="str" cm="1">
        <f t="array" ref="B267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redcedar"},A267)),0)),"")</f>
        <v>Douglas-fir (east OR)</v>
      </c>
      <c r="C267" t="str" cm="1">
        <f t="array" ref="C267">IFERROR(INDEX({"Ridgetop","Other"},MATCH(TRUE,ISNUMBER(SEARCH({"Ridgetop","Other"},A267)),0)),"")</f>
        <v>Ridgetop</v>
      </c>
      <c r="D267" t="str" cm="1">
        <f t="array" ref="D267">IFERROR(INDEX({"Small","Medium","Large"},MATCH(TRUE,ISNUMBER(SEARCH({"Small","Medium","Large"},A267)),0)),"")</f>
        <v>Large</v>
      </c>
      <c r="E267" t="str">
        <f t="shared" si="4"/>
        <v>0.031</v>
      </c>
    </row>
    <row r="268" spans="1:5" x14ac:dyDescent="0.3">
      <c r="A268" t="s">
        <v>266</v>
      </c>
      <c r="B268" t="str" cm="1">
        <f t="array" ref="B268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redcedar"},A268)),0)),"")</f>
        <v>Douglas-fir (east OR)</v>
      </c>
      <c r="C268" t="str" cm="1">
        <f t="array" ref="C268">IFERROR(INDEX({"Ridgetop","Other"},MATCH(TRUE,ISNUMBER(SEARCH({"Ridgetop","Other"},A268)),0)),"")</f>
        <v>Ridgetop</v>
      </c>
      <c r="D268" t="str" cm="1">
        <f t="array" ref="D268">IFERROR(INDEX({"Small","Medium","Large"},MATCH(TRUE,ISNUMBER(SEARCH({"Small","Medium","Large"},A268)),0)),"")</f>
        <v>Small</v>
      </c>
      <c r="E268" t="str">
        <f t="shared" si="4"/>
        <v>0.137</v>
      </c>
    </row>
    <row r="269" spans="1:5" x14ac:dyDescent="0.3">
      <c r="A269" t="s">
        <v>267</v>
      </c>
      <c r="B269" t="str" cm="1">
        <f t="array" ref="B269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redcedar"},A269)),0)),"")</f>
        <v>Douglas-fir (east OR)</v>
      </c>
      <c r="C269" t="str" cm="1">
        <f t="array" ref="C269">IFERROR(INDEX({"Ridgetop","Other"},MATCH(TRUE,ISNUMBER(SEARCH({"Ridgetop","Other"},A269)),0)),"")</f>
        <v>Ridgetop</v>
      </c>
      <c r="D269" t="str" cm="1">
        <f t="array" ref="D269">IFERROR(INDEX({"Small","Medium","Large"},MATCH(TRUE,ISNUMBER(SEARCH({"Small","Medium","Large"},A269)),0)),"")</f>
        <v>Medium</v>
      </c>
      <c r="E269" t="str">
        <f t="shared" si="4"/>
        <v>0.058</v>
      </c>
    </row>
    <row r="270" spans="1:5" x14ac:dyDescent="0.3">
      <c r="A270" t="s">
        <v>268</v>
      </c>
      <c r="B270" t="str" cm="1">
        <f t="array" ref="B270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redcedar"},A270)),0)),"")</f>
        <v>Douglas-fir (east OR)</v>
      </c>
      <c r="C270" t="str" cm="1">
        <f t="array" ref="C270">IFERROR(INDEX({"Ridgetop","Other"},MATCH(TRUE,ISNUMBER(SEARCH({"Ridgetop","Other"},A270)),0)),"")</f>
        <v>Ridgetop</v>
      </c>
      <c r="D270" t="str" cm="1">
        <f t="array" ref="D270">IFERROR(INDEX({"Small","Medium","Large"},MATCH(TRUE,ISNUMBER(SEARCH({"Small","Medium","Large"},A270)),0)),"")</f>
        <v>Large</v>
      </c>
      <c r="E270" t="str">
        <f t="shared" si="4"/>
        <v>0.032</v>
      </c>
    </row>
    <row r="271" spans="1:5" x14ac:dyDescent="0.3">
      <c r="A271" t="s">
        <v>269</v>
      </c>
      <c r="B271" t="str" cm="1">
        <f t="array" ref="B271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redcedar"},A271)),0)),"")</f>
        <v>Douglas-fir (east OR)</v>
      </c>
      <c r="C271" t="str" cm="1">
        <f t="array" ref="C271">IFERROR(INDEX({"Ridgetop","Other"},MATCH(TRUE,ISNUMBER(SEARCH({"Ridgetop","Other"},A271)),0)),"")</f>
        <v>Other</v>
      </c>
      <c r="D271" t="str" cm="1">
        <f t="array" ref="D271">IFERROR(INDEX({"Small","Medium","Large"},MATCH(TRUE,ISNUMBER(SEARCH({"Small","Medium","Large"},A271)),0)),"")</f>
        <v>Small</v>
      </c>
      <c r="E271" t="str">
        <f t="shared" si="4"/>
        <v>0.084</v>
      </c>
    </row>
    <row r="272" spans="1:5" x14ac:dyDescent="0.3">
      <c r="A272" t="s">
        <v>270</v>
      </c>
      <c r="B272" t="str" cm="1">
        <f t="array" ref="B272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redcedar"},A272)),0)),"")</f>
        <v>Douglas-fir (east OR)</v>
      </c>
      <c r="C272" t="str" cm="1">
        <f t="array" ref="C272">IFERROR(INDEX({"Ridgetop","Other"},MATCH(TRUE,ISNUMBER(SEARCH({"Ridgetop","Other"},A272)),0)),"")</f>
        <v>Other</v>
      </c>
      <c r="D272" t="str" cm="1">
        <f t="array" ref="D272">IFERROR(INDEX({"Small","Medium","Large"},MATCH(TRUE,ISNUMBER(SEARCH({"Small","Medium","Large"},A272)),0)),"")</f>
        <v>Medium</v>
      </c>
      <c r="E272" t="str">
        <f t="shared" si="4"/>
        <v>0.035</v>
      </c>
    </row>
    <row r="273" spans="1:5" x14ac:dyDescent="0.3">
      <c r="A273" t="s">
        <v>271</v>
      </c>
      <c r="B273" t="str" cm="1">
        <f t="array" ref="B273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redcedar"},A273)),0)),"")</f>
        <v>Douglas-fir (east OR)</v>
      </c>
      <c r="C273" t="str" cm="1">
        <f t="array" ref="C273">IFERROR(INDEX({"Ridgetop","Other"},MATCH(TRUE,ISNUMBER(SEARCH({"Ridgetop","Other"},A273)),0)),"")</f>
        <v>Other</v>
      </c>
      <c r="D273" t="str" cm="1">
        <f t="array" ref="D273">IFERROR(INDEX({"Small","Medium","Large"},MATCH(TRUE,ISNUMBER(SEARCH({"Small","Medium","Large"},A273)),0)),"")</f>
        <v>Large</v>
      </c>
      <c r="E273" t="str">
        <f t="shared" si="4"/>
        <v>0.020</v>
      </c>
    </row>
    <row r="274" spans="1:5" x14ac:dyDescent="0.3">
      <c r="A274" t="s">
        <v>272</v>
      </c>
      <c r="B274" t="str" cm="1">
        <f t="array" ref="B274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redcedar"},A274)),0)),"")</f>
        <v>Douglas-fir (east OR)</v>
      </c>
      <c r="C274" t="str" cm="1">
        <f t="array" ref="C274">IFERROR(INDEX({"Ridgetop","Other"},MATCH(TRUE,ISNUMBER(SEARCH({"Ridgetop","Other"},A274)),0)),"")</f>
        <v>Other</v>
      </c>
      <c r="D274" t="str" cm="1">
        <f t="array" ref="D274">IFERROR(INDEX({"Small","Medium","Large"},MATCH(TRUE,ISNUMBER(SEARCH({"Small","Medium","Large"},A274)),0)),"")</f>
        <v>Small</v>
      </c>
      <c r="E274" t="str">
        <f t="shared" si="4"/>
        <v>0.091</v>
      </c>
    </row>
    <row r="275" spans="1:5" x14ac:dyDescent="0.3">
      <c r="A275" t="s">
        <v>273</v>
      </c>
      <c r="B275" t="str" cm="1">
        <f t="array" ref="B275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redcedar"},A275)),0)),"")</f>
        <v>Douglas-fir (east OR)</v>
      </c>
      <c r="C275" t="str" cm="1">
        <f t="array" ref="C275">IFERROR(INDEX({"Ridgetop","Other"},MATCH(TRUE,ISNUMBER(SEARCH({"Ridgetop","Other"},A275)),0)),"")</f>
        <v>Other</v>
      </c>
      <c r="D275" t="str" cm="1">
        <f t="array" ref="D275">IFERROR(INDEX({"Small","Medium","Large"},MATCH(TRUE,ISNUMBER(SEARCH({"Small","Medium","Large"},A275)),0)),"")</f>
        <v>Medium</v>
      </c>
      <c r="E275" t="str">
        <f t="shared" si="4"/>
        <v>0.038</v>
      </c>
    </row>
    <row r="276" spans="1:5" x14ac:dyDescent="0.3">
      <c r="A276" t="s">
        <v>274</v>
      </c>
      <c r="B276" t="str" cm="1">
        <f t="array" ref="B276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redcedar"},A276)),0)),"")</f>
        <v>Douglas-fir (east OR)</v>
      </c>
      <c r="C276" t="str" cm="1">
        <f t="array" ref="C276">IFERROR(INDEX({"Ridgetop","Other"},MATCH(TRUE,ISNUMBER(SEARCH({"Ridgetop","Other"},A276)),0)),"")</f>
        <v>Other</v>
      </c>
      <c r="D276" t="str" cm="1">
        <f t="array" ref="D276">IFERROR(INDEX({"Small","Medium","Large"},MATCH(TRUE,ISNUMBER(SEARCH({"Small","Medium","Large"},A276)),0)),"")</f>
        <v>Large</v>
      </c>
      <c r="E276" t="str">
        <f t="shared" si="4"/>
        <v>0.022</v>
      </c>
    </row>
    <row r="277" spans="1:5" x14ac:dyDescent="0.3">
      <c r="A277" t="s">
        <v>275</v>
      </c>
      <c r="B277" t="str" cm="1">
        <f t="array" ref="B277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redcedar"},A277)),0)),"")</f>
        <v>Douglas-fir (east OR)</v>
      </c>
      <c r="C277" t="str" cm="1">
        <f t="array" ref="C277">IFERROR(INDEX({"Ridgetop","Other"},MATCH(TRUE,ISNUMBER(SEARCH({"Ridgetop","Other"},A277)),0)),"")</f>
        <v>Other</v>
      </c>
      <c r="D277" t="str" cm="1">
        <f t="array" ref="D277">IFERROR(INDEX({"Small","Medium","Large"},MATCH(TRUE,ISNUMBER(SEARCH({"Small","Medium","Large"},A277)),0)),"")</f>
        <v>Small</v>
      </c>
      <c r="E277" t="str">
        <f t="shared" si="4"/>
        <v>0.091</v>
      </c>
    </row>
    <row r="278" spans="1:5" x14ac:dyDescent="0.3">
      <c r="A278" t="s">
        <v>276</v>
      </c>
      <c r="B278" t="str" cm="1">
        <f t="array" ref="B278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redcedar"},A278)),0)),"")</f>
        <v>Douglas-fir (east OR)</v>
      </c>
      <c r="C278" t="str" cm="1">
        <f t="array" ref="C278">IFERROR(INDEX({"Ridgetop","Other"},MATCH(TRUE,ISNUMBER(SEARCH({"Ridgetop","Other"},A278)),0)),"")</f>
        <v>Other</v>
      </c>
      <c r="D278" t="str" cm="1">
        <f t="array" ref="D278">IFERROR(INDEX({"Small","Medium","Large"},MATCH(TRUE,ISNUMBER(SEARCH({"Small","Medium","Large"},A278)),0)),"")</f>
        <v>Medium</v>
      </c>
      <c r="E278" t="str">
        <f t="shared" si="4"/>
        <v>0.038</v>
      </c>
    </row>
    <row r="279" spans="1:5" x14ac:dyDescent="0.3">
      <c r="A279" t="s">
        <v>277</v>
      </c>
      <c r="B279" t="str" cm="1">
        <f t="array" ref="B279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redcedar"},A279)),0)),"")</f>
        <v>Douglas-fir (east OR)</v>
      </c>
      <c r="C279" t="str" cm="1">
        <f t="array" ref="C279">IFERROR(INDEX({"Ridgetop","Other"},MATCH(TRUE,ISNUMBER(SEARCH({"Ridgetop","Other"},A279)),0)),"")</f>
        <v>Other</v>
      </c>
      <c r="D279" t="str" cm="1">
        <f t="array" ref="D279">IFERROR(INDEX({"Small","Medium","Large"},MATCH(TRUE,ISNUMBER(SEARCH({"Small","Medium","Large"},A279)),0)),"")</f>
        <v>Large</v>
      </c>
      <c r="E279" t="str">
        <f t="shared" si="4"/>
        <v>0.022</v>
      </c>
    </row>
    <row r="280" spans="1:5" x14ac:dyDescent="0.3">
      <c r="A280" t="s">
        <v>278</v>
      </c>
      <c r="B280" t="str" cm="1">
        <f t="array" ref="B280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redcedar"},A280)),0)),"")</f>
        <v>Douglas-fir (east OR)</v>
      </c>
      <c r="C280" t="str" cm="1">
        <f t="array" ref="C280">IFERROR(INDEX({"Ridgetop","Other"},MATCH(TRUE,ISNUMBER(SEARCH({"Ridgetop","Other"},A280)),0)),"")</f>
        <v>Ridgetop</v>
      </c>
      <c r="D280" t="str" cm="1">
        <f t="array" ref="D280">IFERROR(INDEX({"Small","Medium","Large"},MATCH(TRUE,ISNUMBER(SEARCH({"Small","Medium","Large"},A280)),0)),"")</f>
        <v>Small</v>
      </c>
      <c r="E280" t="str">
        <f t="shared" si="4"/>
        <v>0.152</v>
      </c>
    </row>
    <row r="281" spans="1:5" x14ac:dyDescent="0.3">
      <c r="A281" t="s">
        <v>279</v>
      </c>
      <c r="B281" t="str" cm="1">
        <f t="array" ref="B281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redcedar"},A281)),0)),"")</f>
        <v>Douglas-fir (east OR)</v>
      </c>
      <c r="C281" t="str" cm="1">
        <f t="array" ref="C281">IFERROR(INDEX({"Ridgetop","Other"},MATCH(TRUE,ISNUMBER(SEARCH({"Ridgetop","Other"},A281)),0)),"")</f>
        <v>Ridgetop</v>
      </c>
      <c r="D281" t="str" cm="1">
        <f t="array" ref="D281">IFERROR(INDEX({"Small","Medium","Large"},MATCH(TRUE,ISNUMBER(SEARCH({"Small","Medium","Large"},A281)),0)),"")</f>
        <v>Medium</v>
      </c>
      <c r="E281" t="str">
        <f t="shared" si="4"/>
        <v>0.064</v>
      </c>
    </row>
    <row r="282" spans="1:5" x14ac:dyDescent="0.3">
      <c r="A282" t="s">
        <v>280</v>
      </c>
      <c r="B282" t="str" cm="1">
        <f t="array" ref="B282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redcedar"},A282)),0)),"")</f>
        <v>Douglas-fir (east OR)</v>
      </c>
      <c r="C282" t="str" cm="1">
        <f t="array" ref="C282">IFERROR(INDEX({"Ridgetop","Other"},MATCH(TRUE,ISNUMBER(SEARCH({"Ridgetop","Other"},A282)),0)),"")</f>
        <v>Ridgetop</v>
      </c>
      <c r="D282" t="str" cm="1">
        <f t="array" ref="D282">IFERROR(INDEX({"Small","Medium","Large"},MATCH(TRUE,ISNUMBER(SEARCH({"Small","Medium","Large"},A282)),0)),"")</f>
        <v>Large</v>
      </c>
      <c r="E282" t="str">
        <f t="shared" si="4"/>
        <v>0.036</v>
      </c>
    </row>
    <row r="283" spans="1:5" x14ac:dyDescent="0.3">
      <c r="A283" t="s">
        <v>281</v>
      </c>
      <c r="B283" t="str" cm="1">
        <f t="array" ref="B283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redcedar"},A283)),0)),"")</f>
        <v>Douglas-fir (east OR)</v>
      </c>
      <c r="C283" t="str" cm="1">
        <f t="array" ref="C283">IFERROR(INDEX({"Ridgetop","Other"},MATCH(TRUE,ISNUMBER(SEARCH({"Ridgetop","Other"},A283)),0)),"")</f>
        <v>Ridgetop</v>
      </c>
      <c r="D283" t="str" cm="1">
        <f t="array" ref="D283">IFERROR(INDEX({"Small","Medium","Large"},MATCH(TRUE,ISNUMBER(SEARCH({"Small","Medium","Large"},A283)),0)),"")</f>
        <v>Small</v>
      </c>
      <c r="E283" t="str">
        <f t="shared" si="4"/>
        <v>0.152</v>
      </c>
    </row>
    <row r="284" spans="1:5" x14ac:dyDescent="0.3">
      <c r="A284" t="s">
        <v>282</v>
      </c>
      <c r="B284" t="str" cm="1">
        <f t="array" ref="B284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redcedar"},A284)),0)),"")</f>
        <v>Douglas-fir (east OR)</v>
      </c>
      <c r="C284" t="str" cm="1">
        <f t="array" ref="C284">IFERROR(INDEX({"Ridgetop","Other"},MATCH(TRUE,ISNUMBER(SEARCH({"Ridgetop","Other"},A284)),0)),"")</f>
        <v>Ridgetop</v>
      </c>
      <c r="D284" t="str" cm="1">
        <f t="array" ref="D284">IFERROR(INDEX({"Small","Medium","Large"},MATCH(TRUE,ISNUMBER(SEARCH({"Small","Medium","Large"},A284)),0)),"")</f>
        <v>Medium</v>
      </c>
      <c r="E284" t="str">
        <f t="shared" si="4"/>
        <v>0.064</v>
      </c>
    </row>
    <row r="285" spans="1:5" x14ac:dyDescent="0.3">
      <c r="A285" t="s">
        <v>283</v>
      </c>
      <c r="B285" t="str" cm="1">
        <f t="array" ref="B285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redcedar"},A285)),0)),"")</f>
        <v>Douglas-fir (east OR)</v>
      </c>
      <c r="C285" t="str" cm="1">
        <f t="array" ref="C285">IFERROR(INDEX({"Ridgetop","Other"},MATCH(TRUE,ISNUMBER(SEARCH({"Ridgetop","Other"},A285)),0)),"")</f>
        <v>Ridgetop</v>
      </c>
      <c r="D285" t="str" cm="1">
        <f t="array" ref="D285">IFERROR(INDEX({"Small","Medium","Large"},MATCH(TRUE,ISNUMBER(SEARCH({"Small","Medium","Large"},A285)),0)),"")</f>
        <v>Large</v>
      </c>
      <c r="E285" t="str">
        <f t="shared" si="4"/>
        <v>0.036</v>
      </c>
    </row>
    <row r="286" spans="1:5" x14ac:dyDescent="0.3">
      <c r="A286" t="s">
        <v>284</v>
      </c>
      <c r="B286" t="str" cm="1">
        <f t="array" ref="B286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redcedar"},A286)),0)),"")</f>
        <v>Douglas-fir (east OR)</v>
      </c>
      <c r="C286" t="str" cm="1">
        <f t="array" ref="C286">IFERROR(INDEX({"Ridgetop","Other"},MATCH(TRUE,ISNUMBER(SEARCH({"Ridgetop","Other"},A286)),0)),"")</f>
        <v>Ridgetop</v>
      </c>
      <c r="D286" t="str" cm="1">
        <f t="array" ref="D286">IFERROR(INDEX({"Small","Medium","Large"},MATCH(TRUE,ISNUMBER(SEARCH({"Small","Medium","Large"},A286)),0)),"")</f>
        <v>Small</v>
      </c>
      <c r="E286" t="str">
        <f t="shared" si="4"/>
        <v>0.152</v>
      </c>
    </row>
    <row r="287" spans="1:5" x14ac:dyDescent="0.3">
      <c r="A287" t="s">
        <v>285</v>
      </c>
      <c r="B287" t="str" cm="1">
        <f t="array" ref="B287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redcedar"},A287)),0)),"")</f>
        <v>Douglas-fir (east OR)</v>
      </c>
      <c r="C287" t="str" cm="1">
        <f t="array" ref="C287">IFERROR(INDEX({"Ridgetop","Other"},MATCH(TRUE,ISNUMBER(SEARCH({"Ridgetop","Other"},A287)),0)),"")</f>
        <v>Ridgetop</v>
      </c>
      <c r="D287" t="str" cm="1">
        <f t="array" ref="D287">IFERROR(INDEX({"Small","Medium","Large"},MATCH(TRUE,ISNUMBER(SEARCH({"Small","Medium","Large"},A287)),0)),"")</f>
        <v>Medium</v>
      </c>
      <c r="E287" t="str">
        <f t="shared" si="4"/>
        <v>0.064</v>
      </c>
    </row>
    <row r="288" spans="1:5" x14ac:dyDescent="0.3">
      <c r="A288" t="s">
        <v>286</v>
      </c>
      <c r="B288" t="str" cm="1">
        <f t="array" ref="B288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redcedar"},A288)),0)),"")</f>
        <v>Douglas-fir (east OR)</v>
      </c>
      <c r="C288" t="str" cm="1">
        <f t="array" ref="C288">IFERROR(INDEX({"Ridgetop","Other"},MATCH(TRUE,ISNUMBER(SEARCH({"Ridgetop","Other"},A288)),0)),"")</f>
        <v>Ridgetop</v>
      </c>
      <c r="D288" t="str" cm="1">
        <f t="array" ref="D288">IFERROR(INDEX({"Small","Medium","Large"},MATCH(TRUE,ISNUMBER(SEARCH({"Small","Medium","Large"},A288)),0)),"")</f>
        <v>Large</v>
      </c>
      <c r="E288" t="str">
        <f t="shared" si="4"/>
        <v>0.036</v>
      </c>
    </row>
    <row r="289" spans="1:5" x14ac:dyDescent="0.3">
      <c r="A289" t="s">
        <v>287</v>
      </c>
      <c r="B289" t="str" cm="1">
        <f t="array" ref="B289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redcedar"},A289)),0)),"")</f>
        <v>Douglas-fir (east OR)</v>
      </c>
      <c r="C289" t="str" cm="1">
        <f t="array" ref="C289">IFERROR(INDEX({"Ridgetop","Other"},MATCH(TRUE,ISNUMBER(SEARCH({"Ridgetop","Other"},A289)),0)),"")</f>
        <v>Other</v>
      </c>
      <c r="D289" t="str" cm="1">
        <f t="array" ref="D289">IFERROR(INDEX({"Small","Medium","Large"},MATCH(TRUE,ISNUMBER(SEARCH({"Small","Medium","Large"},A289)),0)),"")</f>
        <v>Small</v>
      </c>
      <c r="E289" t="str">
        <f t="shared" si="4"/>
        <v>0.074</v>
      </c>
    </row>
    <row r="290" spans="1:5" x14ac:dyDescent="0.3">
      <c r="A290" t="s">
        <v>288</v>
      </c>
      <c r="B290" t="str" cm="1">
        <f t="array" ref="B290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redcedar"},A290)),0)),"")</f>
        <v>Douglas-fir (east OR)</v>
      </c>
      <c r="C290" t="str" cm="1">
        <f t="array" ref="C290">IFERROR(INDEX({"Ridgetop","Other"},MATCH(TRUE,ISNUMBER(SEARCH({"Ridgetop","Other"},A290)),0)),"")</f>
        <v>Other</v>
      </c>
      <c r="D290" t="str" cm="1">
        <f t="array" ref="D290">IFERROR(INDEX({"Small","Medium","Large"},MATCH(TRUE,ISNUMBER(SEARCH({"Small","Medium","Large"},A290)),0)),"")</f>
        <v>Medium</v>
      </c>
      <c r="E290" t="str">
        <f t="shared" si="4"/>
        <v>0.031</v>
      </c>
    </row>
    <row r="291" spans="1:5" x14ac:dyDescent="0.3">
      <c r="A291" t="s">
        <v>289</v>
      </c>
      <c r="B291" t="str" cm="1">
        <f t="array" ref="B291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redcedar"},A291)),0)),"")</f>
        <v>Douglas-fir (east OR)</v>
      </c>
      <c r="C291" t="str" cm="1">
        <f t="array" ref="C291">IFERROR(INDEX({"Ridgetop","Other"},MATCH(TRUE,ISNUMBER(SEARCH({"Ridgetop","Other"},A291)),0)),"")</f>
        <v>Other</v>
      </c>
      <c r="D291" t="str" cm="1">
        <f t="array" ref="D291">IFERROR(INDEX({"Small","Medium","Large"},MATCH(TRUE,ISNUMBER(SEARCH({"Small","Medium","Large"},A291)),0)),"")</f>
        <v>Large</v>
      </c>
      <c r="E291" t="str">
        <f t="shared" si="4"/>
        <v>0.018</v>
      </c>
    </row>
    <row r="292" spans="1:5" x14ac:dyDescent="0.3">
      <c r="A292" t="s">
        <v>290</v>
      </c>
      <c r="B292" t="str" cm="1">
        <f t="array" ref="B292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redcedar"},A292)),0)),"")</f>
        <v>Douglas-fir (east OR)</v>
      </c>
      <c r="C292" t="str" cm="1">
        <f t="array" ref="C292">IFERROR(INDEX({"Ridgetop","Other"},MATCH(TRUE,ISNUMBER(SEARCH({"Ridgetop","Other"},A292)),0)),"")</f>
        <v>Other</v>
      </c>
      <c r="D292" t="str" cm="1">
        <f t="array" ref="D292">IFERROR(INDEX({"Small","Medium","Large"},MATCH(TRUE,ISNUMBER(SEARCH({"Small","Medium","Large"},A292)),0)),"")</f>
        <v>Small</v>
      </c>
      <c r="E292" t="str">
        <f t="shared" si="4"/>
        <v>0.084</v>
      </c>
    </row>
    <row r="293" spans="1:5" x14ac:dyDescent="0.3">
      <c r="A293" t="s">
        <v>291</v>
      </c>
      <c r="B293" t="str" cm="1">
        <f t="array" ref="B293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redcedar"},A293)),0)),"")</f>
        <v>Douglas-fir (east OR)</v>
      </c>
      <c r="C293" t="str" cm="1">
        <f t="array" ref="C293">IFERROR(INDEX({"Ridgetop","Other"},MATCH(TRUE,ISNUMBER(SEARCH({"Ridgetop","Other"},A293)),0)),"")</f>
        <v>Other</v>
      </c>
      <c r="D293" t="str" cm="1">
        <f t="array" ref="D293">IFERROR(INDEX({"Small","Medium","Large"},MATCH(TRUE,ISNUMBER(SEARCH({"Small","Medium","Large"},A293)),0)),"")</f>
        <v>Medium</v>
      </c>
      <c r="E293" t="str">
        <f t="shared" si="4"/>
        <v>0.035</v>
      </c>
    </row>
    <row r="294" spans="1:5" x14ac:dyDescent="0.3">
      <c r="A294" t="s">
        <v>292</v>
      </c>
      <c r="B294" t="str" cm="1">
        <f t="array" ref="B294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redcedar"},A294)),0)),"")</f>
        <v>Douglas-fir (east OR)</v>
      </c>
      <c r="C294" t="str" cm="1">
        <f t="array" ref="C294">IFERROR(INDEX({"Ridgetop","Other"},MATCH(TRUE,ISNUMBER(SEARCH({"Ridgetop","Other"},A294)),0)),"")</f>
        <v>Other</v>
      </c>
      <c r="D294" t="str" cm="1">
        <f t="array" ref="D294">IFERROR(INDEX({"Small","Medium","Large"},MATCH(TRUE,ISNUMBER(SEARCH({"Small","Medium","Large"},A294)),0)),"")</f>
        <v>Large</v>
      </c>
      <c r="E294" t="str">
        <f t="shared" si="4"/>
        <v>0.020</v>
      </c>
    </row>
    <row r="295" spans="1:5" x14ac:dyDescent="0.3">
      <c r="A295" t="s">
        <v>293</v>
      </c>
      <c r="B295" t="str" cm="1">
        <f t="array" ref="B295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redcedar"},A295)),0)),"")</f>
        <v>Douglas-fir (east OR)</v>
      </c>
      <c r="C295" t="str" cm="1">
        <f t="array" ref="C295">IFERROR(INDEX({"Ridgetop","Other"},MATCH(TRUE,ISNUMBER(SEARCH({"Ridgetop","Other"},A295)),0)),"")</f>
        <v>Other</v>
      </c>
      <c r="D295" t="str" cm="1">
        <f t="array" ref="D295">IFERROR(INDEX({"Small","Medium","Large"},MATCH(TRUE,ISNUMBER(SEARCH({"Small","Medium","Large"},A295)),0)),"")</f>
        <v>Small</v>
      </c>
      <c r="E295" t="str">
        <f t="shared" si="4"/>
        <v>0.091</v>
      </c>
    </row>
    <row r="296" spans="1:5" x14ac:dyDescent="0.3">
      <c r="A296" t="s">
        <v>294</v>
      </c>
      <c r="B296" t="str" cm="1">
        <f t="array" ref="B296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redcedar"},A296)),0)),"")</f>
        <v>Douglas-fir (east OR)</v>
      </c>
      <c r="C296" t="str" cm="1">
        <f t="array" ref="C296">IFERROR(INDEX({"Ridgetop","Other"},MATCH(TRUE,ISNUMBER(SEARCH({"Ridgetop","Other"},A296)),0)),"")</f>
        <v>Other</v>
      </c>
      <c r="D296" t="str" cm="1">
        <f t="array" ref="D296">IFERROR(INDEX({"Small","Medium","Large"},MATCH(TRUE,ISNUMBER(SEARCH({"Small","Medium","Large"},A296)),0)),"")</f>
        <v>Medium</v>
      </c>
      <c r="E296" t="str">
        <f t="shared" si="4"/>
        <v>0.038</v>
      </c>
    </row>
    <row r="297" spans="1:5" x14ac:dyDescent="0.3">
      <c r="A297" t="s">
        <v>295</v>
      </c>
      <c r="B297" t="str" cm="1">
        <f t="array" ref="B297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redcedar"},A297)),0)),"")</f>
        <v>Douglas-fir (east OR)</v>
      </c>
      <c r="C297" t="str" cm="1">
        <f t="array" ref="C297">IFERROR(INDEX({"Ridgetop","Other"},MATCH(TRUE,ISNUMBER(SEARCH({"Ridgetop","Other"},A297)),0)),"")</f>
        <v>Other</v>
      </c>
      <c r="D297" t="str" cm="1">
        <f t="array" ref="D297">IFERROR(INDEX({"Small","Medium","Large"},MATCH(TRUE,ISNUMBER(SEARCH({"Small","Medium","Large"},A297)),0)),"")</f>
        <v>Large</v>
      </c>
      <c r="E297" t="str">
        <f t="shared" si="4"/>
        <v>0.022</v>
      </c>
    </row>
    <row r="298" spans="1:5" x14ac:dyDescent="0.3">
      <c r="A298" t="s">
        <v>296</v>
      </c>
      <c r="B298" t="str" cm="1">
        <f t="array" ref="B298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redcedar"},A298)),0)),"")</f>
        <v>Douglas-fir (east OR)</v>
      </c>
      <c r="C298" t="str" cm="1">
        <f t="array" ref="C298">IFERROR(INDEX({"Ridgetop","Other"},MATCH(TRUE,ISNUMBER(SEARCH({"Ridgetop","Other"},A298)),0)),"")</f>
        <v>Ridgetop</v>
      </c>
      <c r="D298" t="str" cm="1">
        <f t="array" ref="D298">IFERROR(INDEX({"Small","Medium","Large"},MATCH(TRUE,ISNUMBER(SEARCH({"Small","Medium","Large"},A298)),0)),"")</f>
        <v>Small</v>
      </c>
      <c r="E298" t="str">
        <f t="shared" si="4"/>
        <v>0.141</v>
      </c>
    </row>
    <row r="299" spans="1:5" x14ac:dyDescent="0.3">
      <c r="A299" t="s">
        <v>297</v>
      </c>
      <c r="B299" t="str" cm="1">
        <f t="array" ref="B299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redcedar"},A299)),0)),"")</f>
        <v>Douglas-fir (east OR)</v>
      </c>
      <c r="C299" t="str" cm="1">
        <f t="array" ref="C299">IFERROR(INDEX({"Ridgetop","Other"},MATCH(TRUE,ISNUMBER(SEARCH({"Ridgetop","Other"},A299)),0)),"")</f>
        <v>Ridgetop</v>
      </c>
      <c r="D299" t="str" cm="1">
        <f t="array" ref="D299">IFERROR(INDEX({"Small","Medium","Large"},MATCH(TRUE,ISNUMBER(SEARCH({"Small","Medium","Large"},A299)),0)),"")</f>
        <v>Medium</v>
      </c>
      <c r="E299" t="str">
        <f t="shared" si="4"/>
        <v>0.059</v>
      </c>
    </row>
    <row r="300" spans="1:5" x14ac:dyDescent="0.3">
      <c r="A300" t="s">
        <v>298</v>
      </c>
      <c r="B300" t="str" cm="1">
        <f t="array" ref="B300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redcedar"},A300)),0)),"")</f>
        <v>Douglas-fir (east OR)</v>
      </c>
      <c r="C300" t="str" cm="1">
        <f t="array" ref="C300">IFERROR(INDEX({"Ridgetop","Other"},MATCH(TRUE,ISNUMBER(SEARCH({"Ridgetop","Other"},A300)),0)),"")</f>
        <v>Ridgetop</v>
      </c>
      <c r="D300" t="str" cm="1">
        <f t="array" ref="D300">IFERROR(INDEX({"Small","Medium","Large"},MATCH(TRUE,ISNUMBER(SEARCH({"Small","Medium","Large"},A300)),0)),"")</f>
        <v>Large</v>
      </c>
      <c r="E300" t="str">
        <f t="shared" si="4"/>
        <v>0.033</v>
      </c>
    </row>
    <row r="301" spans="1:5" x14ac:dyDescent="0.3">
      <c r="A301" t="s">
        <v>299</v>
      </c>
      <c r="B301" t="str" cm="1">
        <f t="array" ref="B301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redcedar"},A301)),0)),"")</f>
        <v>Douglas-fir (east OR)</v>
      </c>
      <c r="C301" t="str" cm="1">
        <f t="array" ref="C301">IFERROR(INDEX({"Ridgetop","Other"},MATCH(TRUE,ISNUMBER(SEARCH({"Ridgetop","Other"},A301)),0)),"")</f>
        <v>Ridgetop</v>
      </c>
      <c r="D301" t="str" cm="1">
        <f t="array" ref="D301">IFERROR(INDEX({"Small","Medium","Large"},MATCH(TRUE,ISNUMBER(SEARCH({"Small","Medium","Large"},A301)),0)),"")</f>
        <v>Small</v>
      </c>
      <c r="E301" t="str">
        <f t="shared" si="4"/>
        <v>0.141</v>
      </c>
    </row>
    <row r="302" spans="1:5" x14ac:dyDescent="0.3">
      <c r="A302" t="s">
        <v>300</v>
      </c>
      <c r="B302" t="str" cm="1">
        <f t="array" ref="B302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redcedar"},A302)),0)),"")</f>
        <v>Douglas-fir (east OR)</v>
      </c>
      <c r="C302" t="str" cm="1">
        <f t="array" ref="C302">IFERROR(INDEX({"Ridgetop","Other"},MATCH(TRUE,ISNUMBER(SEARCH({"Ridgetop","Other"},A302)),0)),"")</f>
        <v>Ridgetop</v>
      </c>
      <c r="D302" t="str" cm="1">
        <f t="array" ref="D302">IFERROR(INDEX({"Small","Medium","Large"},MATCH(TRUE,ISNUMBER(SEARCH({"Small","Medium","Large"},A302)),0)),"")</f>
        <v>Medium</v>
      </c>
      <c r="E302" t="str">
        <f t="shared" si="4"/>
        <v>0.059</v>
      </c>
    </row>
    <row r="303" spans="1:5" x14ac:dyDescent="0.3">
      <c r="A303" t="s">
        <v>301</v>
      </c>
      <c r="B303" t="str" cm="1">
        <f t="array" ref="B303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redcedar"},A303)),0)),"")</f>
        <v>Douglas-fir (east OR)</v>
      </c>
      <c r="C303" t="str" cm="1">
        <f t="array" ref="C303">IFERROR(INDEX({"Ridgetop","Other"},MATCH(TRUE,ISNUMBER(SEARCH({"Ridgetop","Other"},A303)),0)),"")</f>
        <v>Ridgetop</v>
      </c>
      <c r="D303" t="str" cm="1">
        <f t="array" ref="D303">IFERROR(INDEX({"Small","Medium","Large"},MATCH(TRUE,ISNUMBER(SEARCH({"Small","Medium","Large"},A303)),0)),"")</f>
        <v>Large</v>
      </c>
      <c r="E303" t="str">
        <f t="shared" si="4"/>
        <v>0.033</v>
      </c>
    </row>
    <row r="304" spans="1:5" x14ac:dyDescent="0.3">
      <c r="A304" t="s">
        <v>302</v>
      </c>
      <c r="B304" t="str" cm="1">
        <f t="array" ref="B304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redcedar"},A304)),0)),"")</f>
        <v>Douglas-fir (east OR)</v>
      </c>
      <c r="C304" t="str" cm="1">
        <f t="array" ref="C304">IFERROR(INDEX({"Ridgetop","Other"},MATCH(TRUE,ISNUMBER(SEARCH({"Ridgetop","Other"},A304)),0)),"")</f>
        <v>Ridgetop</v>
      </c>
      <c r="D304" t="str" cm="1">
        <f t="array" ref="D304">IFERROR(INDEX({"Small","Medium","Large"},MATCH(TRUE,ISNUMBER(SEARCH({"Small","Medium","Large"},A304)),0)),"")</f>
        <v>Small</v>
      </c>
      <c r="E304" t="str">
        <f t="shared" si="4"/>
        <v>0.144</v>
      </c>
    </row>
    <row r="305" spans="1:5" x14ac:dyDescent="0.3">
      <c r="A305" t="s">
        <v>303</v>
      </c>
      <c r="B305" t="str" cm="1">
        <f t="array" ref="B305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redcedar"},A305)),0)),"")</f>
        <v>Douglas-fir (east OR)</v>
      </c>
      <c r="C305" t="str" cm="1">
        <f t="array" ref="C305">IFERROR(INDEX({"Ridgetop","Other"},MATCH(TRUE,ISNUMBER(SEARCH({"Ridgetop","Other"},A305)),0)),"")</f>
        <v>Ridgetop</v>
      </c>
      <c r="D305" t="str" cm="1">
        <f t="array" ref="D305">IFERROR(INDEX({"Small","Medium","Large"},MATCH(TRUE,ISNUMBER(SEARCH({"Small","Medium","Large"},A305)),0)),"")</f>
        <v>Medium</v>
      </c>
      <c r="E305" t="str">
        <f t="shared" si="4"/>
        <v>0.061</v>
      </c>
    </row>
    <row r="306" spans="1:5" x14ac:dyDescent="0.3">
      <c r="A306" t="s">
        <v>304</v>
      </c>
      <c r="B306" t="str" cm="1">
        <f t="array" ref="B306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redcedar"},A306)),0)),"")</f>
        <v>Douglas-fir (east OR)</v>
      </c>
      <c r="C306" t="str" cm="1">
        <f t="array" ref="C306">IFERROR(INDEX({"Ridgetop","Other"},MATCH(TRUE,ISNUMBER(SEARCH({"Ridgetop","Other"},A306)),0)),"")</f>
        <v>Ridgetop</v>
      </c>
      <c r="D306" t="str" cm="1">
        <f t="array" ref="D306">IFERROR(INDEX({"Small","Medium","Large"},MATCH(TRUE,ISNUMBER(SEARCH({"Small","Medium","Large"},A306)),0)),"")</f>
        <v>Large</v>
      </c>
      <c r="E306" t="str">
        <f t="shared" si="4"/>
        <v>0.034</v>
      </c>
    </row>
    <row r="307" spans="1:5" x14ac:dyDescent="0.3">
      <c r="A307" t="s">
        <v>305</v>
      </c>
      <c r="B307" t="str" cm="1">
        <f t="array" ref="B307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redcedar"},A307)),0)),"")</f>
        <v>Douglas-fir (east OR)</v>
      </c>
      <c r="C307" t="str" cm="1">
        <f t="array" ref="C307">IFERROR(INDEX({"Ridgetop","Other"},MATCH(TRUE,ISNUMBER(SEARCH({"Ridgetop","Other"},A307)),0)),"")</f>
        <v>Other</v>
      </c>
      <c r="D307" t="str" cm="1">
        <f t="array" ref="D307">IFERROR(INDEX({"Small","Medium","Large"},MATCH(TRUE,ISNUMBER(SEARCH({"Small","Medium","Large"},A307)),0)),"")</f>
        <v>Small</v>
      </c>
      <c r="E307" t="str">
        <f t="shared" si="4"/>
        <v>0.084</v>
      </c>
    </row>
    <row r="308" spans="1:5" x14ac:dyDescent="0.3">
      <c r="A308" t="s">
        <v>306</v>
      </c>
      <c r="B308" t="str" cm="1">
        <f t="array" ref="B308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redcedar"},A308)),0)),"")</f>
        <v>Douglas-fir (east OR)</v>
      </c>
      <c r="C308" t="str" cm="1">
        <f t="array" ref="C308">IFERROR(INDEX({"Ridgetop","Other"},MATCH(TRUE,ISNUMBER(SEARCH({"Ridgetop","Other"},A308)),0)),"")</f>
        <v>Other</v>
      </c>
      <c r="D308" t="str" cm="1">
        <f t="array" ref="D308">IFERROR(INDEX({"Small","Medium","Large"},MATCH(TRUE,ISNUMBER(SEARCH({"Small","Medium","Large"},A308)),0)),"")</f>
        <v>Medium</v>
      </c>
      <c r="E308" t="str">
        <f t="shared" si="4"/>
        <v>0.035</v>
      </c>
    </row>
    <row r="309" spans="1:5" x14ac:dyDescent="0.3">
      <c r="A309" t="s">
        <v>307</v>
      </c>
      <c r="B309" t="str" cm="1">
        <f t="array" ref="B309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redcedar"},A309)),0)),"")</f>
        <v>Douglas-fir (east OR)</v>
      </c>
      <c r="C309" t="str" cm="1">
        <f t="array" ref="C309">IFERROR(INDEX({"Ridgetop","Other"},MATCH(TRUE,ISNUMBER(SEARCH({"Ridgetop","Other"},A309)),0)),"")</f>
        <v>Other</v>
      </c>
      <c r="D309" t="str" cm="1">
        <f t="array" ref="D309">IFERROR(INDEX({"Small","Medium","Large"},MATCH(TRUE,ISNUMBER(SEARCH({"Small","Medium","Large"},A309)),0)),"")</f>
        <v>Large</v>
      </c>
      <c r="E309" t="str">
        <f t="shared" si="4"/>
        <v>0.020</v>
      </c>
    </row>
    <row r="310" spans="1:5" x14ac:dyDescent="0.3">
      <c r="A310" t="s">
        <v>308</v>
      </c>
      <c r="B310" t="str" cm="1">
        <f t="array" ref="B310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redcedar"},A310)),0)),"")</f>
        <v>Douglas-fir (east OR)</v>
      </c>
      <c r="C310" t="str" cm="1">
        <f t="array" ref="C310">IFERROR(INDEX({"Ridgetop","Other"},MATCH(TRUE,ISNUMBER(SEARCH({"Ridgetop","Other"},A310)),0)),"")</f>
        <v>Other</v>
      </c>
      <c r="D310" t="str" cm="1">
        <f t="array" ref="D310">IFERROR(INDEX({"Small","Medium","Large"},MATCH(TRUE,ISNUMBER(SEARCH({"Small","Medium","Large"},A310)),0)),"")</f>
        <v>Small</v>
      </c>
      <c r="E310" t="str">
        <f t="shared" si="4"/>
        <v>0.091</v>
      </c>
    </row>
    <row r="311" spans="1:5" x14ac:dyDescent="0.3">
      <c r="A311" t="s">
        <v>309</v>
      </c>
      <c r="B311" t="str" cm="1">
        <f t="array" ref="B311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redcedar"},A311)),0)),"")</f>
        <v>Douglas-fir (east OR)</v>
      </c>
      <c r="C311" t="str" cm="1">
        <f t="array" ref="C311">IFERROR(INDEX({"Ridgetop","Other"},MATCH(TRUE,ISNUMBER(SEARCH({"Ridgetop","Other"},A311)),0)),"")</f>
        <v>Other</v>
      </c>
      <c r="D311" t="str" cm="1">
        <f t="array" ref="D311">IFERROR(INDEX({"Small","Medium","Large"},MATCH(TRUE,ISNUMBER(SEARCH({"Small","Medium","Large"},A311)),0)),"")</f>
        <v>Medium</v>
      </c>
      <c r="E311" t="str">
        <f t="shared" si="4"/>
        <v>0.038</v>
      </c>
    </row>
    <row r="312" spans="1:5" x14ac:dyDescent="0.3">
      <c r="A312" t="s">
        <v>310</v>
      </c>
      <c r="B312" t="str" cm="1">
        <f t="array" ref="B312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redcedar"},A312)),0)),"")</f>
        <v>Douglas-fir (east OR)</v>
      </c>
      <c r="C312" t="str" cm="1">
        <f t="array" ref="C312">IFERROR(INDEX({"Ridgetop","Other"},MATCH(TRUE,ISNUMBER(SEARCH({"Ridgetop","Other"},A312)),0)),"")</f>
        <v>Other</v>
      </c>
      <c r="D312" t="str" cm="1">
        <f t="array" ref="D312">IFERROR(INDEX({"Small","Medium","Large"},MATCH(TRUE,ISNUMBER(SEARCH({"Small","Medium","Large"},A312)),0)),"")</f>
        <v>Large</v>
      </c>
      <c r="E312" t="str">
        <f t="shared" si="4"/>
        <v>0.022</v>
      </c>
    </row>
    <row r="313" spans="1:5" x14ac:dyDescent="0.3">
      <c r="A313" t="s">
        <v>311</v>
      </c>
      <c r="B313" t="str" cm="1">
        <f t="array" ref="B313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redcedar"},A313)),0)),"")</f>
        <v>Douglas-fir (east OR)</v>
      </c>
      <c r="C313" t="str" cm="1">
        <f t="array" ref="C313">IFERROR(INDEX({"Ridgetop","Other"},MATCH(TRUE,ISNUMBER(SEARCH({"Ridgetop","Other"},A313)),0)),"")</f>
        <v>Other</v>
      </c>
      <c r="D313" t="str" cm="1">
        <f t="array" ref="D313">IFERROR(INDEX({"Small","Medium","Large"},MATCH(TRUE,ISNUMBER(SEARCH({"Small","Medium","Large"},A313)),0)),"")</f>
        <v>Small</v>
      </c>
      <c r="E313" t="str">
        <f t="shared" si="4"/>
        <v>0.091</v>
      </c>
    </row>
    <row r="314" spans="1:5" x14ac:dyDescent="0.3">
      <c r="A314" t="s">
        <v>312</v>
      </c>
      <c r="B314" t="str" cm="1">
        <f t="array" ref="B314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redcedar"},A314)),0)),"")</f>
        <v>Douglas-fir (east OR)</v>
      </c>
      <c r="C314" t="str" cm="1">
        <f t="array" ref="C314">IFERROR(INDEX({"Ridgetop","Other"},MATCH(TRUE,ISNUMBER(SEARCH({"Ridgetop","Other"},A314)),0)),"")</f>
        <v>Other</v>
      </c>
      <c r="D314" t="str" cm="1">
        <f t="array" ref="D314">IFERROR(INDEX({"Small","Medium","Large"},MATCH(TRUE,ISNUMBER(SEARCH({"Small","Medium","Large"},A314)),0)),"")</f>
        <v>Medium</v>
      </c>
      <c r="E314" t="str">
        <f t="shared" si="4"/>
        <v>0.038</v>
      </c>
    </row>
    <row r="315" spans="1:5" x14ac:dyDescent="0.3">
      <c r="A315" t="s">
        <v>313</v>
      </c>
      <c r="B315" t="str" cm="1">
        <f t="array" ref="B315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redcedar"},A315)),0)),"")</f>
        <v>Douglas-fir (east OR)</v>
      </c>
      <c r="C315" t="str" cm="1">
        <f t="array" ref="C315">IFERROR(INDEX({"Ridgetop","Other"},MATCH(TRUE,ISNUMBER(SEARCH({"Ridgetop","Other"},A315)),0)),"")</f>
        <v>Other</v>
      </c>
      <c r="D315" t="str" cm="1">
        <f t="array" ref="D315">IFERROR(INDEX({"Small","Medium","Large"},MATCH(TRUE,ISNUMBER(SEARCH({"Small","Medium","Large"},A315)),0)),"")</f>
        <v>Large</v>
      </c>
      <c r="E315" t="str">
        <f t="shared" si="4"/>
        <v>0.022</v>
      </c>
    </row>
    <row r="316" spans="1:5" x14ac:dyDescent="0.3">
      <c r="A316" t="s">
        <v>314</v>
      </c>
      <c r="B316" t="str" cm="1">
        <f t="array" ref="B316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redcedar"},A316)),0)),"")</f>
        <v>Douglas-fir (east OR)</v>
      </c>
      <c r="C316" t="str" cm="1">
        <f t="array" ref="C316">IFERROR(INDEX({"Ridgetop","Other"},MATCH(TRUE,ISNUMBER(SEARCH({"Ridgetop","Other"},A316)),0)),"")</f>
        <v>Ridgetop</v>
      </c>
      <c r="D316" t="str" cm="1">
        <f t="array" ref="D316">IFERROR(INDEX({"Small","Medium","Large"},MATCH(TRUE,ISNUMBER(SEARCH({"Small","Medium","Large"},A316)),0)),"")</f>
        <v>Small</v>
      </c>
      <c r="E316" t="str">
        <f t="shared" si="4"/>
        <v>0.152</v>
      </c>
    </row>
    <row r="317" spans="1:5" x14ac:dyDescent="0.3">
      <c r="A317" t="s">
        <v>315</v>
      </c>
      <c r="B317" t="str" cm="1">
        <f t="array" ref="B317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redcedar"},A317)),0)),"")</f>
        <v>Douglas-fir (east OR)</v>
      </c>
      <c r="C317" t="str" cm="1">
        <f t="array" ref="C317">IFERROR(INDEX({"Ridgetop","Other"},MATCH(TRUE,ISNUMBER(SEARCH({"Ridgetop","Other"},A317)),0)),"")</f>
        <v>Ridgetop</v>
      </c>
      <c r="D317" t="str" cm="1">
        <f t="array" ref="D317">IFERROR(INDEX({"Small","Medium","Large"},MATCH(TRUE,ISNUMBER(SEARCH({"Small","Medium","Large"},A317)),0)),"")</f>
        <v>Medium</v>
      </c>
      <c r="E317" t="str">
        <f t="shared" si="4"/>
        <v>0.064</v>
      </c>
    </row>
    <row r="318" spans="1:5" x14ac:dyDescent="0.3">
      <c r="A318" t="s">
        <v>316</v>
      </c>
      <c r="B318" t="str" cm="1">
        <f t="array" ref="B318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redcedar"},A318)),0)),"")</f>
        <v>Douglas-fir (east OR)</v>
      </c>
      <c r="C318" t="str" cm="1">
        <f t="array" ref="C318">IFERROR(INDEX({"Ridgetop","Other"},MATCH(TRUE,ISNUMBER(SEARCH({"Ridgetop","Other"},A318)),0)),"")</f>
        <v>Ridgetop</v>
      </c>
      <c r="D318" t="str" cm="1">
        <f t="array" ref="D318">IFERROR(INDEX({"Small","Medium","Large"},MATCH(TRUE,ISNUMBER(SEARCH({"Small","Medium","Large"},A318)),0)),"")</f>
        <v>Large</v>
      </c>
      <c r="E318" t="str">
        <f t="shared" si="4"/>
        <v>0.036</v>
      </c>
    </row>
    <row r="319" spans="1:5" x14ac:dyDescent="0.3">
      <c r="A319" t="s">
        <v>317</v>
      </c>
      <c r="B319" t="str" cm="1">
        <f t="array" ref="B319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redcedar"},A319)),0)),"")</f>
        <v>Douglas-fir (east OR)</v>
      </c>
      <c r="C319" t="str" cm="1">
        <f t="array" ref="C319">IFERROR(INDEX({"Ridgetop","Other"},MATCH(TRUE,ISNUMBER(SEARCH({"Ridgetop","Other"},A319)),0)),"")</f>
        <v>Ridgetop</v>
      </c>
      <c r="D319" t="str" cm="1">
        <f t="array" ref="D319">IFERROR(INDEX({"Small","Medium","Large"},MATCH(TRUE,ISNUMBER(SEARCH({"Small","Medium","Large"},A319)),0)),"")</f>
        <v>Small</v>
      </c>
      <c r="E319" t="str">
        <f t="shared" si="4"/>
        <v>0.152</v>
      </c>
    </row>
    <row r="320" spans="1:5" x14ac:dyDescent="0.3">
      <c r="A320" t="s">
        <v>318</v>
      </c>
      <c r="B320" t="str" cm="1">
        <f t="array" ref="B320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redcedar"},A320)),0)),"")</f>
        <v>Douglas-fir (east OR)</v>
      </c>
      <c r="C320" t="str" cm="1">
        <f t="array" ref="C320">IFERROR(INDEX({"Ridgetop","Other"},MATCH(TRUE,ISNUMBER(SEARCH({"Ridgetop","Other"},A320)),0)),"")</f>
        <v>Ridgetop</v>
      </c>
      <c r="D320" t="str" cm="1">
        <f t="array" ref="D320">IFERROR(INDEX({"Small","Medium","Large"},MATCH(TRUE,ISNUMBER(SEARCH({"Small","Medium","Large"},A320)),0)),"")</f>
        <v>Medium</v>
      </c>
      <c r="E320" t="str">
        <f t="shared" si="4"/>
        <v>0.064</v>
      </c>
    </row>
    <row r="321" spans="1:5" x14ac:dyDescent="0.3">
      <c r="A321" t="s">
        <v>319</v>
      </c>
      <c r="B321" t="str" cm="1">
        <f t="array" ref="B321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redcedar"},A321)),0)),"")</f>
        <v>Douglas-fir (east OR)</v>
      </c>
      <c r="C321" t="str" cm="1">
        <f t="array" ref="C321">IFERROR(INDEX({"Ridgetop","Other"},MATCH(TRUE,ISNUMBER(SEARCH({"Ridgetop","Other"},A321)),0)),"")</f>
        <v>Ridgetop</v>
      </c>
      <c r="D321" t="str" cm="1">
        <f t="array" ref="D321">IFERROR(INDEX({"Small","Medium","Large"},MATCH(TRUE,ISNUMBER(SEARCH({"Small","Medium","Large"},A321)),0)),"")</f>
        <v>Large</v>
      </c>
      <c r="E321" t="str">
        <f t="shared" si="4"/>
        <v>0.036</v>
      </c>
    </row>
    <row r="322" spans="1:5" x14ac:dyDescent="0.3">
      <c r="A322" t="s">
        <v>320</v>
      </c>
      <c r="B322" t="str" cm="1">
        <f t="array" ref="B322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redcedar"},A322)),0)),"")</f>
        <v>Douglas-fir (east OR)</v>
      </c>
      <c r="C322" t="str" cm="1">
        <f t="array" ref="C322">IFERROR(INDEX({"Ridgetop","Other"},MATCH(TRUE,ISNUMBER(SEARCH({"Ridgetop","Other"},A322)),0)),"")</f>
        <v>Ridgetop</v>
      </c>
      <c r="D322" t="str" cm="1">
        <f t="array" ref="D322">IFERROR(INDEX({"Small","Medium","Large"},MATCH(TRUE,ISNUMBER(SEARCH({"Small","Medium","Large"},A322)),0)),"")</f>
        <v>Small</v>
      </c>
      <c r="E322" t="str">
        <f t="shared" si="4"/>
        <v>0.152</v>
      </c>
    </row>
    <row r="323" spans="1:5" x14ac:dyDescent="0.3">
      <c r="A323" t="s">
        <v>321</v>
      </c>
      <c r="B323" t="str" cm="1">
        <f t="array" ref="B323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redcedar"},A323)),0)),"")</f>
        <v>Douglas-fir (east OR)</v>
      </c>
      <c r="C323" t="str" cm="1">
        <f t="array" ref="C323">IFERROR(INDEX({"Ridgetop","Other"},MATCH(TRUE,ISNUMBER(SEARCH({"Ridgetop","Other"},A323)),0)),"")</f>
        <v>Ridgetop</v>
      </c>
      <c r="D323" t="str" cm="1">
        <f t="array" ref="D323">IFERROR(INDEX({"Small","Medium","Large"},MATCH(TRUE,ISNUMBER(SEARCH({"Small","Medium","Large"},A323)),0)),"")</f>
        <v>Medium</v>
      </c>
      <c r="E323" t="str">
        <f t="shared" ref="E323:E386" si="5">RIGHT(A323,LEN(A323)-FIND("@",SUBSTITUTE(A323," ","@",LEN(A323)-LEN(SUBSTITUTE(A323," ","")))))</f>
        <v>0.064</v>
      </c>
    </row>
    <row r="324" spans="1:5" x14ac:dyDescent="0.3">
      <c r="A324" t="s">
        <v>322</v>
      </c>
      <c r="B324" t="str" cm="1">
        <f t="array" ref="B324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redcedar"},A324)),0)),"")</f>
        <v>Douglas-fir (east OR)</v>
      </c>
      <c r="C324" t="str" cm="1">
        <f t="array" ref="C324">IFERROR(INDEX({"Ridgetop","Other"},MATCH(TRUE,ISNUMBER(SEARCH({"Ridgetop","Other"},A324)),0)),"")</f>
        <v>Ridgetop</v>
      </c>
      <c r="D324" t="str" cm="1">
        <f t="array" ref="D324">IFERROR(INDEX({"Small","Medium","Large"},MATCH(TRUE,ISNUMBER(SEARCH({"Small","Medium","Large"},A324)),0)),"")</f>
        <v>Large</v>
      </c>
      <c r="E324" t="str">
        <f t="shared" si="5"/>
        <v>0.036</v>
      </c>
    </row>
    <row r="325" spans="1:5" x14ac:dyDescent="0.3">
      <c r="A325" t="s">
        <v>323</v>
      </c>
      <c r="B325" t="str" cm="1">
        <f t="array" ref="B325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redcedar"},A325)),0)),"")</f>
        <v>Douglas-fir (east WA)</v>
      </c>
      <c r="C325" t="str" cm="1">
        <f t="array" ref="C325">IFERROR(INDEX({"Ridgetop","Other"},MATCH(TRUE,ISNUMBER(SEARCH({"Ridgetop","Other"},A325)),0)),"")</f>
        <v>Other</v>
      </c>
      <c r="D325" t="str" cm="1">
        <f t="array" ref="D325">IFERROR(INDEX({"Small","Medium","Large"},MATCH(TRUE,ISNUMBER(SEARCH({"Small","Medium","Large"},A325)),0)),"")</f>
        <v>Small</v>
      </c>
      <c r="E325" t="str">
        <f t="shared" si="5"/>
        <v>0.051</v>
      </c>
    </row>
    <row r="326" spans="1:5" x14ac:dyDescent="0.3">
      <c r="A326" t="s">
        <v>324</v>
      </c>
      <c r="B326" t="str" cm="1">
        <f t="array" ref="B326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redcedar"},A326)),0)),"")</f>
        <v>Douglas-fir (east WA)</v>
      </c>
      <c r="C326" t="str" cm="1">
        <f t="array" ref="C326">IFERROR(INDEX({"Ridgetop","Other"},MATCH(TRUE,ISNUMBER(SEARCH({"Ridgetop","Other"},A326)),0)),"")</f>
        <v>Other</v>
      </c>
      <c r="D326" t="str" cm="1">
        <f t="array" ref="D326">IFERROR(INDEX({"Small","Medium","Large"},MATCH(TRUE,ISNUMBER(SEARCH({"Small","Medium","Large"},A326)),0)),"")</f>
        <v>Medium</v>
      </c>
      <c r="E326" t="str">
        <f t="shared" si="5"/>
        <v>0.022</v>
      </c>
    </row>
    <row r="327" spans="1:5" x14ac:dyDescent="0.3">
      <c r="A327" t="s">
        <v>325</v>
      </c>
      <c r="B327" t="str" cm="1">
        <f t="array" ref="B327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redcedar"},A327)),0)),"")</f>
        <v>Douglas-fir (east WA)</v>
      </c>
      <c r="C327" t="str" cm="1">
        <f t="array" ref="C327">IFERROR(INDEX({"Ridgetop","Other"},MATCH(TRUE,ISNUMBER(SEARCH({"Ridgetop","Other"},A327)),0)),"")</f>
        <v>Other</v>
      </c>
      <c r="D327" t="str" cm="1">
        <f t="array" ref="D327">IFERROR(INDEX({"Small","Medium","Large"},MATCH(TRUE,ISNUMBER(SEARCH({"Small","Medium","Large"},A327)),0)),"")</f>
        <v>Large</v>
      </c>
      <c r="E327" t="str">
        <f t="shared" si="5"/>
        <v>0.016</v>
      </c>
    </row>
    <row r="328" spans="1:5" x14ac:dyDescent="0.3">
      <c r="A328" t="s">
        <v>326</v>
      </c>
      <c r="B328" t="str" cm="1">
        <f t="array" ref="B328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redcedar"},A328)),0)),"")</f>
        <v>Douglas-fir (east WA)</v>
      </c>
      <c r="C328" t="str" cm="1">
        <f t="array" ref="C328">IFERROR(INDEX({"Ridgetop","Other"},MATCH(TRUE,ISNUMBER(SEARCH({"Ridgetop","Other"},A328)),0)),"")</f>
        <v>Other</v>
      </c>
      <c r="D328" t="str" cm="1">
        <f t="array" ref="D328">IFERROR(INDEX({"Small","Medium","Large"},MATCH(TRUE,ISNUMBER(SEARCH({"Small","Medium","Large"},A328)),0)),"")</f>
        <v>Small</v>
      </c>
      <c r="E328" t="str">
        <f t="shared" si="5"/>
        <v>0.057</v>
      </c>
    </row>
    <row r="329" spans="1:5" x14ac:dyDescent="0.3">
      <c r="A329" t="s">
        <v>327</v>
      </c>
      <c r="B329" t="str" cm="1">
        <f t="array" ref="B329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redcedar"},A329)),0)),"")</f>
        <v>Douglas-fir (east WA)</v>
      </c>
      <c r="C329" t="str" cm="1">
        <f t="array" ref="C329">IFERROR(INDEX({"Ridgetop","Other"},MATCH(TRUE,ISNUMBER(SEARCH({"Ridgetop","Other"},A329)),0)),"")</f>
        <v>Other</v>
      </c>
      <c r="D329" t="str" cm="1">
        <f t="array" ref="D329">IFERROR(INDEX({"Small","Medium","Large"},MATCH(TRUE,ISNUMBER(SEARCH({"Small","Medium","Large"},A329)),0)),"")</f>
        <v>Medium</v>
      </c>
      <c r="E329" t="str">
        <f t="shared" si="5"/>
        <v>0.024</v>
      </c>
    </row>
    <row r="330" spans="1:5" x14ac:dyDescent="0.3">
      <c r="A330" t="s">
        <v>328</v>
      </c>
      <c r="B330" t="str" cm="1">
        <f t="array" ref="B330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redcedar"},A330)),0)),"")</f>
        <v>Douglas-fir (east WA)</v>
      </c>
      <c r="C330" t="str" cm="1">
        <f t="array" ref="C330">IFERROR(INDEX({"Ridgetop","Other"},MATCH(TRUE,ISNUMBER(SEARCH({"Ridgetop","Other"},A330)),0)),"")</f>
        <v>Other</v>
      </c>
      <c r="D330" t="str" cm="1">
        <f t="array" ref="D330">IFERROR(INDEX({"Small","Medium","Large"},MATCH(TRUE,ISNUMBER(SEARCH({"Small","Medium","Large"},A330)),0)),"")</f>
        <v>Large</v>
      </c>
      <c r="E330" t="str">
        <f t="shared" si="5"/>
        <v>0.018</v>
      </c>
    </row>
    <row r="331" spans="1:5" x14ac:dyDescent="0.3">
      <c r="A331" t="s">
        <v>329</v>
      </c>
      <c r="B331" t="str" cm="1">
        <f t="array" ref="B331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redcedar"},A331)),0)),"")</f>
        <v>Douglas-fir (east WA)</v>
      </c>
      <c r="C331" t="str" cm="1">
        <f t="array" ref="C331">IFERROR(INDEX({"Ridgetop","Other"},MATCH(TRUE,ISNUMBER(SEARCH({"Ridgetop","Other"},A331)),0)),"")</f>
        <v>Other</v>
      </c>
      <c r="D331" t="str" cm="1">
        <f t="array" ref="D331">IFERROR(INDEX({"Small","Medium","Large"},MATCH(TRUE,ISNUMBER(SEARCH({"Small","Medium","Large"},A331)),0)),"")</f>
        <v>Small</v>
      </c>
      <c r="E331" t="str">
        <f t="shared" si="5"/>
        <v>0.070</v>
      </c>
    </row>
    <row r="332" spans="1:5" x14ac:dyDescent="0.3">
      <c r="A332" t="s">
        <v>330</v>
      </c>
      <c r="B332" t="str" cm="1">
        <f t="array" ref="B332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redcedar"},A332)),0)),"")</f>
        <v>Douglas-fir (east WA)</v>
      </c>
      <c r="C332" t="str" cm="1">
        <f t="array" ref="C332">IFERROR(INDEX({"Ridgetop","Other"},MATCH(TRUE,ISNUMBER(SEARCH({"Ridgetop","Other"},A332)),0)),"")</f>
        <v>Other</v>
      </c>
      <c r="D332" t="str" cm="1">
        <f t="array" ref="D332">IFERROR(INDEX({"Small","Medium","Large"},MATCH(TRUE,ISNUMBER(SEARCH({"Small","Medium","Large"},A332)),0)),"")</f>
        <v>Medium</v>
      </c>
      <c r="E332" t="str">
        <f t="shared" si="5"/>
        <v>0.030</v>
      </c>
    </row>
    <row r="333" spans="1:5" x14ac:dyDescent="0.3">
      <c r="A333" t="s">
        <v>331</v>
      </c>
      <c r="B333" t="str" cm="1">
        <f t="array" ref="B333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redcedar"},A333)),0)),"")</f>
        <v>Douglas-fir (east WA)</v>
      </c>
      <c r="C333" t="str" cm="1">
        <f t="array" ref="C333">IFERROR(INDEX({"Ridgetop","Other"},MATCH(TRUE,ISNUMBER(SEARCH({"Ridgetop","Other"},A333)),0)),"")</f>
        <v>Other</v>
      </c>
      <c r="D333" t="str" cm="1">
        <f t="array" ref="D333">IFERROR(INDEX({"Small","Medium","Large"},MATCH(TRUE,ISNUMBER(SEARCH({"Small","Medium","Large"},A333)),0)),"")</f>
        <v>Large</v>
      </c>
      <c r="E333" t="str">
        <f t="shared" si="5"/>
        <v>0.022</v>
      </c>
    </row>
    <row r="334" spans="1:5" x14ac:dyDescent="0.3">
      <c r="A334" t="s">
        <v>332</v>
      </c>
      <c r="B334" t="str" cm="1">
        <f t="array" ref="B334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redcedar"},A334)),0)),"")</f>
        <v>Douglas-fir (east WA)</v>
      </c>
      <c r="C334" t="str" cm="1">
        <f t="array" ref="C334">IFERROR(INDEX({"Ridgetop","Other"},MATCH(TRUE,ISNUMBER(SEARCH({"Ridgetop","Other"},A334)),0)),"")</f>
        <v>Ridgetop</v>
      </c>
      <c r="D334" t="str" cm="1">
        <f t="array" ref="D334">IFERROR(INDEX({"Small","Medium","Large"},MATCH(TRUE,ISNUMBER(SEARCH({"Small","Medium","Large"},A334)),0)),"")</f>
        <v>Small</v>
      </c>
      <c r="E334" t="str">
        <f t="shared" si="5"/>
        <v>0.090</v>
      </c>
    </row>
    <row r="335" spans="1:5" x14ac:dyDescent="0.3">
      <c r="A335" t="s">
        <v>333</v>
      </c>
      <c r="B335" t="str" cm="1">
        <f t="array" ref="B335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redcedar"},A335)),0)),"")</f>
        <v>Douglas-fir (east WA)</v>
      </c>
      <c r="C335" t="str" cm="1">
        <f t="array" ref="C335">IFERROR(INDEX({"Ridgetop","Other"},MATCH(TRUE,ISNUMBER(SEARCH({"Ridgetop","Other"},A335)),0)),"")</f>
        <v>Ridgetop</v>
      </c>
      <c r="D335" t="str" cm="1">
        <f t="array" ref="D335">IFERROR(INDEX({"Small","Medium","Large"},MATCH(TRUE,ISNUMBER(SEARCH({"Small","Medium","Large"},A335)),0)),"")</f>
        <v>Medium</v>
      </c>
      <c r="E335" t="str">
        <f t="shared" si="5"/>
        <v>0.039</v>
      </c>
    </row>
    <row r="336" spans="1:5" x14ac:dyDescent="0.3">
      <c r="A336" t="s">
        <v>334</v>
      </c>
      <c r="B336" t="str" cm="1">
        <f t="array" ref="B336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redcedar"},A336)),0)),"")</f>
        <v>Douglas-fir (east WA)</v>
      </c>
      <c r="C336" t="str" cm="1">
        <f t="array" ref="C336">IFERROR(INDEX({"Ridgetop","Other"},MATCH(TRUE,ISNUMBER(SEARCH({"Ridgetop","Other"},A336)),0)),"")</f>
        <v>Ridgetop</v>
      </c>
      <c r="D336" t="str" cm="1">
        <f t="array" ref="D336">IFERROR(INDEX({"Small","Medium","Large"},MATCH(TRUE,ISNUMBER(SEARCH({"Small","Medium","Large"},A336)),0)),"")</f>
        <v>Large</v>
      </c>
      <c r="E336" t="str">
        <f t="shared" si="5"/>
        <v>0.028</v>
      </c>
    </row>
    <row r="337" spans="1:5" x14ac:dyDescent="0.3">
      <c r="A337" t="s">
        <v>335</v>
      </c>
      <c r="B337" t="str" cm="1">
        <f t="array" ref="B337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redcedar"},A337)),0)),"")</f>
        <v>Douglas-fir (east WA)</v>
      </c>
      <c r="C337" t="str" cm="1">
        <f t="array" ref="C337">IFERROR(INDEX({"Ridgetop","Other"},MATCH(TRUE,ISNUMBER(SEARCH({"Ridgetop","Other"},A337)),0)),"")</f>
        <v>Ridgetop</v>
      </c>
      <c r="D337" t="str" cm="1">
        <f t="array" ref="D337">IFERROR(INDEX({"Small","Medium","Large"},MATCH(TRUE,ISNUMBER(SEARCH({"Small","Medium","Large"},A337)),0)),"")</f>
        <v>Small</v>
      </c>
      <c r="E337" t="str">
        <f t="shared" si="5"/>
        <v>0.093</v>
      </c>
    </row>
    <row r="338" spans="1:5" x14ac:dyDescent="0.3">
      <c r="A338" t="s">
        <v>336</v>
      </c>
      <c r="B338" t="str" cm="1">
        <f t="array" ref="B338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redcedar"},A338)),0)),"")</f>
        <v>Douglas-fir (east WA)</v>
      </c>
      <c r="C338" t="str" cm="1">
        <f t="array" ref="C338">IFERROR(INDEX({"Ridgetop","Other"},MATCH(TRUE,ISNUMBER(SEARCH({"Ridgetop","Other"},A338)),0)),"")</f>
        <v>Ridgetop</v>
      </c>
      <c r="D338" t="str" cm="1">
        <f t="array" ref="D338">IFERROR(INDEX({"Small","Medium","Large"},MATCH(TRUE,ISNUMBER(SEARCH({"Small","Medium","Large"},A338)),0)),"")</f>
        <v>Medium</v>
      </c>
      <c r="E338" t="str">
        <f t="shared" si="5"/>
        <v>0.040</v>
      </c>
    </row>
    <row r="339" spans="1:5" x14ac:dyDescent="0.3">
      <c r="A339" t="s">
        <v>337</v>
      </c>
      <c r="B339" t="str" cm="1">
        <f t="array" ref="B339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redcedar"},A339)),0)),"")</f>
        <v>Douglas-fir (east WA)</v>
      </c>
      <c r="C339" t="str" cm="1">
        <f t="array" ref="C339">IFERROR(INDEX({"Ridgetop","Other"},MATCH(TRUE,ISNUMBER(SEARCH({"Ridgetop","Other"},A339)),0)),"")</f>
        <v>Ridgetop</v>
      </c>
      <c r="D339" t="str" cm="1">
        <f t="array" ref="D339">IFERROR(INDEX({"Small","Medium","Large"},MATCH(TRUE,ISNUMBER(SEARCH({"Small","Medium","Large"},A339)),0)),"")</f>
        <v>Large</v>
      </c>
      <c r="E339" t="str">
        <f t="shared" si="5"/>
        <v>0.029</v>
      </c>
    </row>
    <row r="340" spans="1:5" x14ac:dyDescent="0.3">
      <c r="A340" t="s">
        <v>338</v>
      </c>
      <c r="B340" t="str" cm="1">
        <f t="array" ref="B340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redcedar"},A340)),0)),"")</f>
        <v>Douglas-fir (east WA)</v>
      </c>
      <c r="C340" t="str" cm="1">
        <f t="array" ref="C340">IFERROR(INDEX({"Ridgetop","Other"},MATCH(TRUE,ISNUMBER(SEARCH({"Ridgetop","Other"},A340)),0)),"")</f>
        <v>Ridgetop</v>
      </c>
      <c r="D340" t="str" cm="1">
        <f t="array" ref="D340">IFERROR(INDEX({"Small","Medium","Large"},MATCH(TRUE,ISNUMBER(SEARCH({"Small","Medium","Large"},A340)),0)),"")</f>
        <v>Small</v>
      </c>
      <c r="E340" t="str">
        <f t="shared" si="5"/>
        <v>0.099</v>
      </c>
    </row>
    <row r="341" spans="1:5" x14ac:dyDescent="0.3">
      <c r="A341" t="s">
        <v>339</v>
      </c>
      <c r="B341" t="str" cm="1">
        <f t="array" ref="B341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redcedar"},A341)),0)),"")</f>
        <v>Douglas-fir (east WA)</v>
      </c>
      <c r="C341" t="str" cm="1">
        <f t="array" ref="C341">IFERROR(INDEX({"Ridgetop","Other"},MATCH(TRUE,ISNUMBER(SEARCH({"Ridgetop","Other"},A341)),0)),"")</f>
        <v>Ridgetop</v>
      </c>
      <c r="D341" t="str" cm="1">
        <f t="array" ref="D341">IFERROR(INDEX({"Small","Medium","Large"},MATCH(TRUE,ISNUMBER(SEARCH({"Small","Medium","Large"},A341)),0)),"")</f>
        <v>Medium</v>
      </c>
      <c r="E341" t="str">
        <f t="shared" si="5"/>
        <v>0.043</v>
      </c>
    </row>
    <row r="342" spans="1:5" x14ac:dyDescent="0.3">
      <c r="A342" t="s">
        <v>340</v>
      </c>
      <c r="B342" t="str" cm="1">
        <f t="array" ref="B342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redcedar"},A342)),0)),"")</f>
        <v>Douglas-fir (east WA)</v>
      </c>
      <c r="C342" t="str" cm="1">
        <f t="array" ref="C342">IFERROR(INDEX({"Ridgetop","Other"},MATCH(TRUE,ISNUMBER(SEARCH({"Ridgetop","Other"},A342)),0)),"")</f>
        <v>Ridgetop</v>
      </c>
      <c r="D342" t="str" cm="1">
        <f t="array" ref="D342">IFERROR(INDEX({"Small","Medium","Large"},MATCH(TRUE,ISNUMBER(SEARCH({"Small","Medium","Large"},A342)),0)),"")</f>
        <v>Large</v>
      </c>
      <c r="E342" t="str">
        <f t="shared" si="5"/>
        <v>0.031</v>
      </c>
    </row>
    <row r="343" spans="1:5" x14ac:dyDescent="0.3">
      <c r="A343" t="s">
        <v>341</v>
      </c>
      <c r="B343" t="str" cm="1">
        <f t="array" ref="B343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redcedar"},A343)),0)),"")</f>
        <v>Douglas-fir (east WA)</v>
      </c>
      <c r="C343" t="str" cm="1">
        <f t="array" ref="C343">IFERROR(INDEX({"Ridgetop","Other"},MATCH(TRUE,ISNUMBER(SEARCH({"Ridgetop","Other"},A343)),0)),"")</f>
        <v>Other</v>
      </c>
      <c r="D343" t="str" cm="1">
        <f t="array" ref="D343">IFERROR(INDEX({"Small","Medium","Large"},MATCH(TRUE,ISNUMBER(SEARCH({"Small","Medium","Large"},A343)),0)),"")</f>
        <v>Small</v>
      </c>
      <c r="E343" t="str">
        <f t="shared" si="5"/>
        <v>0.064</v>
      </c>
    </row>
    <row r="344" spans="1:5" x14ac:dyDescent="0.3">
      <c r="A344" t="s">
        <v>342</v>
      </c>
      <c r="B344" t="str" cm="1">
        <f t="array" ref="B344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redcedar"},A344)),0)),"")</f>
        <v>Douglas-fir (east WA)</v>
      </c>
      <c r="C344" t="str" cm="1">
        <f t="array" ref="C344">IFERROR(INDEX({"Ridgetop","Other"},MATCH(TRUE,ISNUMBER(SEARCH({"Ridgetop","Other"},A344)),0)),"")</f>
        <v>Other</v>
      </c>
      <c r="D344" t="str" cm="1">
        <f t="array" ref="D344">IFERROR(INDEX({"Small","Medium","Large"},MATCH(TRUE,ISNUMBER(SEARCH({"Small","Medium","Large"},A344)),0)),"")</f>
        <v>Medium</v>
      </c>
      <c r="E344" t="str">
        <f t="shared" si="5"/>
        <v>0.028</v>
      </c>
    </row>
    <row r="345" spans="1:5" x14ac:dyDescent="0.3">
      <c r="A345" t="s">
        <v>343</v>
      </c>
      <c r="B345" t="str" cm="1">
        <f t="array" ref="B345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redcedar"},A345)),0)),"")</f>
        <v>Douglas-fir (east WA)</v>
      </c>
      <c r="C345" t="str" cm="1">
        <f t="array" ref="C345">IFERROR(INDEX({"Ridgetop","Other"},MATCH(TRUE,ISNUMBER(SEARCH({"Ridgetop","Other"},A345)),0)),"")</f>
        <v>Other</v>
      </c>
      <c r="D345" t="str" cm="1">
        <f t="array" ref="D345">IFERROR(INDEX({"Small","Medium","Large"},MATCH(TRUE,ISNUMBER(SEARCH({"Small","Medium","Large"},A345)),0)),"")</f>
        <v>Large</v>
      </c>
      <c r="E345" t="str">
        <f t="shared" si="5"/>
        <v>0.020</v>
      </c>
    </row>
    <row r="346" spans="1:5" x14ac:dyDescent="0.3">
      <c r="A346" t="s">
        <v>344</v>
      </c>
      <c r="B346" t="str" cm="1">
        <f t="array" ref="B346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redcedar"},A346)),0)),"")</f>
        <v>Douglas-fir (east WA)</v>
      </c>
      <c r="C346" t="str" cm="1">
        <f t="array" ref="C346">IFERROR(INDEX({"Ridgetop","Other"},MATCH(TRUE,ISNUMBER(SEARCH({"Ridgetop","Other"},A346)),0)),"")</f>
        <v>Other</v>
      </c>
      <c r="D346" t="str" cm="1">
        <f t="array" ref="D346">IFERROR(INDEX({"Small","Medium","Large"},MATCH(TRUE,ISNUMBER(SEARCH({"Small","Medium","Large"},A346)),0)),"")</f>
        <v>Small</v>
      </c>
      <c r="E346" t="str">
        <f t="shared" si="5"/>
        <v>0.070</v>
      </c>
    </row>
    <row r="347" spans="1:5" x14ac:dyDescent="0.3">
      <c r="A347" t="s">
        <v>345</v>
      </c>
      <c r="B347" t="str" cm="1">
        <f t="array" ref="B347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redcedar"},A347)),0)),"")</f>
        <v>Douglas-fir (east WA)</v>
      </c>
      <c r="C347" t="str" cm="1">
        <f t="array" ref="C347">IFERROR(INDEX({"Ridgetop","Other"},MATCH(TRUE,ISNUMBER(SEARCH({"Ridgetop","Other"},A347)),0)),"")</f>
        <v>Other</v>
      </c>
      <c r="D347" t="str" cm="1">
        <f t="array" ref="D347">IFERROR(INDEX({"Small","Medium","Large"},MATCH(TRUE,ISNUMBER(SEARCH({"Small","Medium","Large"},A347)),0)),"")</f>
        <v>Medium</v>
      </c>
      <c r="E347" t="str">
        <f t="shared" si="5"/>
        <v>0.030</v>
      </c>
    </row>
    <row r="348" spans="1:5" x14ac:dyDescent="0.3">
      <c r="A348" t="s">
        <v>346</v>
      </c>
      <c r="B348" t="str" cm="1">
        <f t="array" ref="B348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redcedar"},A348)),0)),"")</f>
        <v>Douglas-fir (east WA)</v>
      </c>
      <c r="C348" t="str" cm="1">
        <f t="array" ref="C348">IFERROR(INDEX({"Ridgetop","Other"},MATCH(TRUE,ISNUMBER(SEARCH({"Ridgetop","Other"},A348)),0)),"")</f>
        <v>Other</v>
      </c>
      <c r="D348" t="str" cm="1">
        <f t="array" ref="D348">IFERROR(INDEX({"Small","Medium","Large"},MATCH(TRUE,ISNUMBER(SEARCH({"Small","Medium","Large"},A348)),0)),"")</f>
        <v>Large</v>
      </c>
      <c r="E348" t="str">
        <f t="shared" si="5"/>
        <v>0.022</v>
      </c>
    </row>
    <row r="349" spans="1:5" x14ac:dyDescent="0.3">
      <c r="A349" t="s">
        <v>347</v>
      </c>
      <c r="B349" t="str" cm="1">
        <f t="array" ref="B349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redcedar"},A349)),0)),"")</f>
        <v>Douglas-fir (east WA)</v>
      </c>
      <c r="C349" t="str" cm="1">
        <f t="array" ref="C349">IFERROR(INDEX({"Ridgetop","Other"},MATCH(TRUE,ISNUMBER(SEARCH({"Ridgetop","Other"},A349)),0)),"")</f>
        <v>Other</v>
      </c>
      <c r="D349" t="str" cm="1">
        <f t="array" ref="D349">IFERROR(INDEX({"Small","Medium","Large"},MATCH(TRUE,ISNUMBER(SEARCH({"Small","Medium","Large"},A349)),0)),"")</f>
        <v>Small</v>
      </c>
      <c r="E349" t="str">
        <f t="shared" si="5"/>
        <v>0.070</v>
      </c>
    </row>
    <row r="350" spans="1:5" x14ac:dyDescent="0.3">
      <c r="A350" t="s">
        <v>348</v>
      </c>
      <c r="B350" t="str" cm="1">
        <f t="array" ref="B350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redcedar"},A350)),0)),"")</f>
        <v>Douglas-fir (east WA)</v>
      </c>
      <c r="C350" t="str" cm="1">
        <f t="array" ref="C350">IFERROR(INDEX({"Ridgetop","Other"},MATCH(TRUE,ISNUMBER(SEARCH({"Ridgetop","Other"},A350)),0)),"")</f>
        <v>Other</v>
      </c>
      <c r="D350" t="str" cm="1">
        <f t="array" ref="D350">IFERROR(INDEX({"Small","Medium","Large"},MATCH(TRUE,ISNUMBER(SEARCH({"Small","Medium","Large"},A350)),0)),"")</f>
        <v>Medium</v>
      </c>
      <c r="E350" t="str">
        <f t="shared" si="5"/>
        <v>0.030</v>
      </c>
    </row>
    <row r="351" spans="1:5" x14ac:dyDescent="0.3">
      <c r="A351" t="s">
        <v>349</v>
      </c>
      <c r="B351" t="str" cm="1">
        <f t="array" ref="B351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redcedar"},A351)),0)),"")</f>
        <v>Douglas-fir (east WA)</v>
      </c>
      <c r="C351" t="str" cm="1">
        <f t="array" ref="C351">IFERROR(INDEX({"Ridgetop","Other"},MATCH(TRUE,ISNUMBER(SEARCH({"Ridgetop","Other"},A351)),0)),"")</f>
        <v>Other</v>
      </c>
      <c r="D351" t="str" cm="1">
        <f t="array" ref="D351">IFERROR(INDEX({"Small","Medium","Large"},MATCH(TRUE,ISNUMBER(SEARCH({"Small","Medium","Large"},A351)),0)),"")</f>
        <v>Large</v>
      </c>
      <c r="E351" t="str">
        <f t="shared" si="5"/>
        <v>0.022</v>
      </c>
    </row>
    <row r="352" spans="1:5" x14ac:dyDescent="0.3">
      <c r="A352" t="s">
        <v>350</v>
      </c>
      <c r="B352" t="str" cm="1">
        <f t="array" ref="B352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redcedar"},A352)),0)),"")</f>
        <v>Douglas-fir (east WA)</v>
      </c>
      <c r="C352" t="str" cm="1">
        <f t="array" ref="C352">IFERROR(INDEX({"Ridgetop","Other"},MATCH(TRUE,ISNUMBER(SEARCH({"Ridgetop","Other"},A352)),0)),"")</f>
        <v>Ridgetop</v>
      </c>
      <c r="D352" t="str" cm="1">
        <f t="array" ref="D352">IFERROR(INDEX({"Small","Medium","Large"},MATCH(TRUE,ISNUMBER(SEARCH({"Small","Medium","Large"},A352)),0)),"")</f>
        <v>Small</v>
      </c>
      <c r="E352" t="str">
        <f t="shared" si="5"/>
        <v>0.116</v>
      </c>
    </row>
    <row r="353" spans="1:5" x14ac:dyDescent="0.3">
      <c r="A353" t="s">
        <v>351</v>
      </c>
      <c r="B353" t="str" cm="1">
        <f t="array" ref="B353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redcedar"},A353)),0)),"")</f>
        <v>Douglas-fir (east WA)</v>
      </c>
      <c r="C353" t="str" cm="1">
        <f t="array" ref="C353">IFERROR(INDEX({"Ridgetop","Other"},MATCH(TRUE,ISNUMBER(SEARCH({"Ridgetop","Other"},A353)),0)),"")</f>
        <v>Ridgetop</v>
      </c>
      <c r="D353" t="str" cm="1">
        <f t="array" ref="D353">IFERROR(INDEX({"Small","Medium","Large"},MATCH(TRUE,ISNUMBER(SEARCH({"Small","Medium","Large"},A353)),0)),"")</f>
        <v>Medium</v>
      </c>
      <c r="E353" t="str">
        <f t="shared" si="5"/>
        <v>0.050</v>
      </c>
    </row>
    <row r="354" spans="1:5" x14ac:dyDescent="0.3">
      <c r="A354" t="s">
        <v>352</v>
      </c>
      <c r="B354" t="str" cm="1">
        <f t="array" ref="B354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redcedar"},A354)),0)),"")</f>
        <v>Douglas-fir (east WA)</v>
      </c>
      <c r="C354" t="str" cm="1">
        <f t="array" ref="C354">IFERROR(INDEX({"Ridgetop","Other"},MATCH(TRUE,ISNUMBER(SEARCH({"Ridgetop","Other"},A354)),0)),"")</f>
        <v>Ridgetop</v>
      </c>
      <c r="D354" t="str" cm="1">
        <f t="array" ref="D354">IFERROR(INDEX({"Small","Medium","Large"},MATCH(TRUE,ISNUMBER(SEARCH({"Small","Medium","Large"},A354)),0)),"")</f>
        <v>Large</v>
      </c>
      <c r="E354" t="str">
        <f t="shared" si="5"/>
        <v>0.036</v>
      </c>
    </row>
    <row r="355" spans="1:5" x14ac:dyDescent="0.3">
      <c r="A355" t="s">
        <v>353</v>
      </c>
      <c r="B355" t="str" cm="1">
        <f t="array" ref="B355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redcedar"},A355)),0)),"")</f>
        <v>Douglas-fir (east WA)</v>
      </c>
      <c r="C355" t="str" cm="1">
        <f t="array" ref="C355">IFERROR(INDEX({"Ridgetop","Other"},MATCH(TRUE,ISNUMBER(SEARCH({"Ridgetop","Other"},A355)),0)),"")</f>
        <v>Ridgetop</v>
      </c>
      <c r="D355" t="str" cm="1">
        <f t="array" ref="D355">IFERROR(INDEX({"Small","Medium","Large"},MATCH(TRUE,ISNUMBER(SEARCH({"Small","Medium","Large"},A355)),0)),"")</f>
        <v>Small</v>
      </c>
      <c r="E355" t="str">
        <f t="shared" si="5"/>
        <v>0.116</v>
      </c>
    </row>
    <row r="356" spans="1:5" x14ac:dyDescent="0.3">
      <c r="A356" t="s">
        <v>354</v>
      </c>
      <c r="B356" t="str" cm="1">
        <f t="array" ref="B356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redcedar"},A356)),0)),"")</f>
        <v>Douglas-fir (east WA)</v>
      </c>
      <c r="C356" t="str" cm="1">
        <f t="array" ref="C356">IFERROR(INDEX({"Ridgetop","Other"},MATCH(TRUE,ISNUMBER(SEARCH({"Ridgetop","Other"},A356)),0)),"")</f>
        <v>Ridgetop</v>
      </c>
      <c r="D356" t="str" cm="1">
        <f t="array" ref="D356">IFERROR(INDEX({"Small","Medium","Large"},MATCH(TRUE,ISNUMBER(SEARCH({"Small","Medium","Large"},A356)),0)),"")</f>
        <v>Medium</v>
      </c>
      <c r="E356" t="str">
        <f t="shared" si="5"/>
        <v>0.050</v>
      </c>
    </row>
    <row r="357" spans="1:5" x14ac:dyDescent="0.3">
      <c r="A357" t="s">
        <v>355</v>
      </c>
      <c r="B357" t="str" cm="1">
        <f t="array" ref="B357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redcedar"},A357)),0)),"")</f>
        <v>Douglas-fir (east WA)</v>
      </c>
      <c r="C357" t="str" cm="1">
        <f t="array" ref="C357">IFERROR(INDEX({"Ridgetop","Other"},MATCH(TRUE,ISNUMBER(SEARCH({"Ridgetop","Other"},A357)),0)),"")</f>
        <v>Ridgetop</v>
      </c>
      <c r="D357" t="str" cm="1">
        <f t="array" ref="D357">IFERROR(INDEX({"Small","Medium","Large"},MATCH(TRUE,ISNUMBER(SEARCH({"Small","Medium","Large"},A357)),0)),"")</f>
        <v>Large</v>
      </c>
      <c r="E357" t="str">
        <f t="shared" si="5"/>
        <v>0.036</v>
      </c>
    </row>
    <row r="358" spans="1:5" x14ac:dyDescent="0.3">
      <c r="A358" t="s">
        <v>356</v>
      </c>
      <c r="B358" t="str" cm="1">
        <f t="array" ref="B358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redcedar"},A358)),0)),"")</f>
        <v>Douglas-fir (east WA)</v>
      </c>
      <c r="C358" t="str" cm="1">
        <f t="array" ref="C358">IFERROR(INDEX({"Ridgetop","Other"},MATCH(TRUE,ISNUMBER(SEARCH({"Ridgetop","Other"},A358)),0)),"")</f>
        <v>Ridgetop</v>
      </c>
      <c r="D358" t="str" cm="1">
        <f t="array" ref="D358">IFERROR(INDEX({"Small","Medium","Large"},MATCH(TRUE,ISNUMBER(SEARCH({"Small","Medium","Large"},A358)),0)),"")</f>
        <v>Small</v>
      </c>
      <c r="E358" t="str">
        <f t="shared" si="5"/>
        <v>0.116</v>
      </c>
    </row>
    <row r="359" spans="1:5" x14ac:dyDescent="0.3">
      <c r="A359" t="s">
        <v>357</v>
      </c>
      <c r="B359" t="str" cm="1">
        <f t="array" ref="B359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redcedar"},A359)),0)),"")</f>
        <v>Douglas-fir (east WA)</v>
      </c>
      <c r="C359" t="str" cm="1">
        <f t="array" ref="C359">IFERROR(INDEX({"Ridgetop","Other"},MATCH(TRUE,ISNUMBER(SEARCH({"Ridgetop","Other"},A359)),0)),"")</f>
        <v>Ridgetop</v>
      </c>
      <c r="D359" t="str" cm="1">
        <f t="array" ref="D359">IFERROR(INDEX({"Small","Medium","Large"},MATCH(TRUE,ISNUMBER(SEARCH({"Small","Medium","Large"},A359)),0)),"")</f>
        <v>Medium</v>
      </c>
      <c r="E359" t="str">
        <f t="shared" si="5"/>
        <v>0.050</v>
      </c>
    </row>
    <row r="360" spans="1:5" x14ac:dyDescent="0.3">
      <c r="A360" t="s">
        <v>358</v>
      </c>
      <c r="B360" t="str" cm="1">
        <f t="array" ref="B360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redcedar"},A360)),0)),"")</f>
        <v>Douglas-fir (east WA)</v>
      </c>
      <c r="C360" t="str" cm="1">
        <f t="array" ref="C360">IFERROR(INDEX({"Ridgetop","Other"},MATCH(TRUE,ISNUMBER(SEARCH({"Ridgetop","Other"},A360)),0)),"")</f>
        <v>Ridgetop</v>
      </c>
      <c r="D360" t="str" cm="1">
        <f t="array" ref="D360">IFERROR(INDEX({"Small","Medium","Large"},MATCH(TRUE,ISNUMBER(SEARCH({"Small","Medium","Large"},A360)),0)),"")</f>
        <v>Large</v>
      </c>
      <c r="E360" t="str">
        <f t="shared" si="5"/>
        <v>0.036</v>
      </c>
    </row>
    <row r="361" spans="1:5" x14ac:dyDescent="0.3">
      <c r="A361" t="s">
        <v>359</v>
      </c>
      <c r="B361" t="str" cm="1">
        <f t="array" ref="B361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redcedar"},A361)),0)),"")</f>
        <v>Douglas-fir (east WA)</v>
      </c>
      <c r="C361" t="str" cm="1">
        <f t="array" ref="C361">IFERROR(INDEX({"Ridgetop","Other"},MATCH(TRUE,ISNUMBER(SEARCH({"Ridgetop","Other"},A361)),0)),"")</f>
        <v>Other</v>
      </c>
      <c r="D361" t="str" cm="1">
        <f t="array" ref="D361">IFERROR(INDEX({"Small","Medium","Large"},MATCH(TRUE,ISNUMBER(SEARCH({"Small","Medium","Large"},A361)),0)),"")</f>
        <v>Small</v>
      </c>
      <c r="E361" t="str">
        <f t="shared" si="5"/>
        <v>0.052</v>
      </c>
    </row>
    <row r="362" spans="1:5" x14ac:dyDescent="0.3">
      <c r="A362" t="s">
        <v>360</v>
      </c>
      <c r="B362" t="str" cm="1">
        <f t="array" ref="B362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redcedar"},A362)),0)),"")</f>
        <v>Douglas-fir (east WA)</v>
      </c>
      <c r="C362" t="str" cm="1">
        <f t="array" ref="C362">IFERROR(INDEX({"Ridgetop","Other"},MATCH(TRUE,ISNUMBER(SEARCH({"Ridgetop","Other"},A362)),0)),"")</f>
        <v>Other</v>
      </c>
      <c r="D362" t="str" cm="1">
        <f t="array" ref="D362">IFERROR(INDEX({"Small","Medium","Large"},MATCH(TRUE,ISNUMBER(SEARCH({"Small","Medium","Large"},A362)),0)),"")</f>
        <v>Medium</v>
      </c>
      <c r="E362" t="str">
        <f t="shared" si="5"/>
        <v>0.023</v>
      </c>
    </row>
    <row r="363" spans="1:5" x14ac:dyDescent="0.3">
      <c r="A363" t="s">
        <v>361</v>
      </c>
      <c r="B363" t="str" cm="1">
        <f t="array" ref="B363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redcedar"},A363)),0)),"")</f>
        <v>Douglas-fir (east WA)</v>
      </c>
      <c r="C363" t="str" cm="1">
        <f t="array" ref="C363">IFERROR(INDEX({"Ridgetop","Other"},MATCH(TRUE,ISNUMBER(SEARCH({"Ridgetop","Other"},A363)),0)),"")</f>
        <v>Other</v>
      </c>
      <c r="D363" t="str" cm="1">
        <f t="array" ref="D363">IFERROR(INDEX({"Small","Medium","Large"},MATCH(TRUE,ISNUMBER(SEARCH({"Small","Medium","Large"},A363)),0)),"")</f>
        <v>Large</v>
      </c>
      <c r="E363" t="str">
        <f t="shared" si="5"/>
        <v>0.016</v>
      </c>
    </row>
    <row r="364" spans="1:5" x14ac:dyDescent="0.3">
      <c r="A364" t="s">
        <v>362</v>
      </c>
      <c r="B364" t="str" cm="1">
        <f t="array" ref="B364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redcedar"},A364)),0)),"")</f>
        <v>Douglas-fir (east WA)</v>
      </c>
      <c r="C364" t="str" cm="1">
        <f t="array" ref="C364">IFERROR(INDEX({"Ridgetop","Other"},MATCH(TRUE,ISNUMBER(SEARCH({"Ridgetop","Other"},A364)),0)),"")</f>
        <v>Other</v>
      </c>
      <c r="D364" t="str" cm="1">
        <f t="array" ref="D364">IFERROR(INDEX({"Small","Medium","Large"},MATCH(TRUE,ISNUMBER(SEARCH({"Small","Medium","Large"},A364)),0)),"")</f>
        <v>Small</v>
      </c>
      <c r="E364" t="str">
        <f t="shared" si="5"/>
        <v>0.058</v>
      </c>
    </row>
    <row r="365" spans="1:5" x14ac:dyDescent="0.3">
      <c r="A365" t="s">
        <v>363</v>
      </c>
      <c r="B365" t="str" cm="1">
        <f t="array" ref="B365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redcedar"},A365)),0)),"")</f>
        <v>Douglas-fir (east WA)</v>
      </c>
      <c r="C365" t="str" cm="1">
        <f t="array" ref="C365">IFERROR(INDEX({"Ridgetop","Other"},MATCH(TRUE,ISNUMBER(SEARCH({"Ridgetop","Other"},A365)),0)),"")</f>
        <v>Other</v>
      </c>
      <c r="D365" t="str" cm="1">
        <f t="array" ref="D365">IFERROR(INDEX({"Small","Medium","Large"},MATCH(TRUE,ISNUMBER(SEARCH({"Small","Medium","Large"},A365)),0)),"")</f>
        <v>Medium</v>
      </c>
      <c r="E365" t="str">
        <f t="shared" si="5"/>
        <v>0.025</v>
      </c>
    </row>
    <row r="366" spans="1:5" x14ac:dyDescent="0.3">
      <c r="A366" t="s">
        <v>364</v>
      </c>
      <c r="B366" t="str" cm="1">
        <f t="array" ref="B366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redcedar"},A366)),0)),"")</f>
        <v>Douglas-fir (east WA)</v>
      </c>
      <c r="C366" t="str" cm="1">
        <f t="array" ref="C366">IFERROR(INDEX({"Ridgetop","Other"},MATCH(TRUE,ISNUMBER(SEARCH({"Ridgetop","Other"},A366)),0)),"")</f>
        <v>Other</v>
      </c>
      <c r="D366" t="str" cm="1">
        <f t="array" ref="D366">IFERROR(INDEX({"Small","Medium","Large"},MATCH(TRUE,ISNUMBER(SEARCH({"Small","Medium","Large"},A366)),0)),"")</f>
        <v>Large</v>
      </c>
      <c r="E366" t="str">
        <f t="shared" si="5"/>
        <v>0.018</v>
      </c>
    </row>
    <row r="367" spans="1:5" x14ac:dyDescent="0.3">
      <c r="A367" t="s">
        <v>365</v>
      </c>
      <c r="B367" t="str" cm="1">
        <f t="array" ref="B367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redcedar"},A367)),0)),"")</f>
        <v>Douglas-fir (east WA)</v>
      </c>
      <c r="C367" t="str" cm="1">
        <f t="array" ref="C367">IFERROR(INDEX({"Ridgetop","Other"},MATCH(TRUE,ISNUMBER(SEARCH({"Ridgetop","Other"},A367)),0)),"")</f>
        <v>Other</v>
      </c>
      <c r="D367" t="str" cm="1">
        <f t="array" ref="D367">IFERROR(INDEX({"Small","Medium","Large"},MATCH(TRUE,ISNUMBER(SEARCH({"Small","Medium","Large"},A367)),0)),"")</f>
        <v>Small</v>
      </c>
      <c r="E367" t="str">
        <f t="shared" si="5"/>
        <v>0.070</v>
      </c>
    </row>
    <row r="368" spans="1:5" x14ac:dyDescent="0.3">
      <c r="A368" t="s">
        <v>366</v>
      </c>
      <c r="B368" t="str" cm="1">
        <f t="array" ref="B368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redcedar"},A368)),0)),"")</f>
        <v>Douglas-fir (east WA)</v>
      </c>
      <c r="C368" t="str" cm="1">
        <f t="array" ref="C368">IFERROR(INDEX({"Ridgetop","Other"},MATCH(TRUE,ISNUMBER(SEARCH({"Ridgetop","Other"},A368)),0)),"")</f>
        <v>Other</v>
      </c>
      <c r="D368" t="str" cm="1">
        <f t="array" ref="D368">IFERROR(INDEX({"Small","Medium","Large"},MATCH(TRUE,ISNUMBER(SEARCH({"Small","Medium","Large"},A368)),0)),"")</f>
        <v>Medium</v>
      </c>
      <c r="E368" t="str">
        <f t="shared" si="5"/>
        <v>0.030</v>
      </c>
    </row>
    <row r="369" spans="1:5" x14ac:dyDescent="0.3">
      <c r="A369" t="s">
        <v>367</v>
      </c>
      <c r="B369" t="str" cm="1">
        <f t="array" ref="B369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redcedar"},A369)),0)),"")</f>
        <v>Douglas-fir (east WA)</v>
      </c>
      <c r="C369" t="str" cm="1">
        <f t="array" ref="C369">IFERROR(INDEX({"Ridgetop","Other"},MATCH(TRUE,ISNUMBER(SEARCH({"Ridgetop","Other"},A369)),0)),"")</f>
        <v>Other</v>
      </c>
      <c r="D369" t="str" cm="1">
        <f t="array" ref="D369">IFERROR(INDEX({"Small","Medium","Large"},MATCH(TRUE,ISNUMBER(SEARCH({"Small","Medium","Large"},A369)),0)),"")</f>
        <v>Large</v>
      </c>
      <c r="E369" t="str">
        <f t="shared" si="5"/>
        <v>0.022</v>
      </c>
    </row>
    <row r="370" spans="1:5" x14ac:dyDescent="0.3">
      <c r="A370" t="s">
        <v>368</v>
      </c>
      <c r="B370" t="str" cm="1">
        <f t="array" ref="B370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redcedar"},A370)),0)),"")</f>
        <v>Douglas-fir (east WA)</v>
      </c>
      <c r="C370" t="str" cm="1">
        <f t="array" ref="C370">IFERROR(INDEX({"Ridgetop","Other"},MATCH(TRUE,ISNUMBER(SEARCH({"Ridgetop","Other"},A370)),0)),"")</f>
        <v>Ridgetop</v>
      </c>
      <c r="D370" t="str" cm="1">
        <f t="array" ref="D370">IFERROR(INDEX({"Small","Medium","Large"},MATCH(TRUE,ISNUMBER(SEARCH({"Small","Medium","Large"},A370)),0)),"")</f>
        <v>Small</v>
      </c>
      <c r="E370" t="str">
        <f t="shared" si="5"/>
        <v>0.099</v>
      </c>
    </row>
    <row r="371" spans="1:5" x14ac:dyDescent="0.3">
      <c r="A371" t="s">
        <v>369</v>
      </c>
      <c r="B371" t="str" cm="1">
        <f t="array" ref="B371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redcedar"},A371)),0)),"")</f>
        <v>Douglas-fir (east WA)</v>
      </c>
      <c r="C371" t="str" cm="1">
        <f t="array" ref="C371">IFERROR(INDEX({"Ridgetop","Other"},MATCH(TRUE,ISNUMBER(SEARCH({"Ridgetop","Other"},A371)),0)),"")</f>
        <v>Ridgetop</v>
      </c>
      <c r="D371" t="str" cm="1">
        <f t="array" ref="D371">IFERROR(INDEX({"Small","Medium","Large"},MATCH(TRUE,ISNUMBER(SEARCH({"Small","Medium","Large"},A371)),0)),"")</f>
        <v>Medium</v>
      </c>
      <c r="E371" t="str">
        <f t="shared" si="5"/>
        <v>0.043</v>
      </c>
    </row>
    <row r="372" spans="1:5" x14ac:dyDescent="0.3">
      <c r="A372" t="s">
        <v>370</v>
      </c>
      <c r="B372" t="str" cm="1">
        <f t="array" ref="B372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redcedar"},A372)),0)),"")</f>
        <v>Douglas-fir (east WA)</v>
      </c>
      <c r="C372" t="str" cm="1">
        <f t="array" ref="C372">IFERROR(INDEX({"Ridgetop","Other"},MATCH(TRUE,ISNUMBER(SEARCH({"Ridgetop","Other"},A372)),0)),"")</f>
        <v>Ridgetop</v>
      </c>
      <c r="D372" t="str" cm="1">
        <f t="array" ref="D372">IFERROR(INDEX({"Small","Medium","Large"},MATCH(TRUE,ISNUMBER(SEARCH({"Small","Medium","Large"},A372)),0)),"")</f>
        <v>Large</v>
      </c>
      <c r="E372" t="str">
        <f t="shared" si="5"/>
        <v>0.031</v>
      </c>
    </row>
    <row r="373" spans="1:5" x14ac:dyDescent="0.3">
      <c r="A373" t="s">
        <v>371</v>
      </c>
      <c r="B373" t="str" cm="1">
        <f t="array" ref="B373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redcedar"},A373)),0)),"")</f>
        <v>Douglas-fir (east WA)</v>
      </c>
      <c r="C373" t="str" cm="1">
        <f t="array" ref="C373">IFERROR(INDEX({"Ridgetop","Other"},MATCH(TRUE,ISNUMBER(SEARCH({"Ridgetop","Other"},A373)),0)),"")</f>
        <v>Ridgetop</v>
      </c>
      <c r="D373" t="str" cm="1">
        <f t="array" ref="D373">IFERROR(INDEX({"Small","Medium","Large"},MATCH(TRUE,ISNUMBER(SEARCH({"Small","Medium","Large"},A373)),0)),"")</f>
        <v>Small</v>
      </c>
      <c r="E373" t="str">
        <f t="shared" si="5"/>
        <v>0.099</v>
      </c>
    </row>
    <row r="374" spans="1:5" x14ac:dyDescent="0.3">
      <c r="A374" t="s">
        <v>372</v>
      </c>
      <c r="B374" t="str" cm="1">
        <f t="array" ref="B374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redcedar"},A374)),0)),"")</f>
        <v>Douglas-fir (east WA)</v>
      </c>
      <c r="C374" t="str" cm="1">
        <f t="array" ref="C374">IFERROR(INDEX({"Ridgetop","Other"},MATCH(TRUE,ISNUMBER(SEARCH({"Ridgetop","Other"},A374)),0)),"")</f>
        <v>Ridgetop</v>
      </c>
      <c r="D374" t="str" cm="1">
        <f t="array" ref="D374">IFERROR(INDEX({"Small","Medium","Large"},MATCH(TRUE,ISNUMBER(SEARCH({"Small","Medium","Large"},A374)),0)),"")</f>
        <v>Medium</v>
      </c>
      <c r="E374" t="str">
        <f t="shared" si="5"/>
        <v>0.043</v>
      </c>
    </row>
    <row r="375" spans="1:5" x14ac:dyDescent="0.3">
      <c r="A375" t="s">
        <v>373</v>
      </c>
      <c r="B375" t="str" cm="1">
        <f t="array" ref="B375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redcedar"},A375)),0)),"")</f>
        <v>Douglas-fir (east WA)</v>
      </c>
      <c r="C375" t="str" cm="1">
        <f t="array" ref="C375">IFERROR(INDEX({"Ridgetop","Other"},MATCH(TRUE,ISNUMBER(SEARCH({"Ridgetop","Other"},A375)),0)),"")</f>
        <v>Ridgetop</v>
      </c>
      <c r="D375" t="str" cm="1">
        <f t="array" ref="D375">IFERROR(INDEX({"Small","Medium","Large"},MATCH(TRUE,ISNUMBER(SEARCH({"Small","Medium","Large"},A375)),0)),"")</f>
        <v>Large</v>
      </c>
      <c r="E375" t="str">
        <f t="shared" si="5"/>
        <v>0.031</v>
      </c>
    </row>
    <row r="376" spans="1:5" x14ac:dyDescent="0.3">
      <c r="A376" t="s">
        <v>374</v>
      </c>
      <c r="B376" t="str" cm="1">
        <f t="array" ref="B376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redcedar"},A376)),0)),"")</f>
        <v>Douglas-fir (east WA)</v>
      </c>
      <c r="C376" t="str" cm="1">
        <f t="array" ref="C376">IFERROR(INDEX({"Ridgetop","Other"},MATCH(TRUE,ISNUMBER(SEARCH({"Ridgetop","Other"},A376)),0)),"")</f>
        <v>Ridgetop</v>
      </c>
      <c r="D376" t="str" cm="1">
        <f t="array" ref="D376">IFERROR(INDEX({"Small","Medium","Large"},MATCH(TRUE,ISNUMBER(SEARCH({"Small","Medium","Large"},A376)),0)),"")</f>
        <v>Small</v>
      </c>
      <c r="E376" t="str">
        <f t="shared" si="5"/>
        <v>0.104</v>
      </c>
    </row>
    <row r="377" spans="1:5" x14ac:dyDescent="0.3">
      <c r="A377" t="s">
        <v>375</v>
      </c>
      <c r="B377" t="str" cm="1">
        <f t="array" ref="B377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redcedar"},A377)),0)),"")</f>
        <v>Douglas-fir (east WA)</v>
      </c>
      <c r="C377" t="str" cm="1">
        <f t="array" ref="C377">IFERROR(INDEX({"Ridgetop","Other"},MATCH(TRUE,ISNUMBER(SEARCH({"Ridgetop","Other"},A377)),0)),"")</f>
        <v>Ridgetop</v>
      </c>
      <c r="D377" t="str" cm="1">
        <f t="array" ref="D377">IFERROR(INDEX({"Small","Medium","Large"},MATCH(TRUE,ISNUMBER(SEARCH({"Small","Medium","Large"},A377)),0)),"")</f>
        <v>Medium</v>
      </c>
      <c r="E377" t="str">
        <f t="shared" si="5"/>
        <v>0.045</v>
      </c>
    </row>
    <row r="378" spans="1:5" x14ac:dyDescent="0.3">
      <c r="A378" t="s">
        <v>376</v>
      </c>
      <c r="B378" t="str" cm="1">
        <f t="array" ref="B378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redcedar"},A378)),0)),"")</f>
        <v>Douglas-fir (east WA)</v>
      </c>
      <c r="C378" t="str" cm="1">
        <f t="array" ref="C378">IFERROR(INDEX({"Ridgetop","Other"},MATCH(TRUE,ISNUMBER(SEARCH({"Ridgetop","Other"},A378)),0)),"")</f>
        <v>Ridgetop</v>
      </c>
      <c r="D378" t="str" cm="1">
        <f t="array" ref="D378">IFERROR(INDEX({"Small","Medium","Large"},MATCH(TRUE,ISNUMBER(SEARCH({"Small","Medium","Large"},A378)),0)),"")</f>
        <v>Large</v>
      </c>
      <c r="E378" t="str">
        <f t="shared" si="5"/>
        <v>0.032</v>
      </c>
    </row>
    <row r="379" spans="1:5" x14ac:dyDescent="0.3">
      <c r="A379" t="s">
        <v>377</v>
      </c>
      <c r="B379" t="str" cm="1">
        <f t="array" ref="B379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redcedar"},A379)),0)),"")</f>
        <v>Douglas-fir (east WA)</v>
      </c>
      <c r="C379" t="str" cm="1">
        <f t="array" ref="C379">IFERROR(INDEX({"Ridgetop","Other"},MATCH(TRUE,ISNUMBER(SEARCH({"Ridgetop","Other"},A379)),0)),"")</f>
        <v>Other</v>
      </c>
      <c r="D379" t="str" cm="1">
        <f t="array" ref="D379">IFERROR(INDEX({"Small","Medium","Large"},MATCH(TRUE,ISNUMBER(SEARCH({"Small","Medium","Large"},A379)),0)),"")</f>
        <v>Small</v>
      </c>
      <c r="E379" t="str">
        <f t="shared" si="5"/>
        <v>0.064</v>
      </c>
    </row>
    <row r="380" spans="1:5" x14ac:dyDescent="0.3">
      <c r="A380" t="s">
        <v>378</v>
      </c>
      <c r="B380" t="str" cm="1">
        <f t="array" ref="B380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redcedar"},A380)),0)),"")</f>
        <v>Douglas-fir (east WA)</v>
      </c>
      <c r="C380" t="str" cm="1">
        <f t="array" ref="C380">IFERROR(INDEX({"Ridgetop","Other"},MATCH(TRUE,ISNUMBER(SEARCH({"Ridgetop","Other"},A380)),0)),"")</f>
        <v>Other</v>
      </c>
      <c r="D380" t="str" cm="1">
        <f t="array" ref="D380">IFERROR(INDEX({"Small","Medium","Large"},MATCH(TRUE,ISNUMBER(SEARCH({"Small","Medium","Large"},A380)),0)),"")</f>
        <v>Medium</v>
      </c>
      <c r="E380" t="str">
        <f t="shared" si="5"/>
        <v>0.028</v>
      </c>
    </row>
    <row r="381" spans="1:5" x14ac:dyDescent="0.3">
      <c r="A381" t="s">
        <v>379</v>
      </c>
      <c r="B381" t="str" cm="1">
        <f t="array" ref="B381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redcedar"},A381)),0)),"")</f>
        <v>Douglas-fir (east WA)</v>
      </c>
      <c r="C381" t="str" cm="1">
        <f t="array" ref="C381">IFERROR(INDEX({"Ridgetop","Other"},MATCH(TRUE,ISNUMBER(SEARCH({"Ridgetop","Other"},A381)),0)),"")</f>
        <v>Other</v>
      </c>
      <c r="D381" t="str" cm="1">
        <f t="array" ref="D381">IFERROR(INDEX({"Small","Medium","Large"},MATCH(TRUE,ISNUMBER(SEARCH({"Small","Medium","Large"},A381)),0)),"")</f>
        <v>Large</v>
      </c>
      <c r="E381" t="str">
        <f t="shared" si="5"/>
        <v>0.020</v>
      </c>
    </row>
    <row r="382" spans="1:5" x14ac:dyDescent="0.3">
      <c r="A382" t="s">
        <v>380</v>
      </c>
      <c r="B382" t="str" cm="1">
        <f t="array" ref="B382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redcedar"},A382)),0)),"")</f>
        <v>Douglas-fir (east WA)</v>
      </c>
      <c r="C382" t="str" cm="1">
        <f t="array" ref="C382">IFERROR(INDEX({"Ridgetop","Other"},MATCH(TRUE,ISNUMBER(SEARCH({"Ridgetop","Other"},A382)),0)),"")</f>
        <v>Other</v>
      </c>
      <c r="D382" t="str" cm="1">
        <f t="array" ref="D382">IFERROR(INDEX({"Small","Medium","Large"},MATCH(TRUE,ISNUMBER(SEARCH({"Small","Medium","Large"},A382)),0)),"")</f>
        <v>Small</v>
      </c>
      <c r="E382" t="str">
        <f t="shared" si="5"/>
        <v>0.070</v>
      </c>
    </row>
    <row r="383" spans="1:5" x14ac:dyDescent="0.3">
      <c r="A383" t="s">
        <v>381</v>
      </c>
      <c r="B383" t="str" cm="1">
        <f t="array" ref="B383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redcedar"},A383)),0)),"")</f>
        <v>Douglas-fir (east WA)</v>
      </c>
      <c r="C383" t="str" cm="1">
        <f t="array" ref="C383">IFERROR(INDEX({"Ridgetop","Other"},MATCH(TRUE,ISNUMBER(SEARCH({"Ridgetop","Other"},A383)),0)),"")</f>
        <v>Other</v>
      </c>
      <c r="D383" t="str" cm="1">
        <f t="array" ref="D383">IFERROR(INDEX({"Small","Medium","Large"},MATCH(TRUE,ISNUMBER(SEARCH({"Small","Medium","Large"},A383)),0)),"")</f>
        <v>Medium</v>
      </c>
      <c r="E383" t="str">
        <f t="shared" si="5"/>
        <v>0.030</v>
      </c>
    </row>
    <row r="384" spans="1:5" x14ac:dyDescent="0.3">
      <c r="A384" t="s">
        <v>382</v>
      </c>
      <c r="B384" t="str" cm="1">
        <f t="array" ref="B384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redcedar"},A384)),0)),"")</f>
        <v>Douglas-fir (east WA)</v>
      </c>
      <c r="C384" t="str" cm="1">
        <f t="array" ref="C384">IFERROR(INDEX({"Ridgetop","Other"},MATCH(TRUE,ISNUMBER(SEARCH({"Ridgetop","Other"},A384)),0)),"")</f>
        <v>Other</v>
      </c>
      <c r="D384" t="str" cm="1">
        <f t="array" ref="D384">IFERROR(INDEX({"Small","Medium","Large"},MATCH(TRUE,ISNUMBER(SEARCH({"Small","Medium","Large"},A384)),0)),"")</f>
        <v>Large</v>
      </c>
      <c r="E384" t="str">
        <f t="shared" si="5"/>
        <v>0.022</v>
      </c>
    </row>
    <row r="385" spans="1:5" x14ac:dyDescent="0.3">
      <c r="A385" t="s">
        <v>383</v>
      </c>
      <c r="B385" t="str" cm="1">
        <f t="array" ref="B385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redcedar"},A385)),0)),"")</f>
        <v>Douglas-fir (east WA)</v>
      </c>
      <c r="C385" t="str" cm="1">
        <f t="array" ref="C385">IFERROR(INDEX({"Ridgetop","Other"},MATCH(TRUE,ISNUMBER(SEARCH({"Ridgetop","Other"},A385)),0)),"")</f>
        <v>Other</v>
      </c>
      <c r="D385" t="str" cm="1">
        <f t="array" ref="D385">IFERROR(INDEX({"Small","Medium","Large"},MATCH(TRUE,ISNUMBER(SEARCH({"Small","Medium","Large"},A385)),0)),"")</f>
        <v>Small</v>
      </c>
      <c r="E385" t="str">
        <f t="shared" si="5"/>
        <v>0.070</v>
      </c>
    </row>
    <row r="386" spans="1:5" x14ac:dyDescent="0.3">
      <c r="A386" t="s">
        <v>384</v>
      </c>
      <c r="B386" t="str" cm="1">
        <f t="array" ref="B386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redcedar"},A386)),0)),"")</f>
        <v>Douglas-fir (east WA)</v>
      </c>
      <c r="C386" t="str" cm="1">
        <f t="array" ref="C386">IFERROR(INDEX({"Ridgetop","Other"},MATCH(TRUE,ISNUMBER(SEARCH({"Ridgetop","Other"},A386)),0)),"")</f>
        <v>Other</v>
      </c>
      <c r="D386" t="str" cm="1">
        <f t="array" ref="D386">IFERROR(INDEX({"Small","Medium","Large"},MATCH(TRUE,ISNUMBER(SEARCH({"Small","Medium","Large"},A386)),0)),"")</f>
        <v>Medium</v>
      </c>
      <c r="E386" t="str">
        <f t="shared" si="5"/>
        <v>0.030</v>
      </c>
    </row>
    <row r="387" spans="1:5" x14ac:dyDescent="0.3">
      <c r="A387" t="s">
        <v>385</v>
      </c>
      <c r="B387" t="str" cm="1">
        <f t="array" ref="B387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redcedar"},A387)),0)),"")</f>
        <v>Douglas-fir (east WA)</v>
      </c>
      <c r="C387" t="str" cm="1">
        <f t="array" ref="C387">IFERROR(INDEX({"Ridgetop","Other"},MATCH(TRUE,ISNUMBER(SEARCH({"Ridgetop","Other"},A387)),0)),"")</f>
        <v>Other</v>
      </c>
      <c r="D387" t="str" cm="1">
        <f t="array" ref="D387">IFERROR(INDEX({"Small","Medium","Large"},MATCH(TRUE,ISNUMBER(SEARCH({"Small","Medium","Large"},A387)),0)),"")</f>
        <v>Large</v>
      </c>
      <c r="E387" t="str">
        <f t="shared" ref="E387:E450" si="6">RIGHT(A387,LEN(A387)-FIND("@",SUBSTITUTE(A387," ","@",LEN(A387)-LEN(SUBSTITUTE(A387," ","")))))</f>
        <v>0.022</v>
      </c>
    </row>
    <row r="388" spans="1:5" x14ac:dyDescent="0.3">
      <c r="A388" t="s">
        <v>386</v>
      </c>
      <c r="B388" t="str" cm="1">
        <f t="array" ref="B388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redcedar"},A388)),0)),"")</f>
        <v>Douglas-fir (east WA)</v>
      </c>
      <c r="C388" t="str" cm="1">
        <f t="array" ref="C388">IFERROR(INDEX({"Ridgetop","Other"},MATCH(TRUE,ISNUMBER(SEARCH({"Ridgetop","Other"},A388)),0)),"")</f>
        <v>Ridgetop</v>
      </c>
      <c r="D388" t="str" cm="1">
        <f t="array" ref="D388">IFERROR(INDEX({"Small","Medium","Large"},MATCH(TRUE,ISNUMBER(SEARCH({"Small","Medium","Large"},A388)),0)),"")</f>
        <v>Small</v>
      </c>
      <c r="E388" t="str">
        <f t="shared" si="6"/>
        <v>0.116</v>
      </c>
    </row>
    <row r="389" spans="1:5" x14ac:dyDescent="0.3">
      <c r="A389" t="s">
        <v>387</v>
      </c>
      <c r="B389" t="str" cm="1">
        <f t="array" ref="B389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redcedar"},A389)),0)),"")</f>
        <v>Douglas-fir (east WA)</v>
      </c>
      <c r="C389" t="str" cm="1">
        <f t="array" ref="C389">IFERROR(INDEX({"Ridgetop","Other"},MATCH(TRUE,ISNUMBER(SEARCH({"Ridgetop","Other"},A389)),0)),"")</f>
        <v>Ridgetop</v>
      </c>
      <c r="D389" t="str" cm="1">
        <f t="array" ref="D389">IFERROR(INDEX({"Small","Medium","Large"},MATCH(TRUE,ISNUMBER(SEARCH({"Small","Medium","Large"},A389)),0)),"")</f>
        <v>Medium</v>
      </c>
      <c r="E389" t="str">
        <f t="shared" si="6"/>
        <v>0.050</v>
      </c>
    </row>
    <row r="390" spans="1:5" x14ac:dyDescent="0.3">
      <c r="A390" t="s">
        <v>388</v>
      </c>
      <c r="B390" t="str" cm="1">
        <f t="array" ref="B390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redcedar"},A390)),0)),"")</f>
        <v>Douglas-fir (east WA)</v>
      </c>
      <c r="C390" t="str" cm="1">
        <f t="array" ref="C390">IFERROR(INDEX({"Ridgetop","Other"},MATCH(TRUE,ISNUMBER(SEARCH({"Ridgetop","Other"},A390)),0)),"")</f>
        <v>Ridgetop</v>
      </c>
      <c r="D390" t="str" cm="1">
        <f t="array" ref="D390">IFERROR(INDEX({"Small","Medium","Large"},MATCH(TRUE,ISNUMBER(SEARCH({"Small","Medium","Large"},A390)),0)),"")</f>
        <v>Large</v>
      </c>
      <c r="E390" t="str">
        <f t="shared" si="6"/>
        <v>0.036</v>
      </c>
    </row>
    <row r="391" spans="1:5" x14ac:dyDescent="0.3">
      <c r="A391" t="s">
        <v>389</v>
      </c>
      <c r="B391" t="str" cm="1">
        <f t="array" ref="B391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redcedar"},A391)),0)),"")</f>
        <v>Douglas-fir (east WA)</v>
      </c>
      <c r="C391" t="str" cm="1">
        <f t="array" ref="C391">IFERROR(INDEX({"Ridgetop","Other"},MATCH(TRUE,ISNUMBER(SEARCH({"Ridgetop","Other"},A391)),0)),"")</f>
        <v>Ridgetop</v>
      </c>
      <c r="D391" t="str" cm="1">
        <f t="array" ref="D391">IFERROR(INDEX({"Small","Medium","Large"},MATCH(TRUE,ISNUMBER(SEARCH({"Small","Medium","Large"},A391)),0)),"")</f>
        <v>Small</v>
      </c>
      <c r="E391" t="str">
        <f t="shared" si="6"/>
        <v>0.116</v>
      </c>
    </row>
    <row r="392" spans="1:5" x14ac:dyDescent="0.3">
      <c r="A392" t="s">
        <v>390</v>
      </c>
      <c r="B392" t="str" cm="1">
        <f t="array" ref="B392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redcedar"},A392)),0)),"")</f>
        <v>Douglas-fir (east WA)</v>
      </c>
      <c r="C392" t="str" cm="1">
        <f t="array" ref="C392">IFERROR(INDEX({"Ridgetop","Other"},MATCH(TRUE,ISNUMBER(SEARCH({"Ridgetop","Other"},A392)),0)),"")</f>
        <v>Ridgetop</v>
      </c>
      <c r="D392" t="str" cm="1">
        <f t="array" ref="D392">IFERROR(INDEX({"Small","Medium","Large"},MATCH(TRUE,ISNUMBER(SEARCH({"Small","Medium","Large"},A392)),0)),"")</f>
        <v>Medium</v>
      </c>
      <c r="E392" t="str">
        <f t="shared" si="6"/>
        <v>0.050</v>
      </c>
    </row>
    <row r="393" spans="1:5" x14ac:dyDescent="0.3">
      <c r="A393" t="s">
        <v>391</v>
      </c>
      <c r="B393" t="str" cm="1">
        <f t="array" ref="B393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redcedar"},A393)),0)),"")</f>
        <v>Douglas-fir (east WA)</v>
      </c>
      <c r="C393" t="str" cm="1">
        <f t="array" ref="C393">IFERROR(INDEX({"Ridgetop","Other"},MATCH(TRUE,ISNUMBER(SEARCH({"Ridgetop","Other"},A393)),0)),"")</f>
        <v>Ridgetop</v>
      </c>
      <c r="D393" t="str" cm="1">
        <f t="array" ref="D393">IFERROR(INDEX({"Small","Medium","Large"},MATCH(TRUE,ISNUMBER(SEARCH({"Small","Medium","Large"},A393)),0)),"")</f>
        <v>Large</v>
      </c>
      <c r="E393" t="str">
        <f t="shared" si="6"/>
        <v>0.036</v>
      </c>
    </row>
    <row r="394" spans="1:5" x14ac:dyDescent="0.3">
      <c r="A394" t="s">
        <v>392</v>
      </c>
      <c r="B394" t="str" cm="1">
        <f t="array" ref="B394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redcedar"},A394)),0)),"")</f>
        <v>Douglas-fir (east WA)</v>
      </c>
      <c r="C394" t="str" cm="1">
        <f t="array" ref="C394">IFERROR(INDEX({"Ridgetop","Other"},MATCH(TRUE,ISNUMBER(SEARCH({"Ridgetop","Other"},A394)),0)),"")</f>
        <v>Ridgetop</v>
      </c>
      <c r="D394" t="str" cm="1">
        <f t="array" ref="D394">IFERROR(INDEX({"Small","Medium","Large"},MATCH(TRUE,ISNUMBER(SEARCH({"Small","Medium","Large"},A394)),0)),"")</f>
        <v>Small</v>
      </c>
      <c r="E394" t="str">
        <f t="shared" si="6"/>
        <v>0.116</v>
      </c>
    </row>
    <row r="395" spans="1:5" x14ac:dyDescent="0.3">
      <c r="A395" t="s">
        <v>393</v>
      </c>
      <c r="B395" t="str" cm="1">
        <f t="array" ref="B395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redcedar"},A395)),0)),"")</f>
        <v>Douglas-fir (east WA)</v>
      </c>
      <c r="C395" t="str" cm="1">
        <f t="array" ref="C395">IFERROR(INDEX({"Ridgetop","Other"},MATCH(TRUE,ISNUMBER(SEARCH({"Ridgetop","Other"},A395)),0)),"")</f>
        <v>Ridgetop</v>
      </c>
      <c r="D395" t="str" cm="1">
        <f t="array" ref="D395">IFERROR(INDEX({"Small","Medium","Large"},MATCH(TRUE,ISNUMBER(SEARCH({"Small","Medium","Large"},A395)),0)),"")</f>
        <v>Medium</v>
      </c>
      <c r="E395" t="str">
        <f t="shared" si="6"/>
        <v>0.050</v>
      </c>
    </row>
    <row r="396" spans="1:5" x14ac:dyDescent="0.3">
      <c r="A396" t="s">
        <v>394</v>
      </c>
      <c r="B396" t="str" cm="1">
        <f t="array" ref="B396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redcedar"},A396)),0)),"")</f>
        <v>Douglas-fir (east WA)</v>
      </c>
      <c r="C396" t="str" cm="1">
        <f t="array" ref="C396">IFERROR(INDEX({"Ridgetop","Other"},MATCH(TRUE,ISNUMBER(SEARCH({"Ridgetop","Other"},A396)),0)),"")</f>
        <v>Ridgetop</v>
      </c>
      <c r="D396" t="str" cm="1">
        <f t="array" ref="D396">IFERROR(INDEX({"Small","Medium","Large"},MATCH(TRUE,ISNUMBER(SEARCH({"Small","Medium","Large"},A396)),0)),"")</f>
        <v>Large</v>
      </c>
      <c r="E396" t="str">
        <f t="shared" si="6"/>
        <v>0.036</v>
      </c>
    </row>
    <row r="397" spans="1:5" x14ac:dyDescent="0.3">
      <c r="A397" t="s">
        <v>395</v>
      </c>
      <c r="B397" t="str" cm="1">
        <f t="array" ref="B397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redcedar"},A397)),0)),"")</f>
        <v>Douglas-fir (east WA)</v>
      </c>
      <c r="C397" t="str" cm="1">
        <f t="array" ref="C397">IFERROR(INDEX({"Ridgetop","Other"},MATCH(TRUE,ISNUMBER(SEARCH({"Ridgetop","Other"},A397)),0)),"")</f>
        <v>Other</v>
      </c>
      <c r="D397" t="str" cm="1">
        <f t="array" ref="D397">IFERROR(INDEX({"Small","Medium","Large"},MATCH(TRUE,ISNUMBER(SEARCH({"Small","Medium","Large"},A397)),0)),"")</f>
        <v>Small</v>
      </c>
      <c r="E397" t="str">
        <f t="shared" si="6"/>
        <v>0.057</v>
      </c>
    </row>
    <row r="398" spans="1:5" x14ac:dyDescent="0.3">
      <c r="A398" t="s">
        <v>396</v>
      </c>
      <c r="B398" t="str" cm="1">
        <f t="array" ref="B398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redcedar"},A398)),0)),"")</f>
        <v>Douglas-fir (east WA)</v>
      </c>
      <c r="C398" t="str" cm="1">
        <f t="array" ref="C398">IFERROR(INDEX({"Ridgetop","Other"},MATCH(TRUE,ISNUMBER(SEARCH({"Ridgetop","Other"},A398)),0)),"")</f>
        <v>Other</v>
      </c>
      <c r="D398" t="str" cm="1">
        <f t="array" ref="D398">IFERROR(INDEX({"Small","Medium","Large"},MATCH(TRUE,ISNUMBER(SEARCH({"Small","Medium","Large"},A398)),0)),"")</f>
        <v>Medium</v>
      </c>
      <c r="E398" t="str">
        <f t="shared" si="6"/>
        <v>0.024</v>
      </c>
    </row>
    <row r="399" spans="1:5" x14ac:dyDescent="0.3">
      <c r="A399" t="s">
        <v>397</v>
      </c>
      <c r="B399" t="str" cm="1">
        <f t="array" ref="B399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redcedar"},A399)),0)),"")</f>
        <v>Douglas-fir (east WA)</v>
      </c>
      <c r="C399" t="str" cm="1">
        <f t="array" ref="C399">IFERROR(INDEX({"Ridgetop","Other"},MATCH(TRUE,ISNUMBER(SEARCH({"Ridgetop","Other"},A399)),0)),"")</f>
        <v>Other</v>
      </c>
      <c r="D399" t="str" cm="1">
        <f t="array" ref="D399">IFERROR(INDEX({"Small","Medium","Large"},MATCH(TRUE,ISNUMBER(SEARCH({"Small","Medium","Large"},A399)),0)),"")</f>
        <v>Large</v>
      </c>
      <c r="E399" t="str">
        <f t="shared" si="6"/>
        <v>0.018</v>
      </c>
    </row>
    <row r="400" spans="1:5" x14ac:dyDescent="0.3">
      <c r="A400" t="s">
        <v>398</v>
      </c>
      <c r="B400" t="str" cm="1">
        <f t="array" ref="B400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redcedar"},A400)),0)),"")</f>
        <v>Douglas-fir (east WA)</v>
      </c>
      <c r="C400" t="str" cm="1">
        <f t="array" ref="C400">IFERROR(INDEX({"Ridgetop","Other"},MATCH(TRUE,ISNUMBER(SEARCH({"Ridgetop","Other"},A400)),0)),"")</f>
        <v>Other</v>
      </c>
      <c r="D400" t="str" cm="1">
        <f t="array" ref="D400">IFERROR(INDEX({"Small","Medium","Large"},MATCH(TRUE,ISNUMBER(SEARCH({"Small","Medium","Large"},A400)),0)),"")</f>
        <v>Small</v>
      </c>
      <c r="E400" t="str">
        <f t="shared" si="6"/>
        <v>0.064</v>
      </c>
    </row>
    <row r="401" spans="1:5" x14ac:dyDescent="0.3">
      <c r="A401" t="s">
        <v>399</v>
      </c>
      <c r="B401" t="str" cm="1">
        <f t="array" ref="B401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redcedar"},A401)),0)),"")</f>
        <v>Douglas-fir (east WA)</v>
      </c>
      <c r="C401" t="str" cm="1">
        <f t="array" ref="C401">IFERROR(INDEX({"Ridgetop","Other"},MATCH(TRUE,ISNUMBER(SEARCH({"Ridgetop","Other"},A401)),0)),"")</f>
        <v>Other</v>
      </c>
      <c r="D401" t="str" cm="1">
        <f t="array" ref="D401">IFERROR(INDEX({"Small","Medium","Large"},MATCH(TRUE,ISNUMBER(SEARCH({"Small","Medium","Large"},A401)),0)),"")</f>
        <v>Medium</v>
      </c>
      <c r="E401" t="str">
        <f t="shared" si="6"/>
        <v>0.028</v>
      </c>
    </row>
    <row r="402" spans="1:5" x14ac:dyDescent="0.3">
      <c r="A402" t="s">
        <v>400</v>
      </c>
      <c r="B402" t="str" cm="1">
        <f t="array" ref="B402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redcedar"},A402)),0)),"")</f>
        <v>Douglas-fir (east WA)</v>
      </c>
      <c r="C402" t="str" cm="1">
        <f t="array" ref="C402">IFERROR(INDEX({"Ridgetop","Other"},MATCH(TRUE,ISNUMBER(SEARCH({"Ridgetop","Other"},A402)),0)),"")</f>
        <v>Other</v>
      </c>
      <c r="D402" t="str" cm="1">
        <f t="array" ref="D402">IFERROR(INDEX({"Small","Medium","Large"},MATCH(TRUE,ISNUMBER(SEARCH({"Small","Medium","Large"},A402)),0)),"")</f>
        <v>Large</v>
      </c>
      <c r="E402" t="str">
        <f t="shared" si="6"/>
        <v>0.020</v>
      </c>
    </row>
    <row r="403" spans="1:5" x14ac:dyDescent="0.3">
      <c r="A403" t="s">
        <v>401</v>
      </c>
      <c r="B403" t="str" cm="1">
        <f t="array" ref="B403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redcedar"},A403)),0)),"")</f>
        <v>Douglas-fir (east WA)</v>
      </c>
      <c r="C403" t="str" cm="1">
        <f t="array" ref="C403">IFERROR(INDEX({"Ridgetop","Other"},MATCH(TRUE,ISNUMBER(SEARCH({"Ridgetop","Other"},A403)),0)),"")</f>
        <v>Other</v>
      </c>
      <c r="D403" t="str" cm="1">
        <f t="array" ref="D403">IFERROR(INDEX({"Small","Medium","Large"},MATCH(TRUE,ISNUMBER(SEARCH({"Small","Medium","Large"},A403)),0)),"")</f>
        <v>Small</v>
      </c>
      <c r="E403" t="str">
        <f t="shared" si="6"/>
        <v>0.070</v>
      </c>
    </row>
    <row r="404" spans="1:5" x14ac:dyDescent="0.3">
      <c r="A404" t="s">
        <v>402</v>
      </c>
      <c r="B404" t="str" cm="1">
        <f t="array" ref="B404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redcedar"},A404)),0)),"")</f>
        <v>Douglas-fir (east WA)</v>
      </c>
      <c r="C404" t="str" cm="1">
        <f t="array" ref="C404">IFERROR(INDEX({"Ridgetop","Other"},MATCH(TRUE,ISNUMBER(SEARCH({"Ridgetop","Other"},A404)),0)),"")</f>
        <v>Other</v>
      </c>
      <c r="D404" t="str" cm="1">
        <f t="array" ref="D404">IFERROR(INDEX({"Small","Medium","Large"},MATCH(TRUE,ISNUMBER(SEARCH({"Small","Medium","Large"},A404)),0)),"")</f>
        <v>Medium</v>
      </c>
      <c r="E404" t="str">
        <f t="shared" si="6"/>
        <v>0.030</v>
      </c>
    </row>
    <row r="405" spans="1:5" x14ac:dyDescent="0.3">
      <c r="A405" t="s">
        <v>403</v>
      </c>
      <c r="B405" t="str" cm="1">
        <f t="array" ref="B405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redcedar"},A405)),0)),"")</f>
        <v>Douglas-fir (east WA)</v>
      </c>
      <c r="C405" t="str" cm="1">
        <f t="array" ref="C405">IFERROR(INDEX({"Ridgetop","Other"},MATCH(TRUE,ISNUMBER(SEARCH({"Ridgetop","Other"},A405)),0)),"")</f>
        <v>Other</v>
      </c>
      <c r="D405" t="str" cm="1">
        <f t="array" ref="D405">IFERROR(INDEX({"Small","Medium","Large"},MATCH(TRUE,ISNUMBER(SEARCH({"Small","Medium","Large"},A405)),0)),"")</f>
        <v>Large</v>
      </c>
      <c r="E405" t="str">
        <f t="shared" si="6"/>
        <v>0.022</v>
      </c>
    </row>
    <row r="406" spans="1:5" x14ac:dyDescent="0.3">
      <c r="A406" t="s">
        <v>404</v>
      </c>
      <c r="B406" t="str" cm="1">
        <f t="array" ref="B406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redcedar"},A406)),0)),"")</f>
        <v>Douglas-fir (east WA)</v>
      </c>
      <c r="C406" t="str" cm="1">
        <f t="array" ref="C406">IFERROR(INDEX({"Ridgetop","Other"},MATCH(TRUE,ISNUMBER(SEARCH({"Ridgetop","Other"},A406)),0)),"")</f>
        <v>Ridgetop</v>
      </c>
      <c r="D406" t="str" cm="1">
        <f t="array" ref="D406">IFERROR(INDEX({"Small","Medium","Large"},MATCH(TRUE,ISNUMBER(SEARCH({"Small","Medium","Large"},A406)),0)),"")</f>
        <v>Small</v>
      </c>
      <c r="E406" t="str">
        <f t="shared" si="6"/>
        <v>0.107</v>
      </c>
    </row>
    <row r="407" spans="1:5" x14ac:dyDescent="0.3">
      <c r="A407" t="s">
        <v>405</v>
      </c>
      <c r="B407" t="str" cm="1">
        <f t="array" ref="B407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redcedar"},A407)),0)),"")</f>
        <v>Douglas-fir (east WA)</v>
      </c>
      <c r="C407" t="str" cm="1">
        <f t="array" ref="C407">IFERROR(INDEX({"Ridgetop","Other"},MATCH(TRUE,ISNUMBER(SEARCH({"Ridgetop","Other"},A407)),0)),"")</f>
        <v>Ridgetop</v>
      </c>
      <c r="D407" t="str" cm="1">
        <f t="array" ref="D407">IFERROR(INDEX({"Small","Medium","Large"},MATCH(TRUE,ISNUMBER(SEARCH({"Small","Medium","Large"},A407)),0)),"")</f>
        <v>Medium</v>
      </c>
      <c r="E407" t="str">
        <f t="shared" si="6"/>
        <v>0.046</v>
      </c>
    </row>
    <row r="408" spans="1:5" x14ac:dyDescent="0.3">
      <c r="A408" t="s">
        <v>406</v>
      </c>
      <c r="B408" t="str" cm="1">
        <f t="array" ref="B408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redcedar"},A408)),0)),"")</f>
        <v>Douglas-fir (east WA)</v>
      </c>
      <c r="C408" t="str" cm="1">
        <f t="array" ref="C408">IFERROR(INDEX({"Ridgetop","Other"},MATCH(TRUE,ISNUMBER(SEARCH({"Ridgetop","Other"},A408)),0)),"")</f>
        <v>Ridgetop</v>
      </c>
      <c r="D408" t="str" cm="1">
        <f t="array" ref="D408">IFERROR(INDEX({"Small","Medium","Large"},MATCH(TRUE,ISNUMBER(SEARCH({"Small","Medium","Large"},A408)),0)),"")</f>
        <v>Large</v>
      </c>
      <c r="E408" t="str">
        <f t="shared" si="6"/>
        <v>0.033</v>
      </c>
    </row>
    <row r="409" spans="1:5" x14ac:dyDescent="0.3">
      <c r="A409" t="s">
        <v>407</v>
      </c>
      <c r="B409" t="str" cm="1">
        <f t="array" ref="B409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redcedar"},A409)),0)),"")</f>
        <v>Douglas-fir (east WA)</v>
      </c>
      <c r="C409" t="str" cm="1">
        <f t="array" ref="C409">IFERROR(INDEX({"Ridgetop","Other"},MATCH(TRUE,ISNUMBER(SEARCH({"Ridgetop","Other"},A409)),0)),"")</f>
        <v>Ridgetop</v>
      </c>
      <c r="D409" t="str" cm="1">
        <f t="array" ref="D409">IFERROR(INDEX({"Small","Medium","Large"},MATCH(TRUE,ISNUMBER(SEARCH({"Small","Medium","Large"},A409)),0)),"")</f>
        <v>Small</v>
      </c>
      <c r="E409" t="str">
        <f t="shared" si="6"/>
        <v>0.107</v>
      </c>
    </row>
    <row r="410" spans="1:5" x14ac:dyDescent="0.3">
      <c r="A410" t="s">
        <v>408</v>
      </c>
      <c r="B410" t="str" cm="1">
        <f t="array" ref="B410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redcedar"},A410)),0)),"")</f>
        <v>Douglas-fir (east WA)</v>
      </c>
      <c r="C410" t="str" cm="1">
        <f t="array" ref="C410">IFERROR(INDEX({"Ridgetop","Other"},MATCH(TRUE,ISNUMBER(SEARCH({"Ridgetop","Other"},A410)),0)),"")</f>
        <v>Ridgetop</v>
      </c>
      <c r="D410" t="str" cm="1">
        <f t="array" ref="D410">IFERROR(INDEX({"Small","Medium","Large"},MATCH(TRUE,ISNUMBER(SEARCH({"Small","Medium","Large"},A410)),0)),"")</f>
        <v>Medium</v>
      </c>
      <c r="E410" t="str">
        <f t="shared" si="6"/>
        <v>0.046</v>
      </c>
    </row>
    <row r="411" spans="1:5" x14ac:dyDescent="0.3">
      <c r="A411" t="s">
        <v>409</v>
      </c>
      <c r="B411" t="str" cm="1">
        <f t="array" ref="B411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redcedar"},A411)),0)),"")</f>
        <v>Douglas-fir (east WA)</v>
      </c>
      <c r="C411" t="str" cm="1">
        <f t="array" ref="C411">IFERROR(INDEX({"Ridgetop","Other"},MATCH(TRUE,ISNUMBER(SEARCH({"Ridgetop","Other"},A411)),0)),"")</f>
        <v>Ridgetop</v>
      </c>
      <c r="D411" t="str" cm="1">
        <f t="array" ref="D411">IFERROR(INDEX({"Small","Medium","Large"},MATCH(TRUE,ISNUMBER(SEARCH({"Small","Medium","Large"},A411)),0)),"")</f>
        <v>Large</v>
      </c>
      <c r="E411" t="str">
        <f t="shared" si="6"/>
        <v>0.033</v>
      </c>
    </row>
    <row r="412" spans="1:5" x14ac:dyDescent="0.3">
      <c r="A412" t="s">
        <v>410</v>
      </c>
      <c r="B412" t="str" cm="1">
        <f t="array" ref="B412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redcedar"},A412)),0)),"")</f>
        <v>Douglas-fir (east WA)</v>
      </c>
      <c r="C412" t="str" cm="1">
        <f t="array" ref="C412">IFERROR(INDEX({"Ridgetop","Other"},MATCH(TRUE,ISNUMBER(SEARCH({"Ridgetop","Other"},A412)),0)),"")</f>
        <v>Ridgetop</v>
      </c>
      <c r="D412" t="str" cm="1">
        <f t="array" ref="D412">IFERROR(INDEX({"Small","Medium","Large"},MATCH(TRUE,ISNUMBER(SEARCH({"Small","Medium","Large"},A412)),0)),"")</f>
        <v>Small</v>
      </c>
      <c r="E412" t="str">
        <f t="shared" si="6"/>
        <v>0.110</v>
      </c>
    </row>
    <row r="413" spans="1:5" x14ac:dyDescent="0.3">
      <c r="A413" t="s">
        <v>411</v>
      </c>
      <c r="B413" t="str" cm="1">
        <f t="array" ref="B413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redcedar"},A413)),0)),"")</f>
        <v>Douglas-fir (east WA)</v>
      </c>
      <c r="C413" t="str" cm="1">
        <f t="array" ref="C413">IFERROR(INDEX({"Ridgetop","Other"},MATCH(TRUE,ISNUMBER(SEARCH({"Ridgetop","Other"},A413)),0)),"")</f>
        <v>Ridgetop</v>
      </c>
      <c r="D413" t="str" cm="1">
        <f t="array" ref="D413">IFERROR(INDEX({"Small","Medium","Large"},MATCH(TRUE,ISNUMBER(SEARCH({"Small","Medium","Large"},A413)),0)),"")</f>
        <v>Medium</v>
      </c>
      <c r="E413" t="str">
        <f t="shared" si="6"/>
        <v>0.048</v>
      </c>
    </row>
    <row r="414" spans="1:5" x14ac:dyDescent="0.3">
      <c r="A414" t="s">
        <v>412</v>
      </c>
      <c r="B414" t="str" cm="1">
        <f t="array" ref="B414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redcedar"},A414)),0)),"")</f>
        <v>Douglas-fir (east WA)</v>
      </c>
      <c r="C414" t="str" cm="1">
        <f t="array" ref="C414">IFERROR(INDEX({"Ridgetop","Other"},MATCH(TRUE,ISNUMBER(SEARCH({"Ridgetop","Other"},A414)),0)),"")</f>
        <v>Ridgetop</v>
      </c>
      <c r="D414" t="str" cm="1">
        <f t="array" ref="D414">IFERROR(INDEX({"Small","Medium","Large"},MATCH(TRUE,ISNUMBER(SEARCH({"Small","Medium","Large"},A414)),0)),"")</f>
        <v>Large</v>
      </c>
      <c r="E414" t="str">
        <f t="shared" si="6"/>
        <v>0.034</v>
      </c>
    </row>
    <row r="415" spans="1:5" x14ac:dyDescent="0.3">
      <c r="A415" t="s">
        <v>413</v>
      </c>
      <c r="B415" t="str" cm="1">
        <f t="array" ref="B415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redcedar"},A415)),0)),"")</f>
        <v>Douglas-fir (east WA)</v>
      </c>
      <c r="C415" t="str" cm="1">
        <f t="array" ref="C415">IFERROR(INDEX({"Ridgetop","Other"},MATCH(TRUE,ISNUMBER(SEARCH({"Ridgetop","Other"},A415)),0)),"")</f>
        <v>Other</v>
      </c>
      <c r="D415" t="str" cm="1">
        <f t="array" ref="D415">IFERROR(INDEX({"Small","Medium","Large"},MATCH(TRUE,ISNUMBER(SEARCH({"Small","Medium","Large"},A415)),0)),"")</f>
        <v>Small</v>
      </c>
      <c r="E415" t="str">
        <f t="shared" si="6"/>
        <v>0.064</v>
      </c>
    </row>
    <row r="416" spans="1:5" x14ac:dyDescent="0.3">
      <c r="A416" t="s">
        <v>414</v>
      </c>
      <c r="B416" t="str" cm="1">
        <f t="array" ref="B416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redcedar"},A416)),0)),"")</f>
        <v>Douglas-fir (east WA)</v>
      </c>
      <c r="C416" t="str" cm="1">
        <f t="array" ref="C416">IFERROR(INDEX({"Ridgetop","Other"},MATCH(TRUE,ISNUMBER(SEARCH({"Ridgetop","Other"},A416)),0)),"")</f>
        <v>Other</v>
      </c>
      <c r="D416" t="str" cm="1">
        <f t="array" ref="D416">IFERROR(INDEX({"Small","Medium","Large"},MATCH(TRUE,ISNUMBER(SEARCH({"Small","Medium","Large"},A416)),0)),"")</f>
        <v>Medium</v>
      </c>
      <c r="E416" t="str">
        <f t="shared" si="6"/>
        <v>0.028</v>
      </c>
    </row>
    <row r="417" spans="1:5" x14ac:dyDescent="0.3">
      <c r="A417" t="s">
        <v>415</v>
      </c>
      <c r="B417" t="str" cm="1">
        <f t="array" ref="B417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redcedar"},A417)),0)),"")</f>
        <v>Douglas-fir (east WA)</v>
      </c>
      <c r="C417" t="str" cm="1">
        <f t="array" ref="C417">IFERROR(INDEX({"Ridgetop","Other"},MATCH(TRUE,ISNUMBER(SEARCH({"Ridgetop","Other"},A417)),0)),"")</f>
        <v>Other</v>
      </c>
      <c r="D417" t="str" cm="1">
        <f t="array" ref="D417">IFERROR(INDEX({"Small","Medium","Large"},MATCH(TRUE,ISNUMBER(SEARCH({"Small","Medium","Large"},A417)),0)),"")</f>
        <v>Large</v>
      </c>
      <c r="E417" t="str">
        <f t="shared" si="6"/>
        <v>0.020</v>
      </c>
    </row>
    <row r="418" spans="1:5" x14ac:dyDescent="0.3">
      <c r="A418" t="s">
        <v>416</v>
      </c>
      <c r="B418" t="str" cm="1">
        <f t="array" ref="B418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redcedar"},A418)),0)),"")</f>
        <v>Douglas-fir (east WA)</v>
      </c>
      <c r="C418" t="str" cm="1">
        <f t="array" ref="C418">IFERROR(INDEX({"Ridgetop","Other"},MATCH(TRUE,ISNUMBER(SEARCH({"Ridgetop","Other"},A418)),0)),"")</f>
        <v>Other</v>
      </c>
      <c r="D418" t="str" cm="1">
        <f t="array" ref="D418">IFERROR(INDEX({"Small","Medium","Large"},MATCH(TRUE,ISNUMBER(SEARCH({"Small","Medium","Large"},A418)),0)),"")</f>
        <v>Small</v>
      </c>
      <c r="E418" t="str">
        <f t="shared" si="6"/>
        <v>0.070</v>
      </c>
    </row>
    <row r="419" spans="1:5" x14ac:dyDescent="0.3">
      <c r="A419" t="s">
        <v>417</v>
      </c>
      <c r="B419" t="str" cm="1">
        <f t="array" ref="B419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redcedar"},A419)),0)),"")</f>
        <v>Douglas-fir (east WA)</v>
      </c>
      <c r="C419" t="str" cm="1">
        <f t="array" ref="C419">IFERROR(INDEX({"Ridgetop","Other"},MATCH(TRUE,ISNUMBER(SEARCH({"Ridgetop","Other"},A419)),0)),"")</f>
        <v>Other</v>
      </c>
      <c r="D419" t="str" cm="1">
        <f t="array" ref="D419">IFERROR(INDEX({"Small","Medium","Large"},MATCH(TRUE,ISNUMBER(SEARCH({"Small","Medium","Large"},A419)),0)),"")</f>
        <v>Medium</v>
      </c>
      <c r="E419" t="str">
        <f t="shared" si="6"/>
        <v>0.030</v>
      </c>
    </row>
    <row r="420" spans="1:5" x14ac:dyDescent="0.3">
      <c r="A420" t="s">
        <v>418</v>
      </c>
      <c r="B420" t="str" cm="1">
        <f t="array" ref="B420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redcedar"},A420)),0)),"")</f>
        <v>Douglas-fir (east WA)</v>
      </c>
      <c r="C420" t="str" cm="1">
        <f t="array" ref="C420">IFERROR(INDEX({"Ridgetop","Other"},MATCH(TRUE,ISNUMBER(SEARCH({"Ridgetop","Other"},A420)),0)),"")</f>
        <v>Other</v>
      </c>
      <c r="D420" t="str" cm="1">
        <f t="array" ref="D420">IFERROR(INDEX({"Small","Medium","Large"},MATCH(TRUE,ISNUMBER(SEARCH({"Small","Medium","Large"},A420)),0)),"")</f>
        <v>Large</v>
      </c>
      <c r="E420" t="str">
        <f t="shared" si="6"/>
        <v>0.022</v>
      </c>
    </row>
    <row r="421" spans="1:5" x14ac:dyDescent="0.3">
      <c r="A421" t="s">
        <v>419</v>
      </c>
      <c r="B421" t="str" cm="1">
        <f t="array" ref="B421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redcedar"},A421)),0)),"")</f>
        <v>Douglas-fir (east WA)</v>
      </c>
      <c r="C421" t="str" cm="1">
        <f t="array" ref="C421">IFERROR(INDEX({"Ridgetop","Other"},MATCH(TRUE,ISNUMBER(SEARCH({"Ridgetop","Other"},A421)),0)),"")</f>
        <v>Other</v>
      </c>
      <c r="D421" t="str" cm="1">
        <f t="array" ref="D421">IFERROR(INDEX({"Small","Medium","Large"},MATCH(TRUE,ISNUMBER(SEARCH({"Small","Medium","Large"},A421)),0)),"")</f>
        <v>Small</v>
      </c>
      <c r="E421" t="str">
        <f t="shared" si="6"/>
        <v>0.070</v>
      </c>
    </row>
    <row r="422" spans="1:5" x14ac:dyDescent="0.3">
      <c r="A422" t="s">
        <v>420</v>
      </c>
      <c r="B422" t="str" cm="1">
        <f t="array" ref="B422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redcedar"},A422)),0)),"")</f>
        <v>Douglas-fir (east WA)</v>
      </c>
      <c r="C422" t="str" cm="1">
        <f t="array" ref="C422">IFERROR(INDEX({"Ridgetop","Other"},MATCH(TRUE,ISNUMBER(SEARCH({"Ridgetop","Other"},A422)),0)),"")</f>
        <v>Other</v>
      </c>
      <c r="D422" t="str" cm="1">
        <f t="array" ref="D422">IFERROR(INDEX({"Small","Medium","Large"},MATCH(TRUE,ISNUMBER(SEARCH({"Small","Medium","Large"},A422)),0)),"")</f>
        <v>Medium</v>
      </c>
      <c r="E422" t="str">
        <f t="shared" si="6"/>
        <v>0.030</v>
      </c>
    </row>
    <row r="423" spans="1:5" x14ac:dyDescent="0.3">
      <c r="A423" t="s">
        <v>421</v>
      </c>
      <c r="B423" t="str" cm="1">
        <f t="array" ref="B423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redcedar"},A423)),0)),"")</f>
        <v>Douglas-fir (east WA)</v>
      </c>
      <c r="C423" t="str" cm="1">
        <f t="array" ref="C423">IFERROR(INDEX({"Ridgetop","Other"},MATCH(TRUE,ISNUMBER(SEARCH({"Ridgetop","Other"},A423)),0)),"")</f>
        <v>Other</v>
      </c>
      <c r="D423" t="str" cm="1">
        <f t="array" ref="D423">IFERROR(INDEX({"Small","Medium","Large"},MATCH(TRUE,ISNUMBER(SEARCH({"Small","Medium","Large"},A423)),0)),"")</f>
        <v>Large</v>
      </c>
      <c r="E423" t="str">
        <f t="shared" si="6"/>
        <v>0.022</v>
      </c>
    </row>
    <row r="424" spans="1:5" x14ac:dyDescent="0.3">
      <c r="A424" t="s">
        <v>422</v>
      </c>
      <c r="B424" t="str" cm="1">
        <f t="array" ref="B424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redcedar"},A424)),0)),"")</f>
        <v>Douglas-fir (east WA)</v>
      </c>
      <c r="C424" t="str" cm="1">
        <f t="array" ref="C424">IFERROR(INDEX({"Ridgetop","Other"},MATCH(TRUE,ISNUMBER(SEARCH({"Ridgetop","Other"},A424)),0)),"")</f>
        <v>Ridgetop</v>
      </c>
      <c r="D424" t="str" cm="1">
        <f t="array" ref="D424">IFERROR(INDEX({"Small","Medium","Large"},MATCH(TRUE,ISNUMBER(SEARCH({"Small","Medium","Large"},A424)),0)),"")</f>
        <v>Small</v>
      </c>
      <c r="E424" t="str">
        <f t="shared" si="6"/>
        <v>0.116</v>
      </c>
    </row>
    <row r="425" spans="1:5" x14ac:dyDescent="0.3">
      <c r="A425" t="s">
        <v>423</v>
      </c>
      <c r="B425" t="str" cm="1">
        <f t="array" ref="B425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redcedar"},A425)),0)),"")</f>
        <v>Douglas-fir (east WA)</v>
      </c>
      <c r="C425" t="str" cm="1">
        <f t="array" ref="C425">IFERROR(INDEX({"Ridgetop","Other"},MATCH(TRUE,ISNUMBER(SEARCH({"Ridgetop","Other"},A425)),0)),"")</f>
        <v>Ridgetop</v>
      </c>
      <c r="D425" t="str" cm="1">
        <f t="array" ref="D425">IFERROR(INDEX({"Small","Medium","Large"},MATCH(TRUE,ISNUMBER(SEARCH({"Small","Medium","Large"},A425)),0)),"")</f>
        <v>Medium</v>
      </c>
      <c r="E425" t="str">
        <f t="shared" si="6"/>
        <v>0.050</v>
      </c>
    </row>
    <row r="426" spans="1:5" x14ac:dyDescent="0.3">
      <c r="A426" t="s">
        <v>424</v>
      </c>
      <c r="B426" t="str" cm="1">
        <f t="array" ref="B426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redcedar"},A426)),0)),"")</f>
        <v>Douglas-fir (east WA)</v>
      </c>
      <c r="C426" t="str" cm="1">
        <f t="array" ref="C426">IFERROR(INDEX({"Ridgetop","Other"},MATCH(TRUE,ISNUMBER(SEARCH({"Ridgetop","Other"},A426)),0)),"")</f>
        <v>Ridgetop</v>
      </c>
      <c r="D426" t="str" cm="1">
        <f t="array" ref="D426">IFERROR(INDEX({"Small","Medium","Large"},MATCH(TRUE,ISNUMBER(SEARCH({"Small","Medium","Large"},A426)),0)),"")</f>
        <v>Large</v>
      </c>
      <c r="E426" t="str">
        <f t="shared" si="6"/>
        <v>0.036</v>
      </c>
    </row>
    <row r="427" spans="1:5" x14ac:dyDescent="0.3">
      <c r="A427" t="s">
        <v>425</v>
      </c>
      <c r="B427" t="str" cm="1">
        <f t="array" ref="B427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redcedar"},A427)),0)),"")</f>
        <v>Douglas-fir (east WA)</v>
      </c>
      <c r="C427" t="str" cm="1">
        <f t="array" ref="C427">IFERROR(INDEX({"Ridgetop","Other"},MATCH(TRUE,ISNUMBER(SEARCH({"Ridgetop","Other"},A427)),0)),"")</f>
        <v>Ridgetop</v>
      </c>
      <c r="D427" t="str" cm="1">
        <f t="array" ref="D427">IFERROR(INDEX({"Small","Medium","Large"},MATCH(TRUE,ISNUMBER(SEARCH({"Small","Medium","Large"},A427)),0)),"")</f>
        <v>Small</v>
      </c>
      <c r="E427" t="str">
        <f t="shared" si="6"/>
        <v>0.116</v>
      </c>
    </row>
    <row r="428" spans="1:5" x14ac:dyDescent="0.3">
      <c r="A428" t="s">
        <v>426</v>
      </c>
      <c r="B428" t="str" cm="1">
        <f t="array" ref="B428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redcedar"},A428)),0)),"")</f>
        <v>Douglas-fir (east WA)</v>
      </c>
      <c r="C428" t="str" cm="1">
        <f t="array" ref="C428">IFERROR(INDEX({"Ridgetop","Other"},MATCH(TRUE,ISNUMBER(SEARCH({"Ridgetop","Other"},A428)),0)),"")</f>
        <v>Ridgetop</v>
      </c>
      <c r="D428" t="str" cm="1">
        <f t="array" ref="D428">IFERROR(INDEX({"Small","Medium","Large"},MATCH(TRUE,ISNUMBER(SEARCH({"Small","Medium","Large"},A428)),0)),"")</f>
        <v>Medium</v>
      </c>
      <c r="E428" t="str">
        <f t="shared" si="6"/>
        <v>0.050</v>
      </c>
    </row>
    <row r="429" spans="1:5" x14ac:dyDescent="0.3">
      <c r="A429" t="s">
        <v>427</v>
      </c>
      <c r="B429" t="str" cm="1">
        <f t="array" ref="B429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redcedar"},A429)),0)),"")</f>
        <v>Douglas-fir (east WA)</v>
      </c>
      <c r="C429" t="str" cm="1">
        <f t="array" ref="C429">IFERROR(INDEX({"Ridgetop","Other"},MATCH(TRUE,ISNUMBER(SEARCH({"Ridgetop","Other"},A429)),0)),"")</f>
        <v>Ridgetop</v>
      </c>
      <c r="D429" t="str" cm="1">
        <f t="array" ref="D429">IFERROR(INDEX({"Small","Medium","Large"},MATCH(TRUE,ISNUMBER(SEARCH({"Small","Medium","Large"},A429)),0)),"")</f>
        <v>Large</v>
      </c>
      <c r="E429" t="str">
        <f t="shared" si="6"/>
        <v>0.036</v>
      </c>
    </row>
    <row r="430" spans="1:5" x14ac:dyDescent="0.3">
      <c r="A430" t="s">
        <v>428</v>
      </c>
      <c r="B430" t="str" cm="1">
        <f t="array" ref="B430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redcedar"},A430)),0)),"")</f>
        <v>Douglas-fir (east WA)</v>
      </c>
      <c r="C430" t="str" cm="1">
        <f t="array" ref="C430">IFERROR(INDEX({"Ridgetop","Other"},MATCH(TRUE,ISNUMBER(SEARCH({"Ridgetop","Other"},A430)),0)),"")</f>
        <v>Ridgetop</v>
      </c>
      <c r="D430" t="str" cm="1">
        <f t="array" ref="D430">IFERROR(INDEX({"Small","Medium","Large"},MATCH(TRUE,ISNUMBER(SEARCH({"Small","Medium","Large"},A430)),0)),"")</f>
        <v>Small</v>
      </c>
      <c r="E430" t="str">
        <f t="shared" si="6"/>
        <v>0.116</v>
      </c>
    </row>
    <row r="431" spans="1:5" x14ac:dyDescent="0.3">
      <c r="A431" t="s">
        <v>429</v>
      </c>
      <c r="B431" t="str" cm="1">
        <f t="array" ref="B431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redcedar"},A431)),0)),"")</f>
        <v>Douglas-fir (east WA)</v>
      </c>
      <c r="C431" t="str" cm="1">
        <f t="array" ref="C431">IFERROR(INDEX({"Ridgetop","Other"},MATCH(TRUE,ISNUMBER(SEARCH({"Ridgetop","Other"},A431)),0)),"")</f>
        <v>Ridgetop</v>
      </c>
      <c r="D431" t="str" cm="1">
        <f t="array" ref="D431">IFERROR(INDEX({"Small","Medium","Large"},MATCH(TRUE,ISNUMBER(SEARCH({"Small","Medium","Large"},A431)),0)),"")</f>
        <v>Medium</v>
      </c>
      <c r="E431" t="str">
        <f t="shared" si="6"/>
        <v>0.050</v>
      </c>
    </row>
    <row r="432" spans="1:5" x14ac:dyDescent="0.3">
      <c r="A432" t="s">
        <v>430</v>
      </c>
      <c r="B432" t="str" cm="1">
        <f t="array" ref="B432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redcedar"},A432)),0)),"")</f>
        <v>Douglas-fir (east WA)</v>
      </c>
      <c r="C432" t="str" cm="1">
        <f t="array" ref="C432">IFERROR(INDEX({"Ridgetop","Other"},MATCH(TRUE,ISNUMBER(SEARCH({"Ridgetop","Other"},A432)),0)),"")</f>
        <v>Ridgetop</v>
      </c>
      <c r="D432" t="str" cm="1">
        <f t="array" ref="D432">IFERROR(INDEX({"Small","Medium","Large"},MATCH(TRUE,ISNUMBER(SEARCH({"Small","Medium","Large"},A432)),0)),"")</f>
        <v>Large</v>
      </c>
      <c r="E432" t="str">
        <f t="shared" si="6"/>
        <v>0.036</v>
      </c>
    </row>
    <row r="433" spans="1:5" x14ac:dyDescent="0.3">
      <c r="A433" t="s">
        <v>431</v>
      </c>
      <c r="B433" t="str" cm="1">
        <f t="array" ref="B433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redcedar"},A433)),0)),"")</f>
        <v>Western white pine</v>
      </c>
      <c r="C433" t="str" cm="1">
        <f t="array" ref="C433">IFERROR(INDEX({"Ridgetop","Other"},MATCH(TRUE,ISNUMBER(SEARCH({"Ridgetop","Other"},A433)),0)),"")</f>
        <v>Other</v>
      </c>
      <c r="D433" t="str" cm="1">
        <f t="array" ref="D433">IFERROR(INDEX({"Small","Medium","Large"},MATCH(TRUE,ISNUMBER(SEARCH({"Small","Medium","Large"},A433)),0)),"")</f>
        <v>Small</v>
      </c>
      <c r="E433" t="str">
        <f t="shared" si="6"/>
        <v>0.030</v>
      </c>
    </row>
    <row r="434" spans="1:5" x14ac:dyDescent="0.3">
      <c r="A434" t="s">
        <v>432</v>
      </c>
      <c r="B434" t="str" cm="1">
        <f t="array" ref="B434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redcedar"},A434)),0)),"")</f>
        <v>Western white pine</v>
      </c>
      <c r="C434" t="str" cm="1">
        <f t="array" ref="C434">IFERROR(INDEX({"Ridgetop","Other"},MATCH(TRUE,ISNUMBER(SEARCH({"Ridgetop","Other"},A434)),0)),"")</f>
        <v>Other</v>
      </c>
      <c r="D434" t="str" cm="1">
        <f t="array" ref="D434">IFERROR(INDEX({"Small","Medium","Large"},MATCH(TRUE,ISNUMBER(SEARCH({"Small","Medium","Large"},A434)),0)),"")</f>
        <v>Medium</v>
      </c>
      <c r="E434" t="str">
        <f t="shared" si="6"/>
        <v>0.012</v>
      </c>
    </row>
    <row r="435" spans="1:5" x14ac:dyDescent="0.3">
      <c r="A435" t="s">
        <v>433</v>
      </c>
      <c r="B435" t="str" cm="1">
        <f t="array" ref="B435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redcedar"},A435)),0)),"")</f>
        <v>Western white pine</v>
      </c>
      <c r="C435" t="str" cm="1">
        <f t="array" ref="C435">IFERROR(INDEX({"Ridgetop","Other"},MATCH(TRUE,ISNUMBER(SEARCH({"Ridgetop","Other"},A435)),0)),"")</f>
        <v>Other</v>
      </c>
      <c r="D435" t="str" cm="1">
        <f t="array" ref="D435">IFERROR(INDEX({"Small","Medium","Large"},MATCH(TRUE,ISNUMBER(SEARCH({"Small","Medium","Large"},A435)),0)),"")</f>
        <v>Large</v>
      </c>
      <c r="E435" t="str">
        <f t="shared" si="6"/>
        <v>0.011</v>
      </c>
    </row>
    <row r="436" spans="1:5" x14ac:dyDescent="0.3">
      <c r="A436" t="s">
        <v>434</v>
      </c>
      <c r="B436" t="str" cm="1">
        <f t="array" ref="B436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redcedar"},A436)),0)),"")</f>
        <v>Western white pine</v>
      </c>
      <c r="C436" t="str" cm="1">
        <f t="array" ref="C436">IFERROR(INDEX({"Ridgetop","Other"},MATCH(TRUE,ISNUMBER(SEARCH({"Ridgetop","Other"},A436)),0)),"")</f>
        <v>Other</v>
      </c>
      <c r="D436" t="str" cm="1">
        <f t="array" ref="D436">IFERROR(INDEX({"Small","Medium","Large"},MATCH(TRUE,ISNUMBER(SEARCH({"Small","Medium","Large"},A436)),0)),"")</f>
        <v>Small</v>
      </c>
      <c r="E436" t="str">
        <f t="shared" si="6"/>
        <v>0.033</v>
      </c>
    </row>
    <row r="437" spans="1:5" x14ac:dyDescent="0.3">
      <c r="A437" t="s">
        <v>435</v>
      </c>
      <c r="B437" t="str" cm="1">
        <f t="array" ref="B437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redcedar"},A437)),0)),"")</f>
        <v>Western white pine</v>
      </c>
      <c r="C437" t="str" cm="1">
        <f t="array" ref="C437">IFERROR(INDEX({"Ridgetop","Other"},MATCH(TRUE,ISNUMBER(SEARCH({"Ridgetop","Other"},A437)),0)),"")</f>
        <v>Other</v>
      </c>
      <c r="D437" t="str" cm="1">
        <f t="array" ref="D437">IFERROR(INDEX({"Small","Medium","Large"},MATCH(TRUE,ISNUMBER(SEARCH({"Small","Medium","Large"},A437)),0)),"")</f>
        <v>Medium</v>
      </c>
      <c r="E437" t="str">
        <f t="shared" si="6"/>
        <v>0.014</v>
      </c>
    </row>
    <row r="438" spans="1:5" x14ac:dyDescent="0.3">
      <c r="A438" t="s">
        <v>436</v>
      </c>
      <c r="B438" t="str" cm="1">
        <f t="array" ref="B438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redcedar"},A438)),0)),"")</f>
        <v>Western white pine</v>
      </c>
      <c r="C438" t="str" cm="1">
        <f t="array" ref="C438">IFERROR(INDEX({"Ridgetop","Other"},MATCH(TRUE,ISNUMBER(SEARCH({"Ridgetop","Other"},A438)),0)),"")</f>
        <v>Other</v>
      </c>
      <c r="D438" t="str" cm="1">
        <f t="array" ref="D438">IFERROR(INDEX({"Small","Medium","Large"},MATCH(TRUE,ISNUMBER(SEARCH({"Small","Medium","Large"},A438)),0)),"")</f>
        <v>Large</v>
      </c>
      <c r="E438" t="str">
        <f t="shared" si="6"/>
        <v>0.012</v>
      </c>
    </row>
    <row r="439" spans="1:5" x14ac:dyDescent="0.3">
      <c r="A439" t="s">
        <v>437</v>
      </c>
      <c r="B439" t="str" cm="1">
        <f t="array" ref="B439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redcedar"},A439)),0)),"")</f>
        <v>Western white pine</v>
      </c>
      <c r="C439" t="str" cm="1">
        <f t="array" ref="C439">IFERROR(INDEX({"Ridgetop","Other"},MATCH(TRUE,ISNUMBER(SEARCH({"Ridgetop","Other"},A439)),0)),"")</f>
        <v>Other</v>
      </c>
      <c r="D439" t="str" cm="1">
        <f t="array" ref="D439">IFERROR(INDEX({"Small","Medium","Large"},MATCH(TRUE,ISNUMBER(SEARCH({"Small","Medium","Large"},A439)),0)),"")</f>
        <v>Small</v>
      </c>
      <c r="E439" t="str">
        <f t="shared" si="6"/>
        <v>0.041</v>
      </c>
    </row>
    <row r="440" spans="1:5" x14ac:dyDescent="0.3">
      <c r="A440" t="s">
        <v>438</v>
      </c>
      <c r="B440" t="str" cm="1">
        <f t="array" ref="B440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redcedar"},A440)),0)),"")</f>
        <v>Western white pine</v>
      </c>
      <c r="C440" t="str" cm="1">
        <f t="array" ref="C440">IFERROR(INDEX({"Ridgetop","Other"},MATCH(TRUE,ISNUMBER(SEARCH({"Ridgetop","Other"},A440)),0)),"")</f>
        <v>Other</v>
      </c>
      <c r="D440" t="str" cm="1">
        <f t="array" ref="D440">IFERROR(INDEX({"Small","Medium","Large"},MATCH(TRUE,ISNUMBER(SEARCH({"Small","Medium","Large"},A440)),0)),"")</f>
        <v>Medium</v>
      </c>
      <c r="E440" t="str">
        <f t="shared" si="6"/>
        <v>0.017</v>
      </c>
    </row>
    <row r="441" spans="1:5" x14ac:dyDescent="0.3">
      <c r="A441" t="s">
        <v>439</v>
      </c>
      <c r="B441" t="str" cm="1">
        <f t="array" ref="B441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redcedar"},A441)),0)),"")</f>
        <v>Western white pine</v>
      </c>
      <c r="C441" t="str" cm="1">
        <f t="array" ref="C441">IFERROR(INDEX({"Ridgetop","Other"},MATCH(TRUE,ISNUMBER(SEARCH({"Ridgetop","Other"},A441)),0)),"")</f>
        <v>Other</v>
      </c>
      <c r="D441" t="str" cm="1">
        <f t="array" ref="D441">IFERROR(INDEX({"Small","Medium","Large"},MATCH(TRUE,ISNUMBER(SEARCH({"Small","Medium","Large"},A441)),0)),"")</f>
        <v>Large</v>
      </c>
      <c r="E441" t="str">
        <f t="shared" si="6"/>
        <v>0.014</v>
      </c>
    </row>
    <row r="442" spans="1:5" x14ac:dyDescent="0.3">
      <c r="A442" t="s">
        <v>440</v>
      </c>
      <c r="B442" t="str" cm="1">
        <f t="array" ref="B442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redcedar"},A442)),0)),"")</f>
        <v>Western white pine</v>
      </c>
      <c r="C442" t="str" cm="1">
        <f t="array" ref="C442">IFERROR(INDEX({"Ridgetop","Other"},MATCH(TRUE,ISNUMBER(SEARCH({"Ridgetop","Other"},A442)),0)),"")</f>
        <v>Ridgetop</v>
      </c>
      <c r="D442" t="str" cm="1">
        <f t="array" ref="D442">IFERROR(INDEX({"Small","Medium","Large"},MATCH(TRUE,ISNUMBER(SEARCH({"Small","Medium","Large"},A442)),0)),"")</f>
        <v>Small</v>
      </c>
      <c r="E442" t="str">
        <f t="shared" si="6"/>
        <v>0.053</v>
      </c>
    </row>
    <row r="443" spans="1:5" x14ac:dyDescent="0.3">
      <c r="A443" t="s">
        <v>441</v>
      </c>
      <c r="B443" t="str" cm="1">
        <f t="array" ref="B443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redcedar"},A443)),0)),"")</f>
        <v>Western white pine</v>
      </c>
      <c r="C443" t="str" cm="1">
        <f t="array" ref="C443">IFERROR(INDEX({"Ridgetop","Other"},MATCH(TRUE,ISNUMBER(SEARCH({"Ridgetop","Other"},A443)),0)),"")</f>
        <v>Ridgetop</v>
      </c>
      <c r="D443" t="str" cm="1">
        <f t="array" ref="D443">IFERROR(INDEX({"Small","Medium","Large"},MATCH(TRUE,ISNUMBER(SEARCH({"Small","Medium","Large"},A443)),0)),"")</f>
        <v>Medium</v>
      </c>
      <c r="E443" t="str">
        <f t="shared" si="6"/>
        <v>0.022</v>
      </c>
    </row>
    <row r="444" spans="1:5" x14ac:dyDescent="0.3">
      <c r="A444" t="s">
        <v>442</v>
      </c>
      <c r="B444" t="str" cm="1">
        <f t="array" ref="B444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redcedar"},A444)),0)),"")</f>
        <v>Western white pine</v>
      </c>
      <c r="C444" t="str" cm="1">
        <f t="array" ref="C444">IFERROR(INDEX({"Ridgetop","Other"},MATCH(TRUE,ISNUMBER(SEARCH({"Ridgetop","Other"},A444)),0)),"")</f>
        <v>Ridgetop</v>
      </c>
      <c r="D444" t="str" cm="1">
        <f t="array" ref="D444">IFERROR(INDEX({"Small","Medium","Large"},MATCH(TRUE,ISNUMBER(SEARCH({"Small","Medium","Large"},A444)),0)),"")</f>
        <v>Large</v>
      </c>
      <c r="E444" t="str">
        <f t="shared" si="6"/>
        <v>0.019</v>
      </c>
    </row>
    <row r="445" spans="1:5" x14ac:dyDescent="0.3">
      <c r="A445" t="s">
        <v>443</v>
      </c>
      <c r="B445" t="str" cm="1">
        <f t="array" ref="B445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redcedar"},A445)),0)),"")</f>
        <v>Western white pine</v>
      </c>
      <c r="C445" t="str" cm="1">
        <f t="array" ref="C445">IFERROR(INDEX({"Ridgetop","Other"},MATCH(TRUE,ISNUMBER(SEARCH({"Ridgetop","Other"},A445)),0)),"")</f>
        <v>Ridgetop</v>
      </c>
      <c r="D445" t="str" cm="1">
        <f t="array" ref="D445">IFERROR(INDEX({"Small","Medium","Large"},MATCH(TRUE,ISNUMBER(SEARCH({"Small","Medium","Large"},A445)),0)),"")</f>
        <v>Small</v>
      </c>
      <c r="E445" t="str">
        <f t="shared" si="6"/>
        <v>0.054</v>
      </c>
    </row>
    <row r="446" spans="1:5" x14ac:dyDescent="0.3">
      <c r="A446" t="s">
        <v>444</v>
      </c>
      <c r="B446" t="str" cm="1">
        <f t="array" ref="B446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redcedar"},A446)),0)),"")</f>
        <v>Western white pine</v>
      </c>
      <c r="C446" t="str" cm="1">
        <f t="array" ref="C446">IFERROR(INDEX({"Ridgetop","Other"},MATCH(TRUE,ISNUMBER(SEARCH({"Ridgetop","Other"},A446)),0)),"")</f>
        <v>Ridgetop</v>
      </c>
      <c r="D446" t="str" cm="1">
        <f t="array" ref="D446">IFERROR(INDEX({"Small","Medium","Large"},MATCH(TRUE,ISNUMBER(SEARCH({"Small","Medium","Large"},A446)),0)),"")</f>
        <v>Medium</v>
      </c>
      <c r="E446" t="str">
        <f t="shared" si="6"/>
        <v>0.022</v>
      </c>
    </row>
    <row r="447" spans="1:5" x14ac:dyDescent="0.3">
      <c r="A447" t="s">
        <v>445</v>
      </c>
      <c r="B447" t="str" cm="1">
        <f t="array" ref="B447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redcedar"},A447)),0)),"")</f>
        <v>Western white pine</v>
      </c>
      <c r="C447" t="str" cm="1">
        <f t="array" ref="C447">IFERROR(INDEX({"Ridgetop","Other"},MATCH(TRUE,ISNUMBER(SEARCH({"Ridgetop","Other"},A447)),0)),"")</f>
        <v>Ridgetop</v>
      </c>
      <c r="D447" t="str" cm="1">
        <f t="array" ref="D447">IFERROR(INDEX({"Small","Medium","Large"},MATCH(TRUE,ISNUMBER(SEARCH({"Small","Medium","Large"},A447)),0)),"")</f>
        <v>Large</v>
      </c>
      <c r="E447" t="str">
        <f t="shared" si="6"/>
        <v>0.019</v>
      </c>
    </row>
    <row r="448" spans="1:5" x14ac:dyDescent="0.3">
      <c r="A448" t="s">
        <v>446</v>
      </c>
      <c r="B448" t="str" cm="1">
        <f t="array" ref="B448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redcedar"},A448)),0)),"")</f>
        <v>Western white pine</v>
      </c>
      <c r="C448" t="str" cm="1">
        <f t="array" ref="C448">IFERROR(INDEX({"Ridgetop","Other"},MATCH(TRUE,ISNUMBER(SEARCH({"Ridgetop","Other"},A448)),0)),"")</f>
        <v>Ridgetop</v>
      </c>
      <c r="D448" t="str" cm="1">
        <f t="array" ref="D448">IFERROR(INDEX({"Small","Medium","Large"},MATCH(TRUE,ISNUMBER(SEARCH({"Small","Medium","Large"},A448)),0)),"")</f>
        <v>Small</v>
      </c>
      <c r="E448" t="str">
        <f t="shared" si="6"/>
        <v>0.058</v>
      </c>
    </row>
    <row r="449" spans="1:5" x14ac:dyDescent="0.3">
      <c r="A449" t="s">
        <v>447</v>
      </c>
      <c r="B449" t="str" cm="1">
        <f t="array" ref="B449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redcedar"},A449)),0)),"")</f>
        <v>Western white pine</v>
      </c>
      <c r="C449" t="str" cm="1">
        <f t="array" ref="C449">IFERROR(INDEX({"Ridgetop","Other"},MATCH(TRUE,ISNUMBER(SEARCH({"Ridgetop","Other"},A449)),0)),"")</f>
        <v>Ridgetop</v>
      </c>
      <c r="D449" t="str" cm="1">
        <f t="array" ref="D449">IFERROR(INDEX({"Small","Medium","Large"},MATCH(TRUE,ISNUMBER(SEARCH({"Small","Medium","Large"},A449)),0)),"")</f>
        <v>Medium</v>
      </c>
      <c r="E449" t="str">
        <f t="shared" si="6"/>
        <v>0.024</v>
      </c>
    </row>
    <row r="450" spans="1:5" x14ac:dyDescent="0.3">
      <c r="A450" t="s">
        <v>448</v>
      </c>
      <c r="B450" t="str" cm="1">
        <f t="array" ref="B450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redcedar"},A450)),0)),"")</f>
        <v>Western white pine</v>
      </c>
      <c r="C450" t="str" cm="1">
        <f t="array" ref="C450">IFERROR(INDEX({"Ridgetop","Other"},MATCH(TRUE,ISNUMBER(SEARCH({"Ridgetop","Other"},A450)),0)),"")</f>
        <v>Ridgetop</v>
      </c>
      <c r="D450" t="str" cm="1">
        <f t="array" ref="D450">IFERROR(INDEX({"Small","Medium","Large"},MATCH(TRUE,ISNUMBER(SEARCH({"Small","Medium","Large"},A450)),0)),"")</f>
        <v>Large</v>
      </c>
      <c r="E450" t="str">
        <f t="shared" si="6"/>
        <v>0.020</v>
      </c>
    </row>
    <row r="451" spans="1:5" x14ac:dyDescent="0.3">
      <c r="A451" t="s">
        <v>449</v>
      </c>
      <c r="B451" t="str" cm="1">
        <f t="array" ref="B451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redcedar"},A451)),0)),"")</f>
        <v>Western white pine</v>
      </c>
      <c r="C451" t="str" cm="1">
        <f t="array" ref="C451">IFERROR(INDEX({"Ridgetop","Other"},MATCH(TRUE,ISNUMBER(SEARCH({"Ridgetop","Other"},A451)),0)),"")</f>
        <v>Other</v>
      </c>
      <c r="D451" t="str" cm="1">
        <f t="array" ref="D451">IFERROR(INDEX({"Small","Medium","Large"},MATCH(TRUE,ISNUMBER(SEARCH({"Small","Medium","Large"},A451)),0)),"")</f>
        <v>Small</v>
      </c>
      <c r="E451" t="str">
        <f t="shared" ref="E451:E514" si="7">RIGHT(A451,LEN(A451)-FIND("@",SUBSTITUTE(A451," ","@",LEN(A451)-LEN(SUBSTITUTE(A451," ","")))))</f>
        <v>0.037</v>
      </c>
    </row>
    <row r="452" spans="1:5" x14ac:dyDescent="0.3">
      <c r="A452" t="s">
        <v>450</v>
      </c>
      <c r="B452" t="str" cm="1">
        <f t="array" ref="B452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redcedar"},A452)),0)),"")</f>
        <v>Western white pine</v>
      </c>
      <c r="C452" t="str" cm="1">
        <f t="array" ref="C452">IFERROR(INDEX({"Ridgetop","Other"},MATCH(TRUE,ISNUMBER(SEARCH({"Ridgetop","Other"},A452)),0)),"")</f>
        <v>Other</v>
      </c>
      <c r="D452" t="str" cm="1">
        <f t="array" ref="D452">IFERROR(INDEX({"Small","Medium","Large"},MATCH(TRUE,ISNUMBER(SEARCH({"Small","Medium","Large"},A452)),0)),"")</f>
        <v>Medium</v>
      </c>
      <c r="E452" t="str">
        <f t="shared" si="7"/>
        <v>0.015</v>
      </c>
    </row>
    <row r="453" spans="1:5" x14ac:dyDescent="0.3">
      <c r="A453" t="s">
        <v>451</v>
      </c>
      <c r="B453" t="str" cm="1">
        <f t="array" ref="B453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redcedar"},A453)),0)),"")</f>
        <v>Western white pine</v>
      </c>
      <c r="C453" t="str" cm="1">
        <f t="array" ref="C453">IFERROR(INDEX({"Ridgetop","Other"},MATCH(TRUE,ISNUMBER(SEARCH({"Ridgetop","Other"},A453)),0)),"")</f>
        <v>Other</v>
      </c>
      <c r="D453" t="str" cm="1">
        <f t="array" ref="D453">IFERROR(INDEX({"Small","Medium","Large"},MATCH(TRUE,ISNUMBER(SEARCH({"Small","Medium","Large"},A453)),0)),"")</f>
        <v>Large</v>
      </c>
      <c r="E453" t="str">
        <f t="shared" si="7"/>
        <v>0.013</v>
      </c>
    </row>
    <row r="454" spans="1:5" x14ac:dyDescent="0.3">
      <c r="A454" t="s">
        <v>452</v>
      </c>
      <c r="B454" t="str" cm="1">
        <f t="array" ref="B454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redcedar"},A454)),0)),"")</f>
        <v>Western white pine</v>
      </c>
      <c r="C454" t="str" cm="1">
        <f t="array" ref="C454">IFERROR(INDEX({"Ridgetop","Other"},MATCH(TRUE,ISNUMBER(SEARCH({"Ridgetop","Other"},A454)),0)),"")</f>
        <v>Other</v>
      </c>
      <c r="D454" t="str" cm="1">
        <f t="array" ref="D454">IFERROR(INDEX({"Small","Medium","Large"},MATCH(TRUE,ISNUMBER(SEARCH({"Small","Medium","Large"},A454)),0)),"")</f>
        <v>Small</v>
      </c>
      <c r="E454" t="str">
        <f t="shared" si="7"/>
        <v>0.041</v>
      </c>
    </row>
    <row r="455" spans="1:5" x14ac:dyDescent="0.3">
      <c r="A455" t="s">
        <v>453</v>
      </c>
      <c r="B455" t="str" cm="1">
        <f t="array" ref="B455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redcedar"},A455)),0)),"")</f>
        <v>Western white pine</v>
      </c>
      <c r="C455" t="str" cm="1">
        <f t="array" ref="C455">IFERROR(INDEX({"Ridgetop","Other"},MATCH(TRUE,ISNUMBER(SEARCH({"Ridgetop","Other"},A455)),0)),"")</f>
        <v>Other</v>
      </c>
      <c r="D455" t="str" cm="1">
        <f t="array" ref="D455">IFERROR(INDEX({"Small","Medium","Large"},MATCH(TRUE,ISNUMBER(SEARCH({"Small","Medium","Large"},A455)),0)),"")</f>
        <v>Medium</v>
      </c>
      <c r="E455" t="str">
        <f t="shared" si="7"/>
        <v>0.017</v>
      </c>
    </row>
    <row r="456" spans="1:5" x14ac:dyDescent="0.3">
      <c r="A456" t="s">
        <v>454</v>
      </c>
      <c r="B456" t="str" cm="1">
        <f t="array" ref="B456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redcedar"},A456)),0)),"")</f>
        <v>Western white pine</v>
      </c>
      <c r="C456" t="str" cm="1">
        <f t="array" ref="C456">IFERROR(INDEX({"Ridgetop","Other"},MATCH(TRUE,ISNUMBER(SEARCH({"Ridgetop","Other"},A456)),0)),"")</f>
        <v>Other</v>
      </c>
      <c r="D456" t="str" cm="1">
        <f t="array" ref="D456">IFERROR(INDEX({"Small","Medium","Large"},MATCH(TRUE,ISNUMBER(SEARCH({"Small","Medium","Large"},A456)),0)),"")</f>
        <v>Large</v>
      </c>
      <c r="E456" t="str">
        <f t="shared" si="7"/>
        <v>0.014</v>
      </c>
    </row>
    <row r="457" spans="1:5" x14ac:dyDescent="0.3">
      <c r="A457" t="s">
        <v>455</v>
      </c>
      <c r="B457" t="str" cm="1">
        <f t="array" ref="B457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redcedar"},A457)),0)),"")</f>
        <v>Western white pine</v>
      </c>
      <c r="C457" t="str" cm="1">
        <f t="array" ref="C457">IFERROR(INDEX({"Ridgetop","Other"},MATCH(TRUE,ISNUMBER(SEARCH({"Ridgetop","Other"},A457)),0)),"")</f>
        <v>Other</v>
      </c>
      <c r="D457" t="str" cm="1">
        <f t="array" ref="D457">IFERROR(INDEX({"Small","Medium","Large"},MATCH(TRUE,ISNUMBER(SEARCH({"Small","Medium","Large"},A457)),0)),"")</f>
        <v>Small</v>
      </c>
      <c r="E457" t="str">
        <f t="shared" si="7"/>
        <v>0.041</v>
      </c>
    </row>
    <row r="458" spans="1:5" x14ac:dyDescent="0.3">
      <c r="A458" t="s">
        <v>456</v>
      </c>
      <c r="B458" t="str" cm="1">
        <f t="array" ref="B458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redcedar"},A458)),0)),"")</f>
        <v>Western white pine</v>
      </c>
      <c r="C458" t="str" cm="1">
        <f t="array" ref="C458">IFERROR(INDEX({"Ridgetop","Other"},MATCH(TRUE,ISNUMBER(SEARCH({"Ridgetop","Other"},A458)),0)),"")</f>
        <v>Other</v>
      </c>
      <c r="D458" t="str" cm="1">
        <f t="array" ref="D458">IFERROR(INDEX({"Small","Medium","Large"},MATCH(TRUE,ISNUMBER(SEARCH({"Small","Medium","Large"},A458)),0)),"")</f>
        <v>Medium</v>
      </c>
      <c r="E458" t="str">
        <f t="shared" si="7"/>
        <v>0.017</v>
      </c>
    </row>
    <row r="459" spans="1:5" x14ac:dyDescent="0.3">
      <c r="A459" t="s">
        <v>457</v>
      </c>
      <c r="B459" t="str" cm="1">
        <f t="array" ref="B459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redcedar"},A459)),0)),"")</f>
        <v>Western white pine</v>
      </c>
      <c r="C459" t="str" cm="1">
        <f t="array" ref="C459">IFERROR(INDEX({"Ridgetop","Other"},MATCH(TRUE,ISNUMBER(SEARCH({"Ridgetop","Other"},A459)),0)),"")</f>
        <v>Other</v>
      </c>
      <c r="D459" t="str" cm="1">
        <f t="array" ref="D459">IFERROR(INDEX({"Small","Medium","Large"},MATCH(TRUE,ISNUMBER(SEARCH({"Small","Medium","Large"},A459)),0)),"")</f>
        <v>Large</v>
      </c>
      <c r="E459" t="str">
        <f t="shared" si="7"/>
        <v>0.014</v>
      </c>
    </row>
    <row r="460" spans="1:5" x14ac:dyDescent="0.3">
      <c r="A460" t="s">
        <v>458</v>
      </c>
      <c r="B460" t="str" cm="1">
        <f t="array" ref="B460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redcedar"},A460)),0)),"")</f>
        <v>Western white pine</v>
      </c>
      <c r="C460" t="str" cm="1">
        <f t="array" ref="C460">IFERROR(INDEX({"Ridgetop","Other"},MATCH(TRUE,ISNUMBER(SEARCH({"Ridgetop","Other"},A460)),0)),"")</f>
        <v>Ridgetop</v>
      </c>
      <c r="D460" t="str" cm="1">
        <f t="array" ref="D460">IFERROR(INDEX({"Small","Medium","Large"},MATCH(TRUE,ISNUMBER(SEARCH({"Small","Medium","Large"},A460)),0)),"")</f>
        <v>Small</v>
      </c>
      <c r="E460" t="str">
        <f t="shared" si="7"/>
        <v>0.068</v>
      </c>
    </row>
    <row r="461" spans="1:5" x14ac:dyDescent="0.3">
      <c r="A461" t="s">
        <v>459</v>
      </c>
      <c r="B461" t="str" cm="1">
        <f t="array" ref="B461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redcedar"},A461)),0)),"")</f>
        <v>Western white pine</v>
      </c>
      <c r="C461" t="str" cm="1">
        <f t="array" ref="C461">IFERROR(INDEX({"Ridgetop","Other"},MATCH(TRUE,ISNUMBER(SEARCH({"Ridgetop","Other"},A461)),0)),"")</f>
        <v>Ridgetop</v>
      </c>
      <c r="D461" t="str" cm="1">
        <f t="array" ref="D461">IFERROR(INDEX({"Small","Medium","Large"},MATCH(TRUE,ISNUMBER(SEARCH({"Small","Medium","Large"},A461)),0)),"")</f>
        <v>Medium</v>
      </c>
      <c r="E461" t="str">
        <f t="shared" si="7"/>
        <v>0.028</v>
      </c>
    </row>
    <row r="462" spans="1:5" x14ac:dyDescent="0.3">
      <c r="A462" t="s">
        <v>460</v>
      </c>
      <c r="B462" t="str" cm="1">
        <f t="array" ref="B462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redcedar"},A462)),0)),"")</f>
        <v>Western white pine</v>
      </c>
      <c r="C462" t="str" cm="1">
        <f t="array" ref="C462">IFERROR(INDEX({"Ridgetop","Other"},MATCH(TRUE,ISNUMBER(SEARCH({"Ridgetop","Other"},A462)),0)),"")</f>
        <v>Ridgetop</v>
      </c>
      <c r="D462" t="str" cm="1">
        <f t="array" ref="D462">IFERROR(INDEX({"Small","Medium","Large"},MATCH(TRUE,ISNUMBER(SEARCH({"Small","Medium","Large"},A462)),0)),"")</f>
        <v>Large</v>
      </c>
      <c r="E462" t="str">
        <f t="shared" si="7"/>
        <v>0.024</v>
      </c>
    </row>
    <row r="463" spans="1:5" x14ac:dyDescent="0.3">
      <c r="A463" t="s">
        <v>461</v>
      </c>
      <c r="B463" t="str" cm="1">
        <f t="array" ref="B463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redcedar"},A463)),0)),"")</f>
        <v>Western white pine</v>
      </c>
      <c r="C463" t="str" cm="1">
        <f t="array" ref="C463">IFERROR(INDEX({"Ridgetop","Other"},MATCH(TRUE,ISNUMBER(SEARCH({"Ridgetop","Other"},A463)),0)),"")</f>
        <v>Ridgetop</v>
      </c>
      <c r="D463" t="str" cm="1">
        <f t="array" ref="D463">IFERROR(INDEX({"Small","Medium","Large"},MATCH(TRUE,ISNUMBER(SEARCH({"Small","Medium","Large"},A463)),0)),"")</f>
        <v>Small</v>
      </c>
      <c r="E463" t="str">
        <f t="shared" si="7"/>
        <v>0.068</v>
      </c>
    </row>
    <row r="464" spans="1:5" x14ac:dyDescent="0.3">
      <c r="A464" t="s">
        <v>462</v>
      </c>
      <c r="B464" t="str" cm="1">
        <f t="array" ref="B464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redcedar"},A464)),0)),"")</f>
        <v>Western white pine</v>
      </c>
      <c r="C464" t="str" cm="1">
        <f t="array" ref="C464">IFERROR(INDEX({"Ridgetop","Other"},MATCH(TRUE,ISNUMBER(SEARCH({"Ridgetop","Other"},A464)),0)),"")</f>
        <v>Ridgetop</v>
      </c>
      <c r="D464" t="str" cm="1">
        <f t="array" ref="D464">IFERROR(INDEX({"Small","Medium","Large"},MATCH(TRUE,ISNUMBER(SEARCH({"Small","Medium","Large"},A464)),0)),"")</f>
        <v>Medium</v>
      </c>
      <c r="E464" t="str">
        <f t="shared" si="7"/>
        <v>0.028</v>
      </c>
    </row>
    <row r="465" spans="1:5" x14ac:dyDescent="0.3">
      <c r="A465" t="s">
        <v>463</v>
      </c>
      <c r="B465" t="str" cm="1">
        <f t="array" ref="B465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redcedar"},A465)),0)),"")</f>
        <v>Western white pine</v>
      </c>
      <c r="C465" t="str" cm="1">
        <f t="array" ref="C465">IFERROR(INDEX({"Ridgetop","Other"},MATCH(TRUE,ISNUMBER(SEARCH({"Ridgetop","Other"},A465)),0)),"")</f>
        <v>Ridgetop</v>
      </c>
      <c r="D465" t="str" cm="1">
        <f t="array" ref="D465">IFERROR(INDEX({"Small","Medium","Large"},MATCH(TRUE,ISNUMBER(SEARCH({"Small","Medium","Large"},A465)),0)),"")</f>
        <v>Large</v>
      </c>
      <c r="E465" t="str">
        <f t="shared" si="7"/>
        <v>0.024</v>
      </c>
    </row>
    <row r="466" spans="1:5" x14ac:dyDescent="0.3">
      <c r="A466" t="s">
        <v>464</v>
      </c>
      <c r="B466" t="str" cm="1">
        <f t="array" ref="B466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redcedar"},A466)),0)),"")</f>
        <v>Western white pine</v>
      </c>
      <c r="C466" t="str" cm="1">
        <f t="array" ref="C466">IFERROR(INDEX({"Ridgetop","Other"},MATCH(TRUE,ISNUMBER(SEARCH({"Ridgetop","Other"},A466)),0)),"")</f>
        <v>Ridgetop</v>
      </c>
      <c r="D466" t="str" cm="1">
        <f t="array" ref="D466">IFERROR(INDEX({"Small","Medium","Large"},MATCH(TRUE,ISNUMBER(SEARCH({"Small","Medium","Large"},A466)),0)),"")</f>
        <v>Small</v>
      </c>
      <c r="E466" t="str">
        <f t="shared" si="7"/>
        <v>0.068</v>
      </c>
    </row>
    <row r="467" spans="1:5" x14ac:dyDescent="0.3">
      <c r="A467" t="s">
        <v>465</v>
      </c>
      <c r="B467" t="str" cm="1">
        <f t="array" ref="B467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redcedar"},A467)),0)),"")</f>
        <v>Western white pine</v>
      </c>
      <c r="C467" t="str" cm="1">
        <f t="array" ref="C467">IFERROR(INDEX({"Ridgetop","Other"},MATCH(TRUE,ISNUMBER(SEARCH({"Ridgetop","Other"},A467)),0)),"")</f>
        <v>Ridgetop</v>
      </c>
      <c r="D467" t="str" cm="1">
        <f t="array" ref="D467">IFERROR(INDEX({"Small","Medium","Large"},MATCH(TRUE,ISNUMBER(SEARCH({"Small","Medium","Large"},A467)),0)),"")</f>
        <v>Medium</v>
      </c>
      <c r="E467" t="str">
        <f t="shared" si="7"/>
        <v>0.028</v>
      </c>
    </row>
    <row r="468" spans="1:5" x14ac:dyDescent="0.3">
      <c r="A468" t="s">
        <v>466</v>
      </c>
      <c r="B468" t="str" cm="1">
        <f t="array" ref="B468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redcedar"},A468)),0)),"")</f>
        <v>Western white pine</v>
      </c>
      <c r="C468" t="str" cm="1">
        <f t="array" ref="C468">IFERROR(INDEX({"Ridgetop","Other"},MATCH(TRUE,ISNUMBER(SEARCH({"Ridgetop","Other"},A468)),0)),"")</f>
        <v>Ridgetop</v>
      </c>
      <c r="D468" t="str" cm="1">
        <f t="array" ref="D468">IFERROR(INDEX({"Small","Medium","Large"},MATCH(TRUE,ISNUMBER(SEARCH({"Small","Medium","Large"},A468)),0)),"")</f>
        <v>Large</v>
      </c>
      <c r="E468" t="str">
        <f t="shared" si="7"/>
        <v>0.024</v>
      </c>
    </row>
    <row r="469" spans="1:5" x14ac:dyDescent="0.3">
      <c r="A469" t="s">
        <v>467</v>
      </c>
      <c r="B469" t="str" cm="1">
        <f t="array" ref="B469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redcedar"},A469)),0)),"")</f>
        <v>Western white pine</v>
      </c>
      <c r="C469" t="str" cm="1">
        <f t="array" ref="C469">IFERROR(INDEX({"Ridgetop","Other"},MATCH(TRUE,ISNUMBER(SEARCH({"Ridgetop","Other"},A469)),0)),"")</f>
        <v>Other</v>
      </c>
      <c r="D469" t="str" cm="1">
        <f t="array" ref="D469">IFERROR(INDEX({"Small","Medium","Large"},MATCH(TRUE,ISNUMBER(SEARCH({"Small","Medium","Large"},A469)),0)),"")</f>
        <v>Small</v>
      </c>
      <c r="E469" t="str">
        <f t="shared" si="7"/>
        <v>0.031</v>
      </c>
    </row>
    <row r="470" spans="1:5" x14ac:dyDescent="0.3">
      <c r="A470" t="s">
        <v>468</v>
      </c>
      <c r="B470" t="str" cm="1">
        <f t="array" ref="B470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redcedar"},A470)),0)),"")</f>
        <v>Western white pine</v>
      </c>
      <c r="C470" t="str" cm="1">
        <f t="array" ref="C470">IFERROR(INDEX({"Ridgetop","Other"},MATCH(TRUE,ISNUMBER(SEARCH({"Ridgetop","Other"},A470)),0)),"")</f>
        <v>Other</v>
      </c>
      <c r="D470" t="str" cm="1">
        <f t="array" ref="D470">IFERROR(INDEX({"Small","Medium","Large"},MATCH(TRUE,ISNUMBER(SEARCH({"Small","Medium","Large"},A470)),0)),"")</f>
        <v>Medium</v>
      </c>
      <c r="E470" t="str">
        <f t="shared" si="7"/>
        <v>0.013</v>
      </c>
    </row>
    <row r="471" spans="1:5" x14ac:dyDescent="0.3">
      <c r="A471" t="s">
        <v>469</v>
      </c>
      <c r="B471" t="str" cm="1">
        <f t="array" ref="B471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redcedar"},A471)),0)),"")</f>
        <v>Western white pine</v>
      </c>
      <c r="C471" t="str" cm="1">
        <f t="array" ref="C471">IFERROR(INDEX({"Ridgetop","Other"},MATCH(TRUE,ISNUMBER(SEARCH({"Ridgetop","Other"},A471)),0)),"")</f>
        <v>Other</v>
      </c>
      <c r="D471" t="str" cm="1">
        <f t="array" ref="D471">IFERROR(INDEX({"Small","Medium","Large"},MATCH(TRUE,ISNUMBER(SEARCH({"Small","Medium","Large"},A471)),0)),"")</f>
        <v>Large</v>
      </c>
      <c r="E471" t="str">
        <f t="shared" si="7"/>
        <v>0.011</v>
      </c>
    </row>
    <row r="472" spans="1:5" x14ac:dyDescent="0.3">
      <c r="A472" t="s">
        <v>470</v>
      </c>
      <c r="B472" t="str" cm="1">
        <f t="array" ref="B472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redcedar"},A472)),0)),"")</f>
        <v>Western white pine</v>
      </c>
      <c r="C472" t="str" cm="1">
        <f t="array" ref="C472">IFERROR(INDEX({"Ridgetop","Other"},MATCH(TRUE,ISNUMBER(SEARCH({"Ridgetop","Other"},A472)),0)),"")</f>
        <v>Other</v>
      </c>
      <c r="D472" t="str" cm="1">
        <f t="array" ref="D472">IFERROR(INDEX({"Small","Medium","Large"},MATCH(TRUE,ISNUMBER(SEARCH({"Small","Medium","Large"},A472)),0)),"")</f>
        <v>Small</v>
      </c>
      <c r="E472" t="str">
        <f t="shared" si="7"/>
        <v>0.034</v>
      </c>
    </row>
    <row r="473" spans="1:5" x14ac:dyDescent="0.3">
      <c r="A473" t="s">
        <v>471</v>
      </c>
      <c r="B473" t="str" cm="1">
        <f t="array" ref="B473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redcedar"},A473)),0)),"")</f>
        <v>Western white pine</v>
      </c>
      <c r="C473" t="str" cm="1">
        <f t="array" ref="C473">IFERROR(INDEX({"Ridgetop","Other"},MATCH(TRUE,ISNUMBER(SEARCH({"Ridgetop","Other"},A473)),0)),"")</f>
        <v>Other</v>
      </c>
      <c r="D473" t="str" cm="1">
        <f t="array" ref="D473">IFERROR(INDEX({"Small","Medium","Large"},MATCH(TRUE,ISNUMBER(SEARCH({"Small","Medium","Large"},A473)),0)),"")</f>
        <v>Medium</v>
      </c>
      <c r="E473" t="str">
        <f t="shared" si="7"/>
        <v>0.014</v>
      </c>
    </row>
    <row r="474" spans="1:5" x14ac:dyDescent="0.3">
      <c r="A474" t="s">
        <v>472</v>
      </c>
      <c r="B474" t="str" cm="1">
        <f t="array" ref="B474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redcedar"},A474)),0)),"")</f>
        <v>Western white pine</v>
      </c>
      <c r="C474" t="str" cm="1">
        <f t="array" ref="C474">IFERROR(INDEX({"Ridgetop","Other"},MATCH(TRUE,ISNUMBER(SEARCH({"Ridgetop","Other"},A474)),0)),"")</f>
        <v>Other</v>
      </c>
      <c r="D474" t="str" cm="1">
        <f t="array" ref="D474">IFERROR(INDEX({"Small","Medium","Large"},MATCH(TRUE,ISNUMBER(SEARCH({"Small","Medium","Large"},A474)),0)),"")</f>
        <v>Large</v>
      </c>
      <c r="E474" t="str">
        <f t="shared" si="7"/>
        <v>0.012</v>
      </c>
    </row>
    <row r="475" spans="1:5" x14ac:dyDescent="0.3">
      <c r="A475" t="s">
        <v>473</v>
      </c>
      <c r="B475" t="str" cm="1">
        <f t="array" ref="B475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redcedar"},A475)),0)),"")</f>
        <v>Western white pine</v>
      </c>
      <c r="C475" t="str" cm="1">
        <f t="array" ref="C475">IFERROR(INDEX({"Ridgetop","Other"},MATCH(TRUE,ISNUMBER(SEARCH({"Ridgetop","Other"},A475)),0)),"")</f>
        <v>Other</v>
      </c>
      <c r="D475" t="str" cm="1">
        <f t="array" ref="D475">IFERROR(INDEX({"Small","Medium","Large"},MATCH(TRUE,ISNUMBER(SEARCH({"Small","Medium","Large"},A475)),0)),"")</f>
        <v>Small</v>
      </c>
      <c r="E475" t="str">
        <f t="shared" si="7"/>
        <v>0.041</v>
      </c>
    </row>
    <row r="476" spans="1:5" x14ac:dyDescent="0.3">
      <c r="A476" t="s">
        <v>474</v>
      </c>
      <c r="B476" t="str" cm="1">
        <f t="array" ref="B476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redcedar"},A476)),0)),"")</f>
        <v>Western white pine</v>
      </c>
      <c r="C476" t="str" cm="1">
        <f t="array" ref="C476">IFERROR(INDEX({"Ridgetop","Other"},MATCH(TRUE,ISNUMBER(SEARCH({"Ridgetop","Other"},A476)),0)),"")</f>
        <v>Other</v>
      </c>
      <c r="D476" t="str" cm="1">
        <f t="array" ref="D476">IFERROR(INDEX({"Small","Medium","Large"},MATCH(TRUE,ISNUMBER(SEARCH({"Small","Medium","Large"},A476)),0)),"")</f>
        <v>Medium</v>
      </c>
      <c r="E476" t="str">
        <f t="shared" si="7"/>
        <v>0.017</v>
      </c>
    </row>
    <row r="477" spans="1:5" x14ac:dyDescent="0.3">
      <c r="A477" t="s">
        <v>475</v>
      </c>
      <c r="B477" t="str" cm="1">
        <f t="array" ref="B477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redcedar"},A477)),0)),"")</f>
        <v>Western white pine</v>
      </c>
      <c r="C477" t="str" cm="1">
        <f t="array" ref="C477">IFERROR(INDEX({"Ridgetop","Other"},MATCH(TRUE,ISNUMBER(SEARCH({"Ridgetop","Other"},A477)),0)),"")</f>
        <v>Other</v>
      </c>
      <c r="D477" t="str" cm="1">
        <f t="array" ref="D477">IFERROR(INDEX({"Small","Medium","Large"},MATCH(TRUE,ISNUMBER(SEARCH({"Small","Medium","Large"},A477)),0)),"")</f>
        <v>Large</v>
      </c>
      <c r="E477" t="str">
        <f t="shared" si="7"/>
        <v>0.014</v>
      </c>
    </row>
    <row r="478" spans="1:5" x14ac:dyDescent="0.3">
      <c r="A478" t="s">
        <v>476</v>
      </c>
      <c r="B478" t="str" cm="1">
        <f t="array" ref="B478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redcedar"},A478)),0)),"")</f>
        <v>Western white pine</v>
      </c>
      <c r="C478" t="str" cm="1">
        <f t="array" ref="C478">IFERROR(INDEX({"Ridgetop","Other"},MATCH(TRUE,ISNUMBER(SEARCH({"Ridgetop","Other"},A478)),0)),"")</f>
        <v>Ridgetop</v>
      </c>
      <c r="D478" t="str" cm="1">
        <f t="array" ref="D478">IFERROR(INDEX({"Small","Medium","Large"},MATCH(TRUE,ISNUMBER(SEARCH({"Small","Medium","Large"},A478)),0)),"")</f>
        <v>Small</v>
      </c>
      <c r="E478" t="str">
        <f t="shared" si="7"/>
        <v>0.058</v>
      </c>
    </row>
    <row r="479" spans="1:5" x14ac:dyDescent="0.3">
      <c r="A479" t="s">
        <v>477</v>
      </c>
      <c r="B479" t="str" cm="1">
        <f t="array" ref="B479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redcedar"},A479)),0)),"")</f>
        <v>Western white pine</v>
      </c>
      <c r="C479" t="str" cm="1">
        <f t="array" ref="C479">IFERROR(INDEX({"Ridgetop","Other"},MATCH(TRUE,ISNUMBER(SEARCH({"Ridgetop","Other"},A479)),0)),"")</f>
        <v>Ridgetop</v>
      </c>
      <c r="D479" t="str" cm="1">
        <f t="array" ref="D479">IFERROR(INDEX({"Small","Medium","Large"},MATCH(TRUE,ISNUMBER(SEARCH({"Small","Medium","Large"},A479)),0)),"")</f>
        <v>Medium</v>
      </c>
      <c r="E479" t="str">
        <f t="shared" si="7"/>
        <v>0.024</v>
      </c>
    </row>
    <row r="480" spans="1:5" x14ac:dyDescent="0.3">
      <c r="A480" t="s">
        <v>478</v>
      </c>
      <c r="B480" t="str" cm="1">
        <f t="array" ref="B480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redcedar"},A480)),0)),"")</f>
        <v>Western white pine</v>
      </c>
      <c r="C480" t="str" cm="1">
        <f t="array" ref="C480">IFERROR(INDEX({"Ridgetop","Other"},MATCH(TRUE,ISNUMBER(SEARCH({"Ridgetop","Other"},A480)),0)),"")</f>
        <v>Ridgetop</v>
      </c>
      <c r="D480" t="str" cm="1">
        <f t="array" ref="D480">IFERROR(INDEX({"Small","Medium","Large"},MATCH(TRUE,ISNUMBER(SEARCH({"Small","Medium","Large"},A480)),0)),"")</f>
        <v>Large</v>
      </c>
      <c r="E480" t="str">
        <f t="shared" si="7"/>
        <v>0.020</v>
      </c>
    </row>
    <row r="481" spans="1:5" x14ac:dyDescent="0.3">
      <c r="A481" t="s">
        <v>479</v>
      </c>
      <c r="B481" t="str" cm="1">
        <f t="array" ref="B481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redcedar"},A481)),0)),"")</f>
        <v>Western white pine</v>
      </c>
      <c r="C481" t="str" cm="1">
        <f t="array" ref="C481">IFERROR(INDEX({"Ridgetop","Other"},MATCH(TRUE,ISNUMBER(SEARCH({"Ridgetop","Other"},A481)),0)),"")</f>
        <v>Ridgetop</v>
      </c>
      <c r="D481" t="str" cm="1">
        <f t="array" ref="D481">IFERROR(INDEX({"Small","Medium","Large"},MATCH(TRUE,ISNUMBER(SEARCH({"Small","Medium","Large"},A481)),0)),"")</f>
        <v>Small</v>
      </c>
      <c r="E481" t="str">
        <f t="shared" si="7"/>
        <v>0.058</v>
      </c>
    </row>
    <row r="482" spans="1:5" x14ac:dyDescent="0.3">
      <c r="A482" t="s">
        <v>480</v>
      </c>
      <c r="B482" t="str" cm="1">
        <f t="array" ref="B482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redcedar"},A482)),0)),"")</f>
        <v>Western white pine</v>
      </c>
      <c r="C482" t="str" cm="1">
        <f t="array" ref="C482">IFERROR(INDEX({"Ridgetop","Other"},MATCH(TRUE,ISNUMBER(SEARCH({"Ridgetop","Other"},A482)),0)),"")</f>
        <v>Ridgetop</v>
      </c>
      <c r="D482" t="str" cm="1">
        <f t="array" ref="D482">IFERROR(INDEX({"Small","Medium","Large"},MATCH(TRUE,ISNUMBER(SEARCH({"Small","Medium","Large"},A482)),0)),"")</f>
        <v>Medium</v>
      </c>
      <c r="E482" t="str">
        <f t="shared" si="7"/>
        <v>0.024</v>
      </c>
    </row>
    <row r="483" spans="1:5" x14ac:dyDescent="0.3">
      <c r="A483" t="s">
        <v>481</v>
      </c>
      <c r="B483" t="str" cm="1">
        <f t="array" ref="B483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redcedar"},A483)),0)),"")</f>
        <v>Western white pine</v>
      </c>
      <c r="C483" t="str" cm="1">
        <f t="array" ref="C483">IFERROR(INDEX({"Ridgetop","Other"},MATCH(TRUE,ISNUMBER(SEARCH({"Ridgetop","Other"},A483)),0)),"")</f>
        <v>Ridgetop</v>
      </c>
      <c r="D483" t="str" cm="1">
        <f t="array" ref="D483">IFERROR(INDEX({"Small","Medium","Large"},MATCH(TRUE,ISNUMBER(SEARCH({"Small","Medium","Large"},A483)),0)),"")</f>
        <v>Large</v>
      </c>
      <c r="E483" t="str">
        <f t="shared" si="7"/>
        <v>0.020</v>
      </c>
    </row>
    <row r="484" spans="1:5" x14ac:dyDescent="0.3">
      <c r="A484" t="s">
        <v>482</v>
      </c>
      <c r="B484" t="str" cm="1">
        <f t="array" ref="B484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redcedar"},A484)),0)),"")</f>
        <v>Western white pine</v>
      </c>
      <c r="C484" t="str" cm="1">
        <f t="array" ref="C484">IFERROR(INDEX({"Ridgetop","Other"},MATCH(TRUE,ISNUMBER(SEARCH({"Ridgetop","Other"},A484)),0)),"")</f>
        <v>Ridgetop</v>
      </c>
      <c r="D484" t="str" cm="1">
        <f t="array" ref="D484">IFERROR(INDEX({"Small","Medium","Large"},MATCH(TRUE,ISNUMBER(SEARCH({"Small","Medium","Large"},A484)),0)),"")</f>
        <v>Small</v>
      </c>
      <c r="E484" t="str">
        <f t="shared" si="7"/>
        <v>0.061</v>
      </c>
    </row>
    <row r="485" spans="1:5" x14ac:dyDescent="0.3">
      <c r="A485" t="s">
        <v>483</v>
      </c>
      <c r="B485" t="str" cm="1">
        <f t="array" ref="B485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redcedar"},A485)),0)),"")</f>
        <v>Western white pine</v>
      </c>
      <c r="C485" t="str" cm="1">
        <f t="array" ref="C485">IFERROR(INDEX({"Ridgetop","Other"},MATCH(TRUE,ISNUMBER(SEARCH({"Ridgetop","Other"},A485)),0)),"")</f>
        <v>Ridgetop</v>
      </c>
      <c r="D485" t="str" cm="1">
        <f t="array" ref="D485">IFERROR(INDEX({"Small","Medium","Large"},MATCH(TRUE,ISNUMBER(SEARCH({"Small","Medium","Large"},A485)),0)),"")</f>
        <v>Medium</v>
      </c>
      <c r="E485" t="str">
        <f t="shared" si="7"/>
        <v>0.025</v>
      </c>
    </row>
    <row r="486" spans="1:5" x14ac:dyDescent="0.3">
      <c r="A486" t="s">
        <v>484</v>
      </c>
      <c r="B486" t="str" cm="1">
        <f t="array" ref="B486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redcedar"},A486)),0)),"")</f>
        <v>Western white pine</v>
      </c>
      <c r="C486" t="str" cm="1">
        <f t="array" ref="C486">IFERROR(INDEX({"Ridgetop","Other"},MATCH(TRUE,ISNUMBER(SEARCH({"Ridgetop","Other"},A486)),0)),"")</f>
        <v>Ridgetop</v>
      </c>
      <c r="D486" t="str" cm="1">
        <f t="array" ref="D486">IFERROR(INDEX({"Small","Medium","Large"},MATCH(TRUE,ISNUMBER(SEARCH({"Small","Medium","Large"},A486)),0)),"")</f>
        <v>Large</v>
      </c>
      <c r="E486" t="str">
        <f t="shared" si="7"/>
        <v>0.022</v>
      </c>
    </row>
    <row r="487" spans="1:5" x14ac:dyDescent="0.3">
      <c r="A487" t="s">
        <v>485</v>
      </c>
      <c r="B487" t="str" cm="1">
        <f t="array" ref="B487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redcedar"},A487)),0)),"")</f>
        <v>Western white pine</v>
      </c>
      <c r="C487" t="str" cm="1">
        <f t="array" ref="C487">IFERROR(INDEX({"Ridgetop","Other"},MATCH(TRUE,ISNUMBER(SEARCH({"Ridgetop","Other"},A487)),0)),"")</f>
        <v>Other</v>
      </c>
      <c r="D487" t="str" cm="1">
        <f t="array" ref="D487">IFERROR(INDEX({"Small","Medium","Large"},MATCH(TRUE,ISNUMBER(SEARCH({"Small","Medium","Large"},A487)),0)),"")</f>
        <v>Small</v>
      </c>
      <c r="E487" t="str">
        <f t="shared" si="7"/>
        <v>0.037</v>
      </c>
    </row>
    <row r="488" spans="1:5" x14ac:dyDescent="0.3">
      <c r="A488" t="s">
        <v>486</v>
      </c>
      <c r="B488" t="str" cm="1">
        <f t="array" ref="B488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redcedar"},A488)),0)),"")</f>
        <v>Western white pine</v>
      </c>
      <c r="C488" t="str" cm="1">
        <f t="array" ref="C488">IFERROR(INDEX({"Ridgetop","Other"},MATCH(TRUE,ISNUMBER(SEARCH({"Ridgetop","Other"},A488)),0)),"")</f>
        <v>Other</v>
      </c>
      <c r="D488" t="str" cm="1">
        <f t="array" ref="D488">IFERROR(INDEX({"Small","Medium","Large"},MATCH(TRUE,ISNUMBER(SEARCH({"Small","Medium","Large"},A488)),0)),"")</f>
        <v>Medium</v>
      </c>
      <c r="E488" t="str">
        <f t="shared" si="7"/>
        <v>0.015</v>
      </c>
    </row>
    <row r="489" spans="1:5" x14ac:dyDescent="0.3">
      <c r="A489" t="s">
        <v>487</v>
      </c>
      <c r="B489" t="str" cm="1">
        <f t="array" ref="B489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redcedar"},A489)),0)),"")</f>
        <v>Western white pine</v>
      </c>
      <c r="C489" t="str" cm="1">
        <f t="array" ref="C489">IFERROR(INDEX({"Ridgetop","Other"},MATCH(TRUE,ISNUMBER(SEARCH({"Ridgetop","Other"},A489)),0)),"")</f>
        <v>Other</v>
      </c>
      <c r="D489" t="str" cm="1">
        <f t="array" ref="D489">IFERROR(INDEX({"Small","Medium","Large"},MATCH(TRUE,ISNUMBER(SEARCH({"Small","Medium","Large"},A489)),0)),"")</f>
        <v>Large</v>
      </c>
      <c r="E489" t="str">
        <f t="shared" si="7"/>
        <v>0.013</v>
      </c>
    </row>
    <row r="490" spans="1:5" x14ac:dyDescent="0.3">
      <c r="A490" t="s">
        <v>488</v>
      </c>
      <c r="B490" t="str" cm="1">
        <f t="array" ref="B490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redcedar"},A490)),0)),"")</f>
        <v>Western white pine</v>
      </c>
      <c r="C490" t="str" cm="1">
        <f t="array" ref="C490">IFERROR(INDEX({"Ridgetop","Other"},MATCH(TRUE,ISNUMBER(SEARCH({"Ridgetop","Other"},A490)),0)),"")</f>
        <v>Other</v>
      </c>
      <c r="D490" t="str" cm="1">
        <f t="array" ref="D490">IFERROR(INDEX({"Small","Medium","Large"},MATCH(TRUE,ISNUMBER(SEARCH({"Small","Medium","Large"},A490)),0)),"")</f>
        <v>Small</v>
      </c>
      <c r="E490" t="str">
        <f t="shared" si="7"/>
        <v>0.041</v>
      </c>
    </row>
    <row r="491" spans="1:5" x14ac:dyDescent="0.3">
      <c r="A491" t="s">
        <v>489</v>
      </c>
      <c r="B491" t="str" cm="1">
        <f t="array" ref="B491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redcedar"},A491)),0)),"")</f>
        <v>Western white pine</v>
      </c>
      <c r="C491" t="str" cm="1">
        <f t="array" ref="C491">IFERROR(INDEX({"Ridgetop","Other"},MATCH(TRUE,ISNUMBER(SEARCH({"Ridgetop","Other"},A491)),0)),"")</f>
        <v>Other</v>
      </c>
      <c r="D491" t="str" cm="1">
        <f t="array" ref="D491">IFERROR(INDEX({"Small","Medium","Large"},MATCH(TRUE,ISNUMBER(SEARCH({"Small","Medium","Large"},A491)),0)),"")</f>
        <v>Medium</v>
      </c>
      <c r="E491" t="str">
        <f t="shared" si="7"/>
        <v>0.017</v>
      </c>
    </row>
    <row r="492" spans="1:5" x14ac:dyDescent="0.3">
      <c r="A492" t="s">
        <v>490</v>
      </c>
      <c r="B492" t="str" cm="1">
        <f t="array" ref="B492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redcedar"},A492)),0)),"")</f>
        <v>Western white pine</v>
      </c>
      <c r="C492" t="str" cm="1">
        <f t="array" ref="C492">IFERROR(INDEX({"Ridgetop","Other"},MATCH(TRUE,ISNUMBER(SEARCH({"Ridgetop","Other"},A492)),0)),"")</f>
        <v>Other</v>
      </c>
      <c r="D492" t="str" cm="1">
        <f t="array" ref="D492">IFERROR(INDEX({"Small","Medium","Large"},MATCH(TRUE,ISNUMBER(SEARCH({"Small","Medium","Large"},A492)),0)),"")</f>
        <v>Large</v>
      </c>
      <c r="E492" t="str">
        <f t="shared" si="7"/>
        <v>0.014</v>
      </c>
    </row>
    <row r="493" spans="1:5" x14ac:dyDescent="0.3">
      <c r="A493" t="s">
        <v>491</v>
      </c>
      <c r="B493" t="str" cm="1">
        <f t="array" ref="B493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redcedar"},A493)),0)),"")</f>
        <v>Western white pine</v>
      </c>
      <c r="C493" t="str" cm="1">
        <f t="array" ref="C493">IFERROR(INDEX({"Ridgetop","Other"},MATCH(TRUE,ISNUMBER(SEARCH({"Ridgetop","Other"},A493)),0)),"")</f>
        <v>Other</v>
      </c>
      <c r="D493" t="str" cm="1">
        <f t="array" ref="D493">IFERROR(INDEX({"Small","Medium","Large"},MATCH(TRUE,ISNUMBER(SEARCH({"Small","Medium","Large"},A493)),0)),"")</f>
        <v>Small</v>
      </c>
      <c r="E493" t="str">
        <f t="shared" si="7"/>
        <v>0.041</v>
      </c>
    </row>
    <row r="494" spans="1:5" x14ac:dyDescent="0.3">
      <c r="A494" t="s">
        <v>492</v>
      </c>
      <c r="B494" t="str" cm="1">
        <f t="array" ref="B494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redcedar"},A494)),0)),"")</f>
        <v>Western white pine</v>
      </c>
      <c r="C494" t="str" cm="1">
        <f t="array" ref="C494">IFERROR(INDEX({"Ridgetop","Other"},MATCH(TRUE,ISNUMBER(SEARCH({"Ridgetop","Other"},A494)),0)),"")</f>
        <v>Other</v>
      </c>
      <c r="D494" t="str" cm="1">
        <f t="array" ref="D494">IFERROR(INDEX({"Small","Medium","Large"},MATCH(TRUE,ISNUMBER(SEARCH({"Small","Medium","Large"},A494)),0)),"")</f>
        <v>Medium</v>
      </c>
      <c r="E494" t="str">
        <f t="shared" si="7"/>
        <v>0.017</v>
      </c>
    </row>
    <row r="495" spans="1:5" x14ac:dyDescent="0.3">
      <c r="A495" t="s">
        <v>493</v>
      </c>
      <c r="B495" t="str" cm="1">
        <f t="array" ref="B495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redcedar"},A495)),0)),"")</f>
        <v>Western white pine</v>
      </c>
      <c r="C495" t="str" cm="1">
        <f t="array" ref="C495">IFERROR(INDEX({"Ridgetop","Other"},MATCH(TRUE,ISNUMBER(SEARCH({"Ridgetop","Other"},A495)),0)),"")</f>
        <v>Other</v>
      </c>
      <c r="D495" t="str" cm="1">
        <f t="array" ref="D495">IFERROR(INDEX({"Small","Medium","Large"},MATCH(TRUE,ISNUMBER(SEARCH({"Small","Medium","Large"},A495)),0)),"")</f>
        <v>Large</v>
      </c>
      <c r="E495" t="str">
        <f t="shared" si="7"/>
        <v>0.014</v>
      </c>
    </row>
    <row r="496" spans="1:5" x14ac:dyDescent="0.3">
      <c r="A496" t="s">
        <v>494</v>
      </c>
      <c r="B496" t="str" cm="1">
        <f t="array" ref="B496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redcedar"},A496)),0)),"")</f>
        <v>Western white pine</v>
      </c>
      <c r="C496" t="str" cm="1">
        <f t="array" ref="C496">IFERROR(INDEX({"Ridgetop","Other"},MATCH(TRUE,ISNUMBER(SEARCH({"Ridgetop","Other"},A496)),0)),"")</f>
        <v>Ridgetop</v>
      </c>
      <c r="D496" t="str" cm="1">
        <f t="array" ref="D496">IFERROR(INDEX({"Small","Medium","Large"},MATCH(TRUE,ISNUMBER(SEARCH({"Small","Medium","Large"},A496)),0)),"")</f>
        <v>Small</v>
      </c>
      <c r="E496" t="str">
        <f t="shared" si="7"/>
        <v>0.068</v>
      </c>
    </row>
    <row r="497" spans="1:5" x14ac:dyDescent="0.3">
      <c r="A497" t="s">
        <v>495</v>
      </c>
      <c r="B497" t="str" cm="1">
        <f t="array" ref="B497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redcedar"},A497)),0)),"")</f>
        <v>Western white pine</v>
      </c>
      <c r="C497" t="str" cm="1">
        <f t="array" ref="C497">IFERROR(INDEX({"Ridgetop","Other"},MATCH(TRUE,ISNUMBER(SEARCH({"Ridgetop","Other"},A497)),0)),"")</f>
        <v>Ridgetop</v>
      </c>
      <c r="D497" t="str" cm="1">
        <f t="array" ref="D497">IFERROR(INDEX({"Small","Medium","Large"},MATCH(TRUE,ISNUMBER(SEARCH({"Small","Medium","Large"},A497)),0)),"")</f>
        <v>Medium</v>
      </c>
      <c r="E497" t="str">
        <f t="shared" si="7"/>
        <v>0.028</v>
      </c>
    </row>
    <row r="498" spans="1:5" x14ac:dyDescent="0.3">
      <c r="A498" t="s">
        <v>496</v>
      </c>
      <c r="B498" t="str" cm="1">
        <f t="array" ref="B498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redcedar"},A498)),0)),"")</f>
        <v>Western white pine</v>
      </c>
      <c r="C498" t="str" cm="1">
        <f t="array" ref="C498">IFERROR(INDEX({"Ridgetop","Other"},MATCH(TRUE,ISNUMBER(SEARCH({"Ridgetop","Other"},A498)),0)),"")</f>
        <v>Ridgetop</v>
      </c>
      <c r="D498" t="str" cm="1">
        <f t="array" ref="D498">IFERROR(INDEX({"Small","Medium","Large"},MATCH(TRUE,ISNUMBER(SEARCH({"Small","Medium","Large"},A498)),0)),"")</f>
        <v>Large</v>
      </c>
      <c r="E498" t="str">
        <f t="shared" si="7"/>
        <v>0.024</v>
      </c>
    </row>
    <row r="499" spans="1:5" x14ac:dyDescent="0.3">
      <c r="A499" t="s">
        <v>497</v>
      </c>
      <c r="B499" t="str" cm="1">
        <f t="array" ref="B499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redcedar"},A499)),0)),"")</f>
        <v>Western white pine</v>
      </c>
      <c r="C499" t="str" cm="1">
        <f t="array" ref="C499">IFERROR(INDEX({"Ridgetop","Other"},MATCH(TRUE,ISNUMBER(SEARCH({"Ridgetop","Other"},A499)),0)),"")</f>
        <v>Ridgetop</v>
      </c>
      <c r="D499" t="str" cm="1">
        <f t="array" ref="D499">IFERROR(INDEX({"Small","Medium","Large"},MATCH(TRUE,ISNUMBER(SEARCH({"Small","Medium","Large"},A499)),0)),"")</f>
        <v>Small</v>
      </c>
      <c r="E499" t="str">
        <f t="shared" si="7"/>
        <v>0.068</v>
      </c>
    </row>
    <row r="500" spans="1:5" x14ac:dyDescent="0.3">
      <c r="A500" t="s">
        <v>498</v>
      </c>
      <c r="B500" t="str" cm="1">
        <f t="array" ref="B500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redcedar"},A500)),0)),"")</f>
        <v>Western white pine</v>
      </c>
      <c r="C500" t="str" cm="1">
        <f t="array" ref="C500">IFERROR(INDEX({"Ridgetop","Other"},MATCH(TRUE,ISNUMBER(SEARCH({"Ridgetop","Other"},A500)),0)),"")</f>
        <v>Ridgetop</v>
      </c>
      <c r="D500" t="str" cm="1">
        <f t="array" ref="D500">IFERROR(INDEX({"Small","Medium","Large"},MATCH(TRUE,ISNUMBER(SEARCH({"Small","Medium","Large"},A500)),0)),"")</f>
        <v>Medium</v>
      </c>
      <c r="E500" t="str">
        <f t="shared" si="7"/>
        <v>0.028</v>
      </c>
    </row>
    <row r="501" spans="1:5" x14ac:dyDescent="0.3">
      <c r="A501" t="s">
        <v>499</v>
      </c>
      <c r="B501" t="str" cm="1">
        <f t="array" ref="B501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redcedar"},A501)),0)),"")</f>
        <v>Western white pine</v>
      </c>
      <c r="C501" t="str" cm="1">
        <f t="array" ref="C501">IFERROR(INDEX({"Ridgetop","Other"},MATCH(TRUE,ISNUMBER(SEARCH({"Ridgetop","Other"},A501)),0)),"")</f>
        <v>Ridgetop</v>
      </c>
      <c r="D501" t="str" cm="1">
        <f t="array" ref="D501">IFERROR(INDEX({"Small","Medium","Large"},MATCH(TRUE,ISNUMBER(SEARCH({"Small","Medium","Large"},A501)),0)),"")</f>
        <v>Large</v>
      </c>
      <c r="E501" t="str">
        <f t="shared" si="7"/>
        <v>0.024</v>
      </c>
    </row>
    <row r="502" spans="1:5" x14ac:dyDescent="0.3">
      <c r="A502" t="s">
        <v>500</v>
      </c>
      <c r="B502" t="str" cm="1">
        <f t="array" ref="B502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redcedar"},A502)),0)),"")</f>
        <v>Western white pine</v>
      </c>
      <c r="C502" t="str" cm="1">
        <f t="array" ref="C502">IFERROR(INDEX({"Ridgetop","Other"},MATCH(TRUE,ISNUMBER(SEARCH({"Ridgetop","Other"},A502)),0)),"")</f>
        <v>Ridgetop</v>
      </c>
      <c r="D502" t="str" cm="1">
        <f t="array" ref="D502">IFERROR(INDEX({"Small","Medium","Large"},MATCH(TRUE,ISNUMBER(SEARCH({"Small","Medium","Large"},A502)),0)),"")</f>
        <v>Small</v>
      </c>
      <c r="E502" t="str">
        <f t="shared" si="7"/>
        <v>0.068</v>
      </c>
    </row>
    <row r="503" spans="1:5" x14ac:dyDescent="0.3">
      <c r="A503" t="s">
        <v>501</v>
      </c>
      <c r="B503" t="str" cm="1">
        <f t="array" ref="B503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redcedar"},A503)),0)),"")</f>
        <v>Western white pine</v>
      </c>
      <c r="C503" t="str" cm="1">
        <f t="array" ref="C503">IFERROR(INDEX({"Ridgetop","Other"},MATCH(TRUE,ISNUMBER(SEARCH({"Ridgetop","Other"},A503)),0)),"")</f>
        <v>Ridgetop</v>
      </c>
      <c r="D503" t="str" cm="1">
        <f t="array" ref="D503">IFERROR(INDEX({"Small","Medium","Large"},MATCH(TRUE,ISNUMBER(SEARCH({"Small","Medium","Large"},A503)),0)),"")</f>
        <v>Medium</v>
      </c>
      <c r="E503" t="str">
        <f t="shared" si="7"/>
        <v>0.028</v>
      </c>
    </row>
    <row r="504" spans="1:5" x14ac:dyDescent="0.3">
      <c r="A504" t="s">
        <v>502</v>
      </c>
      <c r="B504" t="str" cm="1">
        <f t="array" ref="B504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redcedar"},A504)),0)),"")</f>
        <v>Western white pine</v>
      </c>
      <c r="C504" t="str" cm="1">
        <f t="array" ref="C504">IFERROR(INDEX({"Ridgetop","Other"},MATCH(TRUE,ISNUMBER(SEARCH({"Ridgetop","Other"},A504)),0)),"")</f>
        <v>Ridgetop</v>
      </c>
      <c r="D504" t="str" cm="1">
        <f t="array" ref="D504">IFERROR(INDEX({"Small","Medium","Large"},MATCH(TRUE,ISNUMBER(SEARCH({"Small","Medium","Large"},A504)),0)),"")</f>
        <v>Large</v>
      </c>
      <c r="E504" t="str">
        <f t="shared" si="7"/>
        <v>0.024</v>
      </c>
    </row>
    <row r="505" spans="1:5" x14ac:dyDescent="0.3">
      <c r="A505" t="s">
        <v>503</v>
      </c>
      <c r="B505" t="str" cm="1">
        <f t="array" ref="B505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redcedar"},A505)),0)),"")</f>
        <v>Western white pine</v>
      </c>
      <c r="C505" t="str" cm="1">
        <f t="array" ref="C505">IFERROR(INDEX({"Ridgetop","Other"},MATCH(TRUE,ISNUMBER(SEARCH({"Ridgetop","Other"},A505)),0)),"")</f>
        <v>Other</v>
      </c>
      <c r="D505" t="str" cm="1">
        <f t="array" ref="D505">IFERROR(INDEX({"Small","Medium","Large"},MATCH(TRUE,ISNUMBER(SEARCH({"Small","Medium","Large"},A505)),0)),"")</f>
        <v>Small</v>
      </c>
      <c r="E505" t="str">
        <f t="shared" si="7"/>
        <v>0.033</v>
      </c>
    </row>
    <row r="506" spans="1:5" x14ac:dyDescent="0.3">
      <c r="A506" t="s">
        <v>504</v>
      </c>
      <c r="B506" t="str" cm="1">
        <f t="array" ref="B506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redcedar"},A506)),0)),"")</f>
        <v>Western white pine</v>
      </c>
      <c r="C506" t="str" cm="1">
        <f t="array" ref="C506">IFERROR(INDEX({"Ridgetop","Other"},MATCH(TRUE,ISNUMBER(SEARCH({"Ridgetop","Other"},A506)),0)),"")</f>
        <v>Other</v>
      </c>
      <c r="D506" t="str" cm="1">
        <f t="array" ref="D506">IFERROR(INDEX({"Small","Medium","Large"},MATCH(TRUE,ISNUMBER(SEARCH({"Small","Medium","Large"},A506)),0)),"")</f>
        <v>Medium</v>
      </c>
      <c r="E506" t="str">
        <f t="shared" si="7"/>
        <v>0.014</v>
      </c>
    </row>
    <row r="507" spans="1:5" x14ac:dyDescent="0.3">
      <c r="A507" t="s">
        <v>505</v>
      </c>
      <c r="B507" t="str" cm="1">
        <f t="array" ref="B507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redcedar"},A507)),0)),"")</f>
        <v>Western white pine</v>
      </c>
      <c r="C507" t="str" cm="1">
        <f t="array" ref="C507">IFERROR(INDEX({"Ridgetop","Other"},MATCH(TRUE,ISNUMBER(SEARCH({"Ridgetop","Other"},A507)),0)),"")</f>
        <v>Other</v>
      </c>
      <c r="D507" t="str" cm="1">
        <f t="array" ref="D507">IFERROR(INDEX({"Small","Medium","Large"},MATCH(TRUE,ISNUMBER(SEARCH({"Small","Medium","Large"},A507)),0)),"")</f>
        <v>Large</v>
      </c>
      <c r="E507" t="str">
        <f t="shared" si="7"/>
        <v>0.012</v>
      </c>
    </row>
    <row r="508" spans="1:5" x14ac:dyDescent="0.3">
      <c r="A508" t="s">
        <v>506</v>
      </c>
      <c r="B508" t="str" cm="1">
        <f t="array" ref="B508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redcedar"},A508)),0)),"")</f>
        <v>Western white pine</v>
      </c>
      <c r="C508" t="str" cm="1">
        <f t="array" ref="C508">IFERROR(INDEX({"Ridgetop","Other"},MATCH(TRUE,ISNUMBER(SEARCH({"Ridgetop","Other"},A508)),0)),"")</f>
        <v>Other</v>
      </c>
      <c r="D508" t="str" cm="1">
        <f t="array" ref="D508">IFERROR(INDEX({"Small","Medium","Large"},MATCH(TRUE,ISNUMBER(SEARCH({"Small","Medium","Large"},A508)),0)),"")</f>
        <v>Small</v>
      </c>
      <c r="E508" t="str">
        <f t="shared" si="7"/>
        <v>0.037</v>
      </c>
    </row>
    <row r="509" spans="1:5" x14ac:dyDescent="0.3">
      <c r="A509" t="s">
        <v>507</v>
      </c>
      <c r="B509" t="str" cm="1">
        <f t="array" ref="B509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redcedar"},A509)),0)),"")</f>
        <v>Western white pine</v>
      </c>
      <c r="C509" t="str" cm="1">
        <f t="array" ref="C509">IFERROR(INDEX({"Ridgetop","Other"},MATCH(TRUE,ISNUMBER(SEARCH({"Ridgetop","Other"},A509)),0)),"")</f>
        <v>Other</v>
      </c>
      <c r="D509" t="str" cm="1">
        <f t="array" ref="D509">IFERROR(INDEX({"Small","Medium","Large"},MATCH(TRUE,ISNUMBER(SEARCH({"Small","Medium","Large"},A509)),0)),"")</f>
        <v>Medium</v>
      </c>
      <c r="E509" t="str">
        <f t="shared" si="7"/>
        <v>0.015</v>
      </c>
    </row>
    <row r="510" spans="1:5" x14ac:dyDescent="0.3">
      <c r="A510" t="s">
        <v>508</v>
      </c>
      <c r="B510" t="str" cm="1">
        <f t="array" ref="B510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redcedar"},A510)),0)),"")</f>
        <v>Western white pine</v>
      </c>
      <c r="C510" t="str" cm="1">
        <f t="array" ref="C510">IFERROR(INDEX({"Ridgetop","Other"},MATCH(TRUE,ISNUMBER(SEARCH({"Ridgetop","Other"},A510)),0)),"")</f>
        <v>Other</v>
      </c>
      <c r="D510" t="str" cm="1">
        <f t="array" ref="D510">IFERROR(INDEX({"Small","Medium","Large"},MATCH(TRUE,ISNUMBER(SEARCH({"Small","Medium","Large"},A510)),0)),"")</f>
        <v>Large</v>
      </c>
      <c r="E510" t="str">
        <f t="shared" si="7"/>
        <v>0.013</v>
      </c>
    </row>
    <row r="511" spans="1:5" x14ac:dyDescent="0.3">
      <c r="A511" t="s">
        <v>509</v>
      </c>
      <c r="B511" t="str" cm="1">
        <f t="array" ref="B511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redcedar"},A511)),0)),"")</f>
        <v>Western white pine</v>
      </c>
      <c r="C511" t="str" cm="1">
        <f t="array" ref="C511">IFERROR(INDEX({"Ridgetop","Other"},MATCH(TRUE,ISNUMBER(SEARCH({"Ridgetop","Other"},A511)),0)),"")</f>
        <v>Other</v>
      </c>
      <c r="D511" t="str" cm="1">
        <f t="array" ref="D511">IFERROR(INDEX({"Small","Medium","Large"},MATCH(TRUE,ISNUMBER(SEARCH({"Small","Medium","Large"},A511)),0)),"")</f>
        <v>Small</v>
      </c>
      <c r="E511" t="str">
        <f t="shared" si="7"/>
        <v>0.041</v>
      </c>
    </row>
    <row r="512" spans="1:5" x14ac:dyDescent="0.3">
      <c r="A512" t="s">
        <v>510</v>
      </c>
      <c r="B512" t="str" cm="1">
        <f t="array" ref="B512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redcedar"},A512)),0)),"")</f>
        <v>Western white pine</v>
      </c>
      <c r="C512" t="str" cm="1">
        <f t="array" ref="C512">IFERROR(INDEX({"Ridgetop","Other"},MATCH(TRUE,ISNUMBER(SEARCH({"Ridgetop","Other"},A512)),0)),"")</f>
        <v>Other</v>
      </c>
      <c r="D512" t="str" cm="1">
        <f t="array" ref="D512">IFERROR(INDEX({"Small","Medium","Large"},MATCH(TRUE,ISNUMBER(SEARCH({"Small","Medium","Large"},A512)),0)),"")</f>
        <v>Medium</v>
      </c>
      <c r="E512" t="str">
        <f t="shared" si="7"/>
        <v>0.017</v>
      </c>
    </row>
    <row r="513" spans="1:5" x14ac:dyDescent="0.3">
      <c r="A513" t="s">
        <v>511</v>
      </c>
      <c r="B513" t="str" cm="1">
        <f t="array" ref="B513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redcedar"},A513)),0)),"")</f>
        <v>Western white pine</v>
      </c>
      <c r="C513" t="str" cm="1">
        <f t="array" ref="C513">IFERROR(INDEX({"Ridgetop","Other"},MATCH(TRUE,ISNUMBER(SEARCH({"Ridgetop","Other"},A513)),0)),"")</f>
        <v>Other</v>
      </c>
      <c r="D513" t="str" cm="1">
        <f t="array" ref="D513">IFERROR(INDEX({"Small","Medium","Large"},MATCH(TRUE,ISNUMBER(SEARCH({"Small","Medium","Large"},A513)),0)),"")</f>
        <v>Large</v>
      </c>
      <c r="E513" t="str">
        <f t="shared" si="7"/>
        <v>0.014</v>
      </c>
    </row>
    <row r="514" spans="1:5" x14ac:dyDescent="0.3">
      <c r="A514" t="s">
        <v>512</v>
      </c>
      <c r="B514" t="str" cm="1">
        <f t="array" ref="B514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redcedar"},A514)),0)),"")</f>
        <v>Western white pine</v>
      </c>
      <c r="C514" t="str" cm="1">
        <f t="array" ref="C514">IFERROR(INDEX({"Ridgetop","Other"},MATCH(TRUE,ISNUMBER(SEARCH({"Ridgetop","Other"},A514)),0)),"")</f>
        <v>Ridgetop</v>
      </c>
      <c r="D514" t="str" cm="1">
        <f t="array" ref="D514">IFERROR(INDEX({"Small","Medium","Large"},MATCH(TRUE,ISNUMBER(SEARCH({"Small","Medium","Large"},A514)),0)),"")</f>
        <v>Small</v>
      </c>
      <c r="E514" t="str">
        <f t="shared" si="7"/>
        <v>0.063</v>
      </c>
    </row>
    <row r="515" spans="1:5" x14ac:dyDescent="0.3">
      <c r="A515" t="s">
        <v>513</v>
      </c>
      <c r="B515" t="str" cm="1">
        <f t="array" ref="B515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redcedar"},A515)),0)),"")</f>
        <v>Western white pine</v>
      </c>
      <c r="C515" t="str" cm="1">
        <f t="array" ref="C515">IFERROR(INDEX({"Ridgetop","Other"},MATCH(TRUE,ISNUMBER(SEARCH({"Ridgetop","Other"},A515)),0)),"")</f>
        <v>Ridgetop</v>
      </c>
      <c r="D515" t="str" cm="1">
        <f t="array" ref="D515">IFERROR(INDEX({"Small","Medium","Large"},MATCH(TRUE,ISNUMBER(SEARCH({"Small","Medium","Large"},A515)),0)),"")</f>
        <v>Medium</v>
      </c>
      <c r="E515" t="str">
        <f t="shared" ref="E515:E578" si="8">RIGHT(A515,LEN(A515)-FIND("@",SUBSTITUTE(A515," ","@",LEN(A515)-LEN(SUBSTITUTE(A515," ","")))))</f>
        <v>0.026</v>
      </c>
    </row>
    <row r="516" spans="1:5" x14ac:dyDescent="0.3">
      <c r="A516" t="s">
        <v>514</v>
      </c>
      <c r="B516" t="str" cm="1">
        <f t="array" ref="B516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redcedar"},A516)),0)),"")</f>
        <v>Western white pine</v>
      </c>
      <c r="C516" t="str" cm="1">
        <f t="array" ref="C516">IFERROR(INDEX({"Ridgetop","Other"},MATCH(TRUE,ISNUMBER(SEARCH({"Ridgetop","Other"},A516)),0)),"")</f>
        <v>Ridgetop</v>
      </c>
      <c r="D516" t="str" cm="1">
        <f t="array" ref="D516">IFERROR(INDEX({"Small","Medium","Large"},MATCH(TRUE,ISNUMBER(SEARCH({"Small","Medium","Large"},A516)),0)),"")</f>
        <v>Large</v>
      </c>
      <c r="E516" t="str">
        <f t="shared" si="8"/>
        <v>0.022</v>
      </c>
    </row>
    <row r="517" spans="1:5" x14ac:dyDescent="0.3">
      <c r="A517" t="s">
        <v>515</v>
      </c>
      <c r="B517" t="str" cm="1">
        <f t="array" ref="B517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redcedar"},A517)),0)),"")</f>
        <v>Western white pine</v>
      </c>
      <c r="C517" t="str" cm="1">
        <f t="array" ref="C517">IFERROR(INDEX({"Ridgetop","Other"},MATCH(TRUE,ISNUMBER(SEARCH({"Ridgetop","Other"},A517)),0)),"")</f>
        <v>Ridgetop</v>
      </c>
      <c r="D517" t="str" cm="1">
        <f t="array" ref="D517">IFERROR(INDEX({"Small","Medium","Large"},MATCH(TRUE,ISNUMBER(SEARCH({"Small","Medium","Large"},A517)),0)),"")</f>
        <v>Small</v>
      </c>
      <c r="E517" t="str">
        <f t="shared" si="8"/>
        <v>0.063</v>
      </c>
    </row>
    <row r="518" spans="1:5" x14ac:dyDescent="0.3">
      <c r="A518" t="s">
        <v>516</v>
      </c>
      <c r="B518" t="str" cm="1">
        <f t="array" ref="B518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redcedar"},A518)),0)),"")</f>
        <v>Western white pine</v>
      </c>
      <c r="C518" t="str" cm="1">
        <f t="array" ref="C518">IFERROR(INDEX({"Ridgetop","Other"},MATCH(TRUE,ISNUMBER(SEARCH({"Ridgetop","Other"},A518)),0)),"")</f>
        <v>Ridgetop</v>
      </c>
      <c r="D518" t="str" cm="1">
        <f t="array" ref="D518">IFERROR(INDEX({"Small","Medium","Large"},MATCH(TRUE,ISNUMBER(SEARCH({"Small","Medium","Large"},A518)),0)),"")</f>
        <v>Medium</v>
      </c>
      <c r="E518" t="str">
        <f t="shared" si="8"/>
        <v>0.026</v>
      </c>
    </row>
    <row r="519" spans="1:5" x14ac:dyDescent="0.3">
      <c r="A519" t="s">
        <v>517</v>
      </c>
      <c r="B519" t="str" cm="1">
        <f t="array" ref="B519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redcedar"},A519)),0)),"")</f>
        <v>Western white pine</v>
      </c>
      <c r="C519" t="str" cm="1">
        <f t="array" ref="C519">IFERROR(INDEX({"Ridgetop","Other"},MATCH(TRUE,ISNUMBER(SEARCH({"Ridgetop","Other"},A519)),0)),"")</f>
        <v>Ridgetop</v>
      </c>
      <c r="D519" t="str" cm="1">
        <f t="array" ref="D519">IFERROR(INDEX({"Small","Medium","Large"},MATCH(TRUE,ISNUMBER(SEARCH({"Small","Medium","Large"},A519)),0)),"")</f>
        <v>Large</v>
      </c>
      <c r="E519" t="str">
        <f t="shared" si="8"/>
        <v>0.022</v>
      </c>
    </row>
    <row r="520" spans="1:5" x14ac:dyDescent="0.3">
      <c r="A520" t="s">
        <v>518</v>
      </c>
      <c r="B520" t="str" cm="1">
        <f t="array" ref="B520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redcedar"},A520)),0)),"")</f>
        <v>Western white pine</v>
      </c>
      <c r="C520" t="str" cm="1">
        <f t="array" ref="C520">IFERROR(INDEX({"Ridgetop","Other"},MATCH(TRUE,ISNUMBER(SEARCH({"Ridgetop","Other"},A520)),0)),"")</f>
        <v>Ridgetop</v>
      </c>
      <c r="D520" t="str" cm="1">
        <f t="array" ref="D520">IFERROR(INDEX({"Small","Medium","Large"},MATCH(TRUE,ISNUMBER(SEARCH({"Small","Medium","Large"},A520)),0)),"")</f>
        <v>Small</v>
      </c>
      <c r="E520" t="str">
        <f t="shared" si="8"/>
        <v>0.065</v>
      </c>
    </row>
    <row r="521" spans="1:5" x14ac:dyDescent="0.3">
      <c r="A521" t="s">
        <v>519</v>
      </c>
      <c r="B521" t="str" cm="1">
        <f t="array" ref="B521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redcedar"},A521)),0)),"")</f>
        <v>Western white pine</v>
      </c>
      <c r="C521" t="str" cm="1">
        <f t="array" ref="C521">IFERROR(INDEX({"Ridgetop","Other"},MATCH(TRUE,ISNUMBER(SEARCH({"Ridgetop","Other"},A521)),0)),"")</f>
        <v>Ridgetop</v>
      </c>
      <c r="D521" t="str" cm="1">
        <f t="array" ref="D521">IFERROR(INDEX({"Small","Medium","Large"},MATCH(TRUE,ISNUMBER(SEARCH({"Small","Medium","Large"},A521)),0)),"")</f>
        <v>Medium</v>
      </c>
      <c r="E521" t="str">
        <f t="shared" si="8"/>
        <v>0.027</v>
      </c>
    </row>
    <row r="522" spans="1:5" x14ac:dyDescent="0.3">
      <c r="A522" t="s">
        <v>520</v>
      </c>
      <c r="B522" t="str" cm="1">
        <f t="array" ref="B522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redcedar"},A522)),0)),"")</f>
        <v>Western white pine</v>
      </c>
      <c r="C522" t="str" cm="1">
        <f t="array" ref="C522">IFERROR(INDEX({"Ridgetop","Other"},MATCH(TRUE,ISNUMBER(SEARCH({"Ridgetop","Other"},A522)),0)),"")</f>
        <v>Ridgetop</v>
      </c>
      <c r="D522" t="str" cm="1">
        <f t="array" ref="D522">IFERROR(INDEX({"Small","Medium","Large"},MATCH(TRUE,ISNUMBER(SEARCH({"Small","Medium","Large"},A522)),0)),"")</f>
        <v>Large</v>
      </c>
      <c r="E522" t="str">
        <f t="shared" si="8"/>
        <v>0.023</v>
      </c>
    </row>
    <row r="523" spans="1:5" x14ac:dyDescent="0.3">
      <c r="A523" t="s">
        <v>521</v>
      </c>
      <c r="B523" t="str" cm="1">
        <f t="array" ref="B523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redcedar"},A523)),0)),"")</f>
        <v>Western white pine</v>
      </c>
      <c r="C523" t="str" cm="1">
        <f t="array" ref="C523">IFERROR(INDEX({"Ridgetop","Other"},MATCH(TRUE,ISNUMBER(SEARCH({"Ridgetop","Other"},A523)),0)),"")</f>
        <v>Other</v>
      </c>
      <c r="D523" t="str" cm="1">
        <f t="array" ref="D523">IFERROR(INDEX({"Small","Medium","Large"},MATCH(TRUE,ISNUMBER(SEARCH({"Small","Medium","Large"},A523)),0)),"")</f>
        <v>Small</v>
      </c>
      <c r="E523" t="str">
        <f t="shared" si="8"/>
        <v>0.037</v>
      </c>
    </row>
    <row r="524" spans="1:5" x14ac:dyDescent="0.3">
      <c r="A524" t="s">
        <v>522</v>
      </c>
      <c r="B524" t="str" cm="1">
        <f t="array" ref="B524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redcedar"},A524)),0)),"")</f>
        <v>Western white pine</v>
      </c>
      <c r="C524" t="str" cm="1">
        <f t="array" ref="C524">IFERROR(INDEX({"Ridgetop","Other"},MATCH(TRUE,ISNUMBER(SEARCH({"Ridgetop","Other"},A524)),0)),"")</f>
        <v>Other</v>
      </c>
      <c r="D524" t="str" cm="1">
        <f t="array" ref="D524">IFERROR(INDEX({"Small","Medium","Large"},MATCH(TRUE,ISNUMBER(SEARCH({"Small","Medium","Large"},A524)),0)),"")</f>
        <v>Medium</v>
      </c>
      <c r="E524" t="str">
        <f t="shared" si="8"/>
        <v>0.015</v>
      </c>
    </row>
    <row r="525" spans="1:5" x14ac:dyDescent="0.3">
      <c r="A525" t="s">
        <v>523</v>
      </c>
      <c r="B525" t="str" cm="1">
        <f t="array" ref="B525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redcedar"},A525)),0)),"")</f>
        <v>Western white pine</v>
      </c>
      <c r="C525" t="str" cm="1">
        <f t="array" ref="C525">IFERROR(INDEX({"Ridgetop","Other"},MATCH(TRUE,ISNUMBER(SEARCH({"Ridgetop","Other"},A525)),0)),"")</f>
        <v>Other</v>
      </c>
      <c r="D525" t="str" cm="1">
        <f t="array" ref="D525">IFERROR(INDEX({"Small","Medium","Large"},MATCH(TRUE,ISNUMBER(SEARCH({"Small","Medium","Large"},A525)),0)),"")</f>
        <v>Large</v>
      </c>
      <c r="E525" t="str">
        <f t="shared" si="8"/>
        <v>0.013</v>
      </c>
    </row>
    <row r="526" spans="1:5" x14ac:dyDescent="0.3">
      <c r="A526" t="s">
        <v>524</v>
      </c>
      <c r="B526" t="str" cm="1">
        <f t="array" ref="B526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redcedar"},A526)),0)),"")</f>
        <v>Western white pine</v>
      </c>
      <c r="C526" t="str" cm="1">
        <f t="array" ref="C526">IFERROR(INDEX({"Ridgetop","Other"},MATCH(TRUE,ISNUMBER(SEARCH({"Ridgetop","Other"},A526)),0)),"")</f>
        <v>Other</v>
      </c>
      <c r="D526" t="str" cm="1">
        <f t="array" ref="D526">IFERROR(INDEX({"Small","Medium","Large"},MATCH(TRUE,ISNUMBER(SEARCH({"Small","Medium","Large"},A526)),0)),"")</f>
        <v>Small</v>
      </c>
      <c r="E526" t="str">
        <f t="shared" si="8"/>
        <v>0.041</v>
      </c>
    </row>
    <row r="527" spans="1:5" x14ac:dyDescent="0.3">
      <c r="A527" t="s">
        <v>525</v>
      </c>
      <c r="B527" t="str" cm="1">
        <f t="array" ref="B527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redcedar"},A527)),0)),"")</f>
        <v>Western white pine</v>
      </c>
      <c r="C527" t="str" cm="1">
        <f t="array" ref="C527">IFERROR(INDEX({"Ridgetop","Other"},MATCH(TRUE,ISNUMBER(SEARCH({"Ridgetop","Other"},A527)),0)),"")</f>
        <v>Other</v>
      </c>
      <c r="D527" t="str" cm="1">
        <f t="array" ref="D527">IFERROR(INDEX({"Small","Medium","Large"},MATCH(TRUE,ISNUMBER(SEARCH({"Small","Medium","Large"},A527)),0)),"")</f>
        <v>Medium</v>
      </c>
      <c r="E527" t="str">
        <f t="shared" si="8"/>
        <v>0.017</v>
      </c>
    </row>
    <row r="528" spans="1:5" x14ac:dyDescent="0.3">
      <c r="A528" t="s">
        <v>526</v>
      </c>
      <c r="B528" t="str" cm="1">
        <f t="array" ref="B528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redcedar"},A528)),0)),"")</f>
        <v>Western white pine</v>
      </c>
      <c r="C528" t="str" cm="1">
        <f t="array" ref="C528">IFERROR(INDEX({"Ridgetop","Other"},MATCH(TRUE,ISNUMBER(SEARCH({"Ridgetop","Other"},A528)),0)),"")</f>
        <v>Other</v>
      </c>
      <c r="D528" t="str" cm="1">
        <f t="array" ref="D528">IFERROR(INDEX({"Small","Medium","Large"},MATCH(TRUE,ISNUMBER(SEARCH({"Small","Medium","Large"},A528)),0)),"")</f>
        <v>Large</v>
      </c>
      <c r="E528" t="str">
        <f t="shared" si="8"/>
        <v>0.014</v>
      </c>
    </row>
    <row r="529" spans="1:5" x14ac:dyDescent="0.3">
      <c r="A529" t="s">
        <v>527</v>
      </c>
      <c r="B529" t="str" cm="1">
        <f t="array" ref="B529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redcedar"},A529)),0)),"")</f>
        <v>Western white pine</v>
      </c>
      <c r="C529" t="str" cm="1">
        <f t="array" ref="C529">IFERROR(INDEX({"Ridgetop","Other"},MATCH(TRUE,ISNUMBER(SEARCH({"Ridgetop","Other"},A529)),0)),"")</f>
        <v>Other</v>
      </c>
      <c r="D529" t="str" cm="1">
        <f t="array" ref="D529">IFERROR(INDEX({"Small","Medium","Large"},MATCH(TRUE,ISNUMBER(SEARCH({"Small","Medium","Large"},A529)),0)),"")</f>
        <v>Small</v>
      </c>
      <c r="E529" t="str">
        <f t="shared" si="8"/>
        <v>0.041</v>
      </c>
    </row>
    <row r="530" spans="1:5" x14ac:dyDescent="0.3">
      <c r="A530" t="s">
        <v>528</v>
      </c>
      <c r="B530" t="str" cm="1">
        <f t="array" ref="B530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redcedar"},A530)),0)),"")</f>
        <v>Western white pine</v>
      </c>
      <c r="C530" t="str" cm="1">
        <f t="array" ref="C530">IFERROR(INDEX({"Ridgetop","Other"},MATCH(TRUE,ISNUMBER(SEARCH({"Ridgetop","Other"},A530)),0)),"")</f>
        <v>Other</v>
      </c>
      <c r="D530" t="str" cm="1">
        <f t="array" ref="D530">IFERROR(INDEX({"Small","Medium","Large"},MATCH(TRUE,ISNUMBER(SEARCH({"Small","Medium","Large"},A530)),0)),"")</f>
        <v>Medium</v>
      </c>
      <c r="E530" t="str">
        <f t="shared" si="8"/>
        <v>0.017</v>
      </c>
    </row>
    <row r="531" spans="1:5" x14ac:dyDescent="0.3">
      <c r="A531" t="s">
        <v>529</v>
      </c>
      <c r="B531" t="str" cm="1">
        <f t="array" ref="B531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redcedar"},A531)),0)),"")</f>
        <v>Western white pine</v>
      </c>
      <c r="C531" t="str" cm="1">
        <f t="array" ref="C531">IFERROR(INDEX({"Ridgetop","Other"},MATCH(TRUE,ISNUMBER(SEARCH({"Ridgetop","Other"},A531)),0)),"")</f>
        <v>Other</v>
      </c>
      <c r="D531" t="str" cm="1">
        <f t="array" ref="D531">IFERROR(INDEX({"Small","Medium","Large"},MATCH(TRUE,ISNUMBER(SEARCH({"Small","Medium","Large"},A531)),0)),"")</f>
        <v>Large</v>
      </c>
      <c r="E531" t="str">
        <f t="shared" si="8"/>
        <v>0.014</v>
      </c>
    </row>
    <row r="532" spans="1:5" x14ac:dyDescent="0.3">
      <c r="A532" t="s">
        <v>530</v>
      </c>
      <c r="B532" t="str" cm="1">
        <f t="array" ref="B532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redcedar"},A532)),0)),"")</f>
        <v>Western white pine</v>
      </c>
      <c r="C532" t="str" cm="1">
        <f t="array" ref="C532">IFERROR(INDEX({"Ridgetop","Other"},MATCH(TRUE,ISNUMBER(SEARCH({"Ridgetop","Other"},A532)),0)),"")</f>
        <v>Ridgetop</v>
      </c>
      <c r="D532" t="str" cm="1">
        <f t="array" ref="D532">IFERROR(INDEX({"Small","Medium","Large"},MATCH(TRUE,ISNUMBER(SEARCH({"Small","Medium","Large"},A532)),0)),"")</f>
        <v>Small</v>
      </c>
      <c r="E532" t="str">
        <f t="shared" si="8"/>
        <v>0.068</v>
      </c>
    </row>
    <row r="533" spans="1:5" x14ac:dyDescent="0.3">
      <c r="A533" t="s">
        <v>531</v>
      </c>
      <c r="B533" t="str" cm="1">
        <f t="array" ref="B533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redcedar"},A533)),0)),"")</f>
        <v>Western white pine</v>
      </c>
      <c r="C533" t="str" cm="1">
        <f t="array" ref="C533">IFERROR(INDEX({"Ridgetop","Other"},MATCH(TRUE,ISNUMBER(SEARCH({"Ridgetop","Other"},A533)),0)),"")</f>
        <v>Ridgetop</v>
      </c>
      <c r="D533" t="str" cm="1">
        <f t="array" ref="D533">IFERROR(INDEX({"Small","Medium","Large"},MATCH(TRUE,ISNUMBER(SEARCH({"Small","Medium","Large"},A533)),0)),"")</f>
        <v>Medium</v>
      </c>
      <c r="E533" t="str">
        <f t="shared" si="8"/>
        <v>0.028</v>
      </c>
    </row>
    <row r="534" spans="1:5" x14ac:dyDescent="0.3">
      <c r="A534" t="s">
        <v>532</v>
      </c>
      <c r="B534" t="str" cm="1">
        <f t="array" ref="B534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redcedar"},A534)),0)),"")</f>
        <v>Western white pine</v>
      </c>
      <c r="C534" t="str" cm="1">
        <f t="array" ref="C534">IFERROR(INDEX({"Ridgetop","Other"},MATCH(TRUE,ISNUMBER(SEARCH({"Ridgetop","Other"},A534)),0)),"")</f>
        <v>Ridgetop</v>
      </c>
      <c r="D534" t="str" cm="1">
        <f t="array" ref="D534">IFERROR(INDEX({"Small","Medium","Large"},MATCH(TRUE,ISNUMBER(SEARCH({"Small","Medium","Large"},A534)),0)),"")</f>
        <v>Large</v>
      </c>
      <c r="E534" t="str">
        <f t="shared" si="8"/>
        <v>0.024</v>
      </c>
    </row>
    <row r="535" spans="1:5" x14ac:dyDescent="0.3">
      <c r="A535" t="s">
        <v>533</v>
      </c>
      <c r="B535" t="str" cm="1">
        <f t="array" ref="B535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redcedar"},A535)),0)),"")</f>
        <v>Western white pine</v>
      </c>
      <c r="C535" t="str" cm="1">
        <f t="array" ref="C535">IFERROR(INDEX({"Ridgetop","Other"},MATCH(TRUE,ISNUMBER(SEARCH({"Ridgetop","Other"},A535)),0)),"")</f>
        <v>Ridgetop</v>
      </c>
      <c r="D535" t="str" cm="1">
        <f t="array" ref="D535">IFERROR(INDEX({"Small","Medium","Large"},MATCH(TRUE,ISNUMBER(SEARCH({"Small","Medium","Large"},A535)),0)),"")</f>
        <v>Small</v>
      </c>
      <c r="E535" t="str">
        <f t="shared" si="8"/>
        <v>0.068</v>
      </c>
    </row>
    <row r="536" spans="1:5" x14ac:dyDescent="0.3">
      <c r="A536" t="s">
        <v>534</v>
      </c>
      <c r="B536" t="str" cm="1">
        <f t="array" ref="B536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redcedar"},A536)),0)),"")</f>
        <v>Western white pine</v>
      </c>
      <c r="C536" t="str" cm="1">
        <f t="array" ref="C536">IFERROR(INDEX({"Ridgetop","Other"},MATCH(TRUE,ISNUMBER(SEARCH({"Ridgetop","Other"},A536)),0)),"")</f>
        <v>Ridgetop</v>
      </c>
      <c r="D536" t="str" cm="1">
        <f t="array" ref="D536">IFERROR(INDEX({"Small","Medium","Large"},MATCH(TRUE,ISNUMBER(SEARCH({"Small","Medium","Large"},A536)),0)),"")</f>
        <v>Medium</v>
      </c>
      <c r="E536" t="str">
        <f t="shared" si="8"/>
        <v>0.028</v>
      </c>
    </row>
    <row r="537" spans="1:5" x14ac:dyDescent="0.3">
      <c r="A537" t="s">
        <v>535</v>
      </c>
      <c r="B537" t="str" cm="1">
        <f t="array" ref="B537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redcedar"},A537)),0)),"")</f>
        <v>Western white pine</v>
      </c>
      <c r="C537" t="str" cm="1">
        <f t="array" ref="C537">IFERROR(INDEX({"Ridgetop","Other"},MATCH(TRUE,ISNUMBER(SEARCH({"Ridgetop","Other"},A537)),0)),"")</f>
        <v>Ridgetop</v>
      </c>
      <c r="D537" t="str" cm="1">
        <f t="array" ref="D537">IFERROR(INDEX({"Small","Medium","Large"},MATCH(TRUE,ISNUMBER(SEARCH({"Small","Medium","Large"},A537)),0)),"")</f>
        <v>Large</v>
      </c>
      <c r="E537" t="str">
        <f t="shared" si="8"/>
        <v>0.024</v>
      </c>
    </row>
    <row r="538" spans="1:5" x14ac:dyDescent="0.3">
      <c r="A538" t="s">
        <v>536</v>
      </c>
      <c r="B538" t="str" cm="1">
        <f t="array" ref="B538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redcedar"},A538)),0)),"")</f>
        <v>Western white pine</v>
      </c>
      <c r="C538" t="str" cm="1">
        <f t="array" ref="C538">IFERROR(INDEX({"Ridgetop","Other"},MATCH(TRUE,ISNUMBER(SEARCH({"Ridgetop","Other"},A538)),0)),"")</f>
        <v>Ridgetop</v>
      </c>
      <c r="D538" t="str" cm="1">
        <f t="array" ref="D538">IFERROR(INDEX({"Small","Medium","Large"},MATCH(TRUE,ISNUMBER(SEARCH({"Small","Medium","Large"},A538)),0)),"")</f>
        <v>Small</v>
      </c>
      <c r="E538" t="str">
        <f t="shared" si="8"/>
        <v>0.068</v>
      </c>
    </row>
    <row r="539" spans="1:5" x14ac:dyDescent="0.3">
      <c r="A539" t="s">
        <v>537</v>
      </c>
      <c r="B539" t="str" cm="1">
        <f t="array" ref="B539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redcedar"},A539)),0)),"")</f>
        <v>Western white pine</v>
      </c>
      <c r="C539" t="str" cm="1">
        <f t="array" ref="C539">IFERROR(INDEX({"Ridgetop","Other"},MATCH(TRUE,ISNUMBER(SEARCH({"Ridgetop","Other"},A539)),0)),"")</f>
        <v>Ridgetop</v>
      </c>
      <c r="D539" t="str" cm="1">
        <f t="array" ref="D539">IFERROR(INDEX({"Small","Medium","Large"},MATCH(TRUE,ISNUMBER(SEARCH({"Small","Medium","Large"},A539)),0)),"")</f>
        <v>Medium</v>
      </c>
      <c r="E539" t="str">
        <f t="shared" si="8"/>
        <v>0.028</v>
      </c>
    </row>
    <row r="540" spans="1:5" x14ac:dyDescent="0.3">
      <c r="A540" t="s">
        <v>538</v>
      </c>
      <c r="B540" t="str" cm="1">
        <f t="array" ref="B540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redcedar"},A540)),0)),"")</f>
        <v>Western white pine</v>
      </c>
      <c r="C540" t="str" cm="1">
        <f t="array" ref="C540">IFERROR(INDEX({"Ridgetop","Other"},MATCH(TRUE,ISNUMBER(SEARCH({"Ridgetop","Other"},A540)),0)),"")</f>
        <v>Ridgetop</v>
      </c>
      <c r="D540" t="str" cm="1">
        <f t="array" ref="D540">IFERROR(INDEX({"Small","Medium","Large"},MATCH(TRUE,ISNUMBER(SEARCH({"Small","Medium","Large"},A540)),0)),"")</f>
        <v>Large</v>
      </c>
      <c r="E540" t="str">
        <f t="shared" si="8"/>
        <v>0.024</v>
      </c>
    </row>
    <row r="541" spans="1:5" x14ac:dyDescent="0.3">
      <c r="A541" t="s">
        <v>539</v>
      </c>
      <c r="B541" t="str" cm="1">
        <f t="array" ref="B541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redcedar"},A541)),0)),"")</f>
        <v>Western larch</v>
      </c>
      <c r="C541" t="str" cm="1">
        <f t="array" ref="C541">IFERROR(INDEX({"Ridgetop","Other"},MATCH(TRUE,ISNUMBER(SEARCH({"Ridgetop","Other"},A541)),0)),"")</f>
        <v>Other</v>
      </c>
      <c r="D541" t="str" cm="1">
        <f t="array" ref="D541">IFERROR(INDEX({"Small","Medium","Large"},MATCH(TRUE,ISNUMBER(SEARCH({"Small","Medium","Large"},A541)),0)),"")</f>
        <v>Small</v>
      </c>
      <c r="E541" t="str">
        <f t="shared" si="8"/>
        <v>0.054</v>
      </c>
    </row>
    <row r="542" spans="1:5" x14ac:dyDescent="0.3">
      <c r="A542" t="s">
        <v>540</v>
      </c>
      <c r="B542" t="str" cm="1">
        <f t="array" ref="B542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redcedar"},A542)),0)),"")</f>
        <v>Western larch</v>
      </c>
      <c r="C542" t="str" cm="1">
        <f t="array" ref="C542">IFERROR(INDEX({"Ridgetop","Other"},MATCH(TRUE,ISNUMBER(SEARCH({"Ridgetop","Other"},A542)),0)),"")</f>
        <v>Other</v>
      </c>
      <c r="D542" t="str" cm="1">
        <f t="array" ref="D542">IFERROR(INDEX({"Small","Medium","Large"},MATCH(TRUE,ISNUMBER(SEARCH({"Small","Medium","Large"},A542)),0)),"")</f>
        <v>Medium</v>
      </c>
      <c r="E542" t="str">
        <f t="shared" si="8"/>
        <v>0.028</v>
      </c>
    </row>
    <row r="543" spans="1:5" x14ac:dyDescent="0.3">
      <c r="A543" t="s">
        <v>541</v>
      </c>
      <c r="B543" t="str" cm="1">
        <f t="array" ref="B543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redcedar"},A543)),0)),"")</f>
        <v>Western larch</v>
      </c>
      <c r="C543" t="str" cm="1">
        <f t="array" ref="C543">IFERROR(INDEX({"Ridgetop","Other"},MATCH(TRUE,ISNUMBER(SEARCH({"Ridgetop","Other"},A543)),0)),"")</f>
        <v>Other</v>
      </c>
      <c r="D543" t="str" cm="1">
        <f t="array" ref="D543">IFERROR(INDEX({"Small","Medium","Large"},MATCH(TRUE,ISNUMBER(SEARCH({"Small","Medium","Large"},A543)),0)),"")</f>
        <v>Large</v>
      </c>
      <c r="E543" t="str">
        <f t="shared" si="8"/>
        <v>0.025</v>
      </c>
    </row>
    <row r="544" spans="1:5" x14ac:dyDescent="0.3">
      <c r="A544" t="s">
        <v>542</v>
      </c>
      <c r="B544" t="str" cm="1">
        <f t="array" ref="B544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redcedar"},A544)),0)),"")</f>
        <v>Western larch</v>
      </c>
      <c r="C544" t="str" cm="1">
        <f t="array" ref="C544">IFERROR(INDEX({"Ridgetop","Other"},MATCH(TRUE,ISNUMBER(SEARCH({"Ridgetop","Other"},A544)),0)),"")</f>
        <v>Other</v>
      </c>
      <c r="D544" t="str" cm="1">
        <f t="array" ref="D544">IFERROR(INDEX({"Small","Medium","Large"},MATCH(TRUE,ISNUMBER(SEARCH({"Small","Medium","Large"},A544)),0)),"")</f>
        <v>Small</v>
      </c>
      <c r="E544" t="str">
        <f t="shared" si="8"/>
        <v>0.060</v>
      </c>
    </row>
    <row r="545" spans="1:5" x14ac:dyDescent="0.3">
      <c r="A545" t="s">
        <v>543</v>
      </c>
      <c r="B545" t="str" cm="1">
        <f t="array" ref="B545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redcedar"},A545)),0)),"")</f>
        <v>Western larch</v>
      </c>
      <c r="C545" t="str" cm="1">
        <f t="array" ref="C545">IFERROR(INDEX({"Ridgetop","Other"},MATCH(TRUE,ISNUMBER(SEARCH({"Ridgetop","Other"},A545)),0)),"")</f>
        <v>Other</v>
      </c>
      <c r="D545" t="str" cm="1">
        <f t="array" ref="D545">IFERROR(INDEX({"Small","Medium","Large"},MATCH(TRUE,ISNUMBER(SEARCH({"Small","Medium","Large"},A545)),0)),"")</f>
        <v>Medium</v>
      </c>
      <c r="E545" t="str">
        <f t="shared" si="8"/>
        <v>0.031</v>
      </c>
    </row>
    <row r="546" spans="1:5" x14ac:dyDescent="0.3">
      <c r="A546" t="s">
        <v>544</v>
      </c>
      <c r="B546" t="str" cm="1">
        <f t="array" ref="B546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redcedar"},A546)),0)),"")</f>
        <v>Western larch</v>
      </c>
      <c r="C546" t="str" cm="1">
        <f t="array" ref="C546">IFERROR(INDEX({"Ridgetop","Other"},MATCH(TRUE,ISNUMBER(SEARCH({"Ridgetop","Other"},A546)),0)),"")</f>
        <v>Other</v>
      </c>
      <c r="D546" t="str" cm="1">
        <f t="array" ref="D546">IFERROR(INDEX({"Small","Medium","Large"},MATCH(TRUE,ISNUMBER(SEARCH({"Small","Medium","Large"},A546)),0)),"")</f>
        <v>Large</v>
      </c>
      <c r="E546" t="str">
        <f t="shared" si="8"/>
        <v>0.027</v>
      </c>
    </row>
    <row r="547" spans="1:5" x14ac:dyDescent="0.3">
      <c r="A547" t="s">
        <v>545</v>
      </c>
      <c r="B547" t="str" cm="1">
        <f t="array" ref="B547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redcedar"},A547)),0)),"")</f>
        <v>Western larch</v>
      </c>
      <c r="C547" t="str" cm="1">
        <f t="array" ref="C547">IFERROR(INDEX({"Ridgetop","Other"},MATCH(TRUE,ISNUMBER(SEARCH({"Ridgetop","Other"},A547)),0)),"")</f>
        <v>Other</v>
      </c>
      <c r="D547" t="str" cm="1">
        <f t="array" ref="D547">IFERROR(INDEX({"Small","Medium","Large"},MATCH(TRUE,ISNUMBER(SEARCH({"Small","Medium","Large"},A547)),0)),"")</f>
        <v>Small</v>
      </c>
      <c r="E547" t="str">
        <f t="shared" si="8"/>
        <v>0.074</v>
      </c>
    </row>
    <row r="548" spans="1:5" x14ac:dyDescent="0.3">
      <c r="A548" t="s">
        <v>546</v>
      </c>
      <c r="B548" t="str" cm="1">
        <f t="array" ref="B548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redcedar"},A548)),0)),"")</f>
        <v>Western larch</v>
      </c>
      <c r="C548" t="str" cm="1">
        <f t="array" ref="C548">IFERROR(INDEX({"Ridgetop","Other"},MATCH(TRUE,ISNUMBER(SEARCH({"Ridgetop","Other"},A548)),0)),"")</f>
        <v>Other</v>
      </c>
      <c r="D548" t="str" cm="1">
        <f t="array" ref="D548">IFERROR(INDEX({"Small","Medium","Large"},MATCH(TRUE,ISNUMBER(SEARCH({"Small","Medium","Large"},A548)),0)),"")</f>
        <v>Medium</v>
      </c>
      <c r="E548" t="str">
        <f t="shared" si="8"/>
        <v>0.038</v>
      </c>
    </row>
    <row r="549" spans="1:5" x14ac:dyDescent="0.3">
      <c r="A549" t="s">
        <v>547</v>
      </c>
      <c r="B549" t="str" cm="1">
        <f t="array" ref="B549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redcedar"},A549)),0)),"")</f>
        <v>Western larch</v>
      </c>
      <c r="C549" t="str" cm="1">
        <f t="array" ref="C549">IFERROR(INDEX({"Ridgetop","Other"},MATCH(TRUE,ISNUMBER(SEARCH({"Ridgetop","Other"},A549)),0)),"")</f>
        <v>Other</v>
      </c>
      <c r="D549" t="str" cm="1">
        <f t="array" ref="D549">IFERROR(INDEX({"Small","Medium","Large"},MATCH(TRUE,ISNUMBER(SEARCH({"Small","Medium","Large"},A549)),0)),"")</f>
        <v>Large</v>
      </c>
      <c r="E549" t="str">
        <f t="shared" si="8"/>
        <v>0.034</v>
      </c>
    </row>
    <row r="550" spans="1:5" x14ac:dyDescent="0.3">
      <c r="A550" t="s">
        <v>548</v>
      </c>
      <c r="B550" t="str" cm="1">
        <f t="array" ref="B550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redcedar"},A550)),0)),"")</f>
        <v>Western larch</v>
      </c>
      <c r="C550" t="str" cm="1">
        <f t="array" ref="C550">IFERROR(INDEX({"Ridgetop","Other"},MATCH(TRUE,ISNUMBER(SEARCH({"Ridgetop","Other"},A550)),0)),"")</f>
        <v>Ridgetop</v>
      </c>
      <c r="D550" t="str" cm="1">
        <f t="array" ref="D550">IFERROR(INDEX({"Small","Medium","Large"},MATCH(TRUE,ISNUMBER(SEARCH({"Small","Medium","Large"},A550)),0)),"")</f>
        <v>Small</v>
      </c>
      <c r="E550" t="str">
        <f t="shared" si="8"/>
        <v>0.096</v>
      </c>
    </row>
    <row r="551" spans="1:5" x14ac:dyDescent="0.3">
      <c r="A551" t="s">
        <v>549</v>
      </c>
      <c r="B551" t="str" cm="1">
        <f t="array" ref="B551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redcedar"},A551)),0)),"")</f>
        <v>Western larch</v>
      </c>
      <c r="C551" t="str" cm="1">
        <f t="array" ref="C551">IFERROR(INDEX({"Ridgetop","Other"},MATCH(TRUE,ISNUMBER(SEARCH({"Ridgetop","Other"},A551)),0)),"")</f>
        <v>Ridgetop</v>
      </c>
      <c r="D551" t="str" cm="1">
        <f t="array" ref="D551">IFERROR(INDEX({"Small","Medium","Large"},MATCH(TRUE,ISNUMBER(SEARCH({"Small","Medium","Large"},A551)),0)),"")</f>
        <v>Medium</v>
      </c>
      <c r="E551" t="str">
        <f t="shared" si="8"/>
        <v>0.050</v>
      </c>
    </row>
    <row r="552" spans="1:5" x14ac:dyDescent="0.3">
      <c r="A552" t="s">
        <v>550</v>
      </c>
      <c r="B552" t="str" cm="1">
        <f t="array" ref="B552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redcedar"},A552)),0)),"")</f>
        <v>Western larch</v>
      </c>
      <c r="C552" t="str" cm="1">
        <f t="array" ref="C552">IFERROR(INDEX({"Ridgetop","Other"},MATCH(TRUE,ISNUMBER(SEARCH({"Ridgetop","Other"},A552)),0)),"")</f>
        <v>Ridgetop</v>
      </c>
      <c r="D552" t="str" cm="1">
        <f t="array" ref="D552">IFERROR(INDEX({"Small","Medium","Large"},MATCH(TRUE,ISNUMBER(SEARCH({"Small","Medium","Large"},A552)),0)),"")</f>
        <v>Large</v>
      </c>
      <c r="E552" t="str">
        <f t="shared" si="8"/>
        <v>0.043</v>
      </c>
    </row>
    <row r="553" spans="1:5" x14ac:dyDescent="0.3">
      <c r="A553" t="s">
        <v>551</v>
      </c>
      <c r="B553" t="str" cm="1">
        <f t="array" ref="B553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redcedar"},A553)),0)),"")</f>
        <v>Western larch</v>
      </c>
      <c r="C553" t="str" cm="1">
        <f t="array" ref="C553">IFERROR(INDEX({"Ridgetop","Other"},MATCH(TRUE,ISNUMBER(SEARCH({"Ridgetop","Other"},A553)),0)),"")</f>
        <v>Ridgetop</v>
      </c>
      <c r="D553" t="str" cm="1">
        <f t="array" ref="D553">IFERROR(INDEX({"Small","Medium","Large"},MATCH(TRUE,ISNUMBER(SEARCH({"Small","Medium","Large"},A553)),0)),"")</f>
        <v>Small</v>
      </c>
      <c r="E553" t="str">
        <f t="shared" si="8"/>
        <v>0.099</v>
      </c>
    </row>
    <row r="554" spans="1:5" x14ac:dyDescent="0.3">
      <c r="A554" t="s">
        <v>552</v>
      </c>
      <c r="B554" t="str" cm="1">
        <f t="array" ref="B554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redcedar"},A554)),0)),"")</f>
        <v>Western larch</v>
      </c>
      <c r="C554" t="str" cm="1">
        <f t="array" ref="C554">IFERROR(INDEX({"Ridgetop","Other"},MATCH(TRUE,ISNUMBER(SEARCH({"Ridgetop","Other"},A554)),0)),"")</f>
        <v>Ridgetop</v>
      </c>
      <c r="D554" t="str" cm="1">
        <f t="array" ref="D554">IFERROR(INDEX({"Small","Medium","Large"},MATCH(TRUE,ISNUMBER(SEARCH({"Small","Medium","Large"},A554)),0)),"")</f>
        <v>Medium</v>
      </c>
      <c r="E554" t="str">
        <f t="shared" si="8"/>
        <v>0.051</v>
      </c>
    </row>
    <row r="555" spans="1:5" x14ac:dyDescent="0.3">
      <c r="A555" t="s">
        <v>553</v>
      </c>
      <c r="B555" t="str" cm="1">
        <f t="array" ref="B555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redcedar"},A555)),0)),"")</f>
        <v>Western larch</v>
      </c>
      <c r="C555" t="str" cm="1">
        <f t="array" ref="C555">IFERROR(INDEX({"Ridgetop","Other"},MATCH(TRUE,ISNUMBER(SEARCH({"Ridgetop","Other"},A555)),0)),"")</f>
        <v>Ridgetop</v>
      </c>
      <c r="D555" t="str" cm="1">
        <f t="array" ref="D555">IFERROR(INDEX({"Small","Medium","Large"},MATCH(TRUE,ISNUMBER(SEARCH({"Small","Medium","Large"},A555)),0)),"")</f>
        <v>Large</v>
      </c>
      <c r="E555" t="str">
        <f t="shared" si="8"/>
        <v>0.045</v>
      </c>
    </row>
    <row r="556" spans="1:5" x14ac:dyDescent="0.3">
      <c r="A556" t="s">
        <v>554</v>
      </c>
      <c r="B556" t="str" cm="1">
        <f t="array" ref="B556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redcedar"},A556)),0)),"")</f>
        <v>Western larch</v>
      </c>
      <c r="C556" t="str" cm="1">
        <f t="array" ref="C556">IFERROR(INDEX({"Ridgetop","Other"},MATCH(TRUE,ISNUMBER(SEARCH({"Ridgetop","Other"},A556)),0)),"")</f>
        <v>Ridgetop</v>
      </c>
      <c r="D556" t="str" cm="1">
        <f t="array" ref="D556">IFERROR(INDEX({"Small","Medium","Large"},MATCH(TRUE,ISNUMBER(SEARCH({"Small","Medium","Large"},A556)),0)),"")</f>
        <v>Small</v>
      </c>
      <c r="E556" t="str">
        <f t="shared" si="8"/>
        <v>0.105</v>
      </c>
    </row>
    <row r="557" spans="1:5" x14ac:dyDescent="0.3">
      <c r="A557" t="s">
        <v>555</v>
      </c>
      <c r="B557" t="str" cm="1">
        <f t="array" ref="B557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redcedar"},A557)),0)),"")</f>
        <v>Western larch</v>
      </c>
      <c r="C557" t="str" cm="1">
        <f t="array" ref="C557">IFERROR(INDEX({"Ridgetop","Other"},MATCH(TRUE,ISNUMBER(SEARCH({"Ridgetop","Other"},A557)),0)),"")</f>
        <v>Ridgetop</v>
      </c>
      <c r="D557" t="str" cm="1">
        <f t="array" ref="D557">IFERROR(INDEX({"Small","Medium","Large"},MATCH(TRUE,ISNUMBER(SEARCH({"Small","Medium","Large"},A557)),0)),"")</f>
        <v>Medium</v>
      </c>
      <c r="E557" t="str">
        <f t="shared" si="8"/>
        <v>0.054</v>
      </c>
    </row>
    <row r="558" spans="1:5" x14ac:dyDescent="0.3">
      <c r="A558" t="s">
        <v>556</v>
      </c>
      <c r="B558" t="str" cm="1">
        <f t="array" ref="B558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redcedar"},A558)),0)),"")</f>
        <v>Western larch</v>
      </c>
      <c r="C558" t="str" cm="1">
        <f t="array" ref="C558">IFERROR(INDEX({"Ridgetop","Other"},MATCH(TRUE,ISNUMBER(SEARCH({"Ridgetop","Other"},A558)),0)),"")</f>
        <v>Ridgetop</v>
      </c>
      <c r="D558" t="str" cm="1">
        <f t="array" ref="D558">IFERROR(INDEX({"Small","Medium","Large"},MATCH(TRUE,ISNUMBER(SEARCH({"Small","Medium","Large"},A558)),0)),"")</f>
        <v>Large</v>
      </c>
      <c r="E558" t="str">
        <f t="shared" si="8"/>
        <v>0.048</v>
      </c>
    </row>
    <row r="559" spans="1:5" x14ac:dyDescent="0.3">
      <c r="A559" t="s">
        <v>557</v>
      </c>
      <c r="B559" t="str" cm="1">
        <f t="array" ref="B559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redcedar"},A559)),0)),"")</f>
        <v>Western larch</v>
      </c>
      <c r="C559" t="str" cm="1">
        <f t="array" ref="C559">IFERROR(INDEX({"Ridgetop","Other"},MATCH(TRUE,ISNUMBER(SEARCH({"Ridgetop","Other"},A559)),0)),"")</f>
        <v>Other</v>
      </c>
      <c r="D559" t="str" cm="1">
        <f t="array" ref="D559">IFERROR(INDEX({"Small","Medium","Large"},MATCH(TRUE,ISNUMBER(SEARCH({"Small","Medium","Large"},A559)),0)),"")</f>
        <v>Small</v>
      </c>
      <c r="E559" t="str">
        <f t="shared" si="8"/>
        <v>0.068</v>
      </c>
    </row>
    <row r="560" spans="1:5" x14ac:dyDescent="0.3">
      <c r="A560" t="s">
        <v>558</v>
      </c>
      <c r="B560" t="str" cm="1">
        <f t="array" ref="B560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redcedar"},A560)),0)),"")</f>
        <v>Western larch</v>
      </c>
      <c r="C560" t="str" cm="1">
        <f t="array" ref="C560">IFERROR(INDEX({"Ridgetop","Other"},MATCH(TRUE,ISNUMBER(SEARCH({"Ridgetop","Other"},A560)),0)),"")</f>
        <v>Other</v>
      </c>
      <c r="D560" t="str" cm="1">
        <f t="array" ref="D560">IFERROR(INDEX({"Small","Medium","Large"},MATCH(TRUE,ISNUMBER(SEARCH({"Small","Medium","Large"},A560)),0)),"")</f>
        <v>Medium</v>
      </c>
      <c r="E560" t="str">
        <f t="shared" si="8"/>
        <v>0.035</v>
      </c>
    </row>
    <row r="561" spans="1:5" x14ac:dyDescent="0.3">
      <c r="A561" t="s">
        <v>559</v>
      </c>
      <c r="B561" t="str" cm="1">
        <f t="array" ref="B561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redcedar"},A561)),0)),"")</f>
        <v>Western larch</v>
      </c>
      <c r="C561" t="str" cm="1">
        <f t="array" ref="C561">IFERROR(INDEX({"Ridgetop","Other"},MATCH(TRUE,ISNUMBER(SEARCH({"Ridgetop","Other"},A561)),0)),"")</f>
        <v>Other</v>
      </c>
      <c r="D561" t="str" cm="1">
        <f t="array" ref="D561">IFERROR(INDEX({"Small","Medium","Large"},MATCH(TRUE,ISNUMBER(SEARCH({"Small","Medium","Large"},A561)),0)),"")</f>
        <v>Large</v>
      </c>
      <c r="E561" t="str">
        <f t="shared" si="8"/>
        <v>0.031</v>
      </c>
    </row>
    <row r="562" spans="1:5" x14ac:dyDescent="0.3">
      <c r="A562" t="s">
        <v>560</v>
      </c>
      <c r="B562" t="str" cm="1">
        <f t="array" ref="B562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redcedar"},A562)),0)),"")</f>
        <v>Western larch</v>
      </c>
      <c r="C562" t="str" cm="1">
        <f t="array" ref="C562">IFERROR(INDEX({"Ridgetop","Other"},MATCH(TRUE,ISNUMBER(SEARCH({"Ridgetop","Other"},A562)),0)),"")</f>
        <v>Other</v>
      </c>
      <c r="D562" t="str" cm="1">
        <f t="array" ref="D562">IFERROR(INDEX({"Small","Medium","Large"},MATCH(TRUE,ISNUMBER(SEARCH({"Small","Medium","Large"},A562)),0)),"")</f>
        <v>Small</v>
      </c>
      <c r="E562" t="str">
        <f t="shared" si="8"/>
        <v>0.074</v>
      </c>
    </row>
    <row r="563" spans="1:5" x14ac:dyDescent="0.3">
      <c r="A563" t="s">
        <v>561</v>
      </c>
      <c r="B563" t="str" cm="1">
        <f t="array" ref="B563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redcedar"},A563)),0)),"")</f>
        <v>Western larch</v>
      </c>
      <c r="C563" t="str" cm="1">
        <f t="array" ref="C563">IFERROR(INDEX({"Ridgetop","Other"},MATCH(TRUE,ISNUMBER(SEARCH({"Ridgetop","Other"},A563)),0)),"")</f>
        <v>Other</v>
      </c>
      <c r="D563" t="str" cm="1">
        <f t="array" ref="D563">IFERROR(INDEX({"Small","Medium","Large"},MATCH(TRUE,ISNUMBER(SEARCH({"Small","Medium","Large"},A563)),0)),"")</f>
        <v>Medium</v>
      </c>
      <c r="E563" t="str">
        <f t="shared" si="8"/>
        <v>0.038</v>
      </c>
    </row>
    <row r="564" spans="1:5" x14ac:dyDescent="0.3">
      <c r="A564" t="s">
        <v>562</v>
      </c>
      <c r="B564" t="str" cm="1">
        <f t="array" ref="B564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redcedar"},A564)),0)),"")</f>
        <v>Western larch</v>
      </c>
      <c r="C564" t="str" cm="1">
        <f t="array" ref="C564">IFERROR(INDEX({"Ridgetop","Other"},MATCH(TRUE,ISNUMBER(SEARCH({"Ridgetop","Other"},A564)),0)),"")</f>
        <v>Other</v>
      </c>
      <c r="D564" t="str" cm="1">
        <f t="array" ref="D564">IFERROR(INDEX({"Small","Medium","Large"},MATCH(TRUE,ISNUMBER(SEARCH({"Small","Medium","Large"},A564)),0)),"")</f>
        <v>Large</v>
      </c>
      <c r="E564" t="str">
        <f t="shared" si="8"/>
        <v>0.034</v>
      </c>
    </row>
    <row r="565" spans="1:5" x14ac:dyDescent="0.3">
      <c r="A565" t="s">
        <v>563</v>
      </c>
      <c r="B565" t="str" cm="1">
        <f t="array" ref="B565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redcedar"},A565)),0)),"")</f>
        <v>Western larch</v>
      </c>
      <c r="C565" t="str" cm="1">
        <f t="array" ref="C565">IFERROR(INDEX({"Ridgetop","Other"},MATCH(TRUE,ISNUMBER(SEARCH({"Ridgetop","Other"},A565)),0)),"")</f>
        <v>Other</v>
      </c>
      <c r="D565" t="str" cm="1">
        <f t="array" ref="D565">IFERROR(INDEX({"Small","Medium","Large"},MATCH(TRUE,ISNUMBER(SEARCH({"Small","Medium","Large"},A565)),0)),"")</f>
        <v>Small</v>
      </c>
      <c r="E565" t="str">
        <f t="shared" si="8"/>
        <v>0.074</v>
      </c>
    </row>
    <row r="566" spans="1:5" x14ac:dyDescent="0.3">
      <c r="A566" t="s">
        <v>564</v>
      </c>
      <c r="B566" t="str" cm="1">
        <f t="array" ref="B566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redcedar"},A566)),0)),"")</f>
        <v>Western larch</v>
      </c>
      <c r="C566" t="str" cm="1">
        <f t="array" ref="C566">IFERROR(INDEX({"Ridgetop","Other"},MATCH(TRUE,ISNUMBER(SEARCH({"Ridgetop","Other"},A566)),0)),"")</f>
        <v>Other</v>
      </c>
      <c r="D566" t="str" cm="1">
        <f t="array" ref="D566">IFERROR(INDEX({"Small","Medium","Large"},MATCH(TRUE,ISNUMBER(SEARCH({"Small","Medium","Large"},A566)),0)),"")</f>
        <v>Medium</v>
      </c>
      <c r="E566" t="str">
        <f t="shared" si="8"/>
        <v>0.038</v>
      </c>
    </row>
    <row r="567" spans="1:5" x14ac:dyDescent="0.3">
      <c r="A567" t="s">
        <v>565</v>
      </c>
      <c r="B567" t="str" cm="1">
        <f t="array" ref="B567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redcedar"},A567)),0)),"")</f>
        <v>Western larch</v>
      </c>
      <c r="C567" t="str" cm="1">
        <f t="array" ref="C567">IFERROR(INDEX({"Ridgetop","Other"},MATCH(TRUE,ISNUMBER(SEARCH({"Ridgetop","Other"},A567)),0)),"")</f>
        <v>Other</v>
      </c>
      <c r="D567" t="str" cm="1">
        <f t="array" ref="D567">IFERROR(INDEX({"Small","Medium","Large"},MATCH(TRUE,ISNUMBER(SEARCH({"Small","Medium","Large"},A567)),0)),"")</f>
        <v>Large</v>
      </c>
      <c r="E567" t="str">
        <f t="shared" si="8"/>
        <v>0.034</v>
      </c>
    </row>
    <row r="568" spans="1:5" x14ac:dyDescent="0.3">
      <c r="A568" t="s">
        <v>566</v>
      </c>
      <c r="B568" t="str" cm="1">
        <f t="array" ref="B568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redcedar"},A568)),0)),"")</f>
        <v>Western larch</v>
      </c>
      <c r="C568" t="str" cm="1">
        <f t="array" ref="C568">IFERROR(INDEX({"Ridgetop","Other"},MATCH(TRUE,ISNUMBER(SEARCH({"Ridgetop","Other"},A568)),0)),"")</f>
        <v>Ridgetop</v>
      </c>
      <c r="D568" t="str" cm="1">
        <f t="array" ref="D568">IFERROR(INDEX({"Small","Medium","Large"},MATCH(TRUE,ISNUMBER(SEARCH({"Small","Medium","Large"},A568)),0)),"")</f>
        <v>Small</v>
      </c>
      <c r="E568" t="str">
        <f t="shared" si="8"/>
        <v>0.124</v>
      </c>
    </row>
    <row r="569" spans="1:5" x14ac:dyDescent="0.3">
      <c r="A569" t="s">
        <v>567</v>
      </c>
      <c r="B569" t="str" cm="1">
        <f t="array" ref="B569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redcedar"},A569)),0)),"")</f>
        <v>Western larch</v>
      </c>
      <c r="C569" t="str" cm="1">
        <f t="array" ref="C569">IFERROR(INDEX({"Ridgetop","Other"},MATCH(TRUE,ISNUMBER(SEARCH({"Ridgetop","Other"},A569)),0)),"")</f>
        <v>Ridgetop</v>
      </c>
      <c r="D569" t="str" cm="1">
        <f t="array" ref="D569">IFERROR(INDEX({"Small","Medium","Large"},MATCH(TRUE,ISNUMBER(SEARCH({"Small","Medium","Large"},A569)),0)),"")</f>
        <v>Medium</v>
      </c>
      <c r="E569" t="str">
        <f t="shared" si="8"/>
        <v>0.064</v>
      </c>
    </row>
    <row r="570" spans="1:5" x14ac:dyDescent="0.3">
      <c r="A570" t="s">
        <v>568</v>
      </c>
      <c r="B570" t="str" cm="1">
        <f t="array" ref="B570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redcedar"},A570)),0)),"")</f>
        <v>Western larch</v>
      </c>
      <c r="C570" t="str" cm="1">
        <f t="array" ref="C570">IFERROR(INDEX({"Ridgetop","Other"},MATCH(TRUE,ISNUMBER(SEARCH({"Ridgetop","Other"},A570)),0)),"")</f>
        <v>Ridgetop</v>
      </c>
      <c r="D570" t="str" cm="1">
        <f t="array" ref="D570">IFERROR(INDEX({"Small","Medium","Large"},MATCH(TRUE,ISNUMBER(SEARCH({"Small","Medium","Large"},A570)),0)),"")</f>
        <v>Large</v>
      </c>
      <c r="E570" t="str">
        <f t="shared" si="8"/>
        <v>0.056</v>
      </c>
    </row>
    <row r="571" spans="1:5" x14ac:dyDescent="0.3">
      <c r="A571" t="s">
        <v>569</v>
      </c>
      <c r="B571" t="str" cm="1">
        <f t="array" ref="B571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redcedar"},A571)),0)),"")</f>
        <v>Western larch</v>
      </c>
      <c r="C571" t="str" cm="1">
        <f t="array" ref="C571">IFERROR(INDEX({"Ridgetop","Other"},MATCH(TRUE,ISNUMBER(SEARCH({"Ridgetop","Other"},A571)),0)),"")</f>
        <v>Ridgetop</v>
      </c>
      <c r="D571" t="str" cm="1">
        <f t="array" ref="D571">IFERROR(INDEX({"Small","Medium","Large"},MATCH(TRUE,ISNUMBER(SEARCH({"Small","Medium","Large"},A571)),0)),"")</f>
        <v>Small</v>
      </c>
      <c r="E571" t="str">
        <f t="shared" si="8"/>
        <v>0.124</v>
      </c>
    </row>
    <row r="572" spans="1:5" x14ac:dyDescent="0.3">
      <c r="A572" t="s">
        <v>570</v>
      </c>
      <c r="B572" t="str" cm="1">
        <f t="array" ref="B572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redcedar"},A572)),0)),"")</f>
        <v>Western larch</v>
      </c>
      <c r="C572" t="str" cm="1">
        <f t="array" ref="C572">IFERROR(INDEX({"Ridgetop","Other"},MATCH(TRUE,ISNUMBER(SEARCH({"Ridgetop","Other"},A572)),0)),"")</f>
        <v>Ridgetop</v>
      </c>
      <c r="D572" t="str" cm="1">
        <f t="array" ref="D572">IFERROR(INDEX({"Small","Medium","Large"},MATCH(TRUE,ISNUMBER(SEARCH({"Small","Medium","Large"},A572)),0)),"")</f>
        <v>Medium</v>
      </c>
      <c r="E572" t="str">
        <f t="shared" si="8"/>
        <v>0.064</v>
      </c>
    </row>
    <row r="573" spans="1:5" x14ac:dyDescent="0.3">
      <c r="A573" t="s">
        <v>571</v>
      </c>
      <c r="B573" t="str" cm="1">
        <f t="array" ref="B573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redcedar"},A573)),0)),"")</f>
        <v>Western larch</v>
      </c>
      <c r="C573" t="str" cm="1">
        <f t="array" ref="C573">IFERROR(INDEX({"Ridgetop","Other"},MATCH(TRUE,ISNUMBER(SEARCH({"Ridgetop","Other"},A573)),0)),"")</f>
        <v>Ridgetop</v>
      </c>
      <c r="D573" t="str" cm="1">
        <f t="array" ref="D573">IFERROR(INDEX({"Small","Medium","Large"},MATCH(TRUE,ISNUMBER(SEARCH({"Small","Medium","Large"},A573)),0)),"")</f>
        <v>Large</v>
      </c>
      <c r="E573" t="str">
        <f t="shared" si="8"/>
        <v>0.056</v>
      </c>
    </row>
    <row r="574" spans="1:5" x14ac:dyDescent="0.3">
      <c r="A574" t="s">
        <v>572</v>
      </c>
      <c r="B574" t="str" cm="1">
        <f t="array" ref="B574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redcedar"},A574)),0)),"")</f>
        <v>Western larch</v>
      </c>
      <c r="C574" t="str" cm="1">
        <f t="array" ref="C574">IFERROR(INDEX({"Ridgetop","Other"},MATCH(TRUE,ISNUMBER(SEARCH({"Ridgetop","Other"},A574)),0)),"")</f>
        <v>Ridgetop</v>
      </c>
      <c r="D574" t="str" cm="1">
        <f t="array" ref="D574">IFERROR(INDEX({"Small","Medium","Large"},MATCH(TRUE,ISNUMBER(SEARCH({"Small","Medium","Large"},A574)),0)),"")</f>
        <v>Small</v>
      </c>
      <c r="E574" t="str">
        <f t="shared" si="8"/>
        <v>0.124</v>
      </c>
    </row>
    <row r="575" spans="1:5" x14ac:dyDescent="0.3">
      <c r="A575" t="s">
        <v>573</v>
      </c>
      <c r="B575" t="str" cm="1">
        <f t="array" ref="B575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redcedar"},A575)),0)),"")</f>
        <v>Western larch</v>
      </c>
      <c r="C575" t="str" cm="1">
        <f t="array" ref="C575">IFERROR(INDEX({"Ridgetop","Other"},MATCH(TRUE,ISNUMBER(SEARCH({"Ridgetop","Other"},A575)),0)),"")</f>
        <v>Ridgetop</v>
      </c>
      <c r="D575" t="str" cm="1">
        <f t="array" ref="D575">IFERROR(INDEX({"Small","Medium","Large"},MATCH(TRUE,ISNUMBER(SEARCH({"Small","Medium","Large"},A575)),0)),"")</f>
        <v>Medium</v>
      </c>
      <c r="E575" t="str">
        <f t="shared" si="8"/>
        <v>0.064</v>
      </c>
    </row>
    <row r="576" spans="1:5" x14ac:dyDescent="0.3">
      <c r="A576" t="s">
        <v>574</v>
      </c>
      <c r="B576" t="str" cm="1">
        <f t="array" ref="B576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redcedar"},A576)),0)),"")</f>
        <v>Western larch</v>
      </c>
      <c r="C576" t="str" cm="1">
        <f t="array" ref="C576">IFERROR(INDEX({"Ridgetop","Other"},MATCH(TRUE,ISNUMBER(SEARCH({"Ridgetop","Other"},A576)),0)),"")</f>
        <v>Ridgetop</v>
      </c>
      <c r="D576" t="str" cm="1">
        <f t="array" ref="D576">IFERROR(INDEX({"Small","Medium","Large"},MATCH(TRUE,ISNUMBER(SEARCH({"Small","Medium","Large"},A576)),0)),"")</f>
        <v>Large</v>
      </c>
      <c r="E576" t="str">
        <f t="shared" si="8"/>
        <v>0.056</v>
      </c>
    </row>
    <row r="577" spans="1:5" x14ac:dyDescent="0.3">
      <c r="A577" t="s">
        <v>575</v>
      </c>
      <c r="B577" t="str" cm="1">
        <f t="array" ref="B577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redcedar"},A577)),0)),"")</f>
        <v>Western larch</v>
      </c>
      <c r="C577" t="str" cm="1">
        <f t="array" ref="C577">IFERROR(INDEX({"Ridgetop","Other"},MATCH(TRUE,ISNUMBER(SEARCH({"Ridgetop","Other"},A577)),0)),"")</f>
        <v>Other</v>
      </c>
      <c r="D577" t="str" cm="1">
        <f t="array" ref="D577">IFERROR(INDEX({"Small","Medium","Large"},MATCH(TRUE,ISNUMBER(SEARCH({"Small","Medium","Large"},A577)),0)),"")</f>
        <v>Small</v>
      </c>
      <c r="E577" t="str">
        <f t="shared" si="8"/>
        <v>0.056</v>
      </c>
    </row>
    <row r="578" spans="1:5" x14ac:dyDescent="0.3">
      <c r="A578" t="s">
        <v>576</v>
      </c>
      <c r="B578" t="str" cm="1">
        <f t="array" ref="B578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redcedar"},A578)),0)),"")</f>
        <v>Western larch</v>
      </c>
      <c r="C578" t="str" cm="1">
        <f t="array" ref="C578">IFERROR(INDEX({"Ridgetop","Other"},MATCH(TRUE,ISNUMBER(SEARCH({"Ridgetop","Other"},A578)),0)),"")</f>
        <v>Other</v>
      </c>
      <c r="D578" t="str" cm="1">
        <f t="array" ref="D578">IFERROR(INDEX({"Small","Medium","Large"},MATCH(TRUE,ISNUMBER(SEARCH({"Small","Medium","Large"},A578)),0)),"")</f>
        <v>Medium</v>
      </c>
      <c r="E578" t="str">
        <f t="shared" si="8"/>
        <v>0.029</v>
      </c>
    </row>
    <row r="579" spans="1:5" x14ac:dyDescent="0.3">
      <c r="A579" t="s">
        <v>577</v>
      </c>
      <c r="B579" t="str" cm="1">
        <f t="array" ref="B579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redcedar"},A579)),0)),"")</f>
        <v>Western larch</v>
      </c>
      <c r="C579" t="str" cm="1">
        <f t="array" ref="C579">IFERROR(INDEX({"Ridgetop","Other"},MATCH(TRUE,ISNUMBER(SEARCH({"Ridgetop","Other"},A579)),0)),"")</f>
        <v>Other</v>
      </c>
      <c r="D579" t="str" cm="1">
        <f t="array" ref="D579">IFERROR(INDEX({"Small","Medium","Large"},MATCH(TRUE,ISNUMBER(SEARCH({"Small","Medium","Large"},A579)),0)),"")</f>
        <v>Large</v>
      </c>
      <c r="E579" t="str">
        <f t="shared" ref="E579:E642" si="9">RIGHT(A579,LEN(A579)-FIND("@",SUBSTITUTE(A579," ","@",LEN(A579)-LEN(SUBSTITUTE(A579," ","")))))</f>
        <v>0.025</v>
      </c>
    </row>
    <row r="580" spans="1:5" x14ac:dyDescent="0.3">
      <c r="A580" t="s">
        <v>578</v>
      </c>
      <c r="B580" t="str" cm="1">
        <f t="array" ref="B580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redcedar"},A580)),0)),"")</f>
        <v>Western larch</v>
      </c>
      <c r="C580" t="str" cm="1">
        <f t="array" ref="C580">IFERROR(INDEX({"Ridgetop","Other"},MATCH(TRUE,ISNUMBER(SEARCH({"Ridgetop","Other"},A580)),0)),"")</f>
        <v>Other</v>
      </c>
      <c r="D580" t="str" cm="1">
        <f t="array" ref="D580">IFERROR(INDEX({"Small","Medium","Large"},MATCH(TRUE,ISNUMBER(SEARCH({"Small","Medium","Large"},A580)),0)),"")</f>
        <v>Small</v>
      </c>
      <c r="E580" t="str">
        <f t="shared" si="9"/>
        <v>0.062</v>
      </c>
    </row>
    <row r="581" spans="1:5" x14ac:dyDescent="0.3">
      <c r="A581" t="s">
        <v>579</v>
      </c>
      <c r="B581" t="str" cm="1">
        <f t="array" ref="B581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redcedar"},A581)),0)),"")</f>
        <v>Western larch</v>
      </c>
      <c r="C581" t="str" cm="1">
        <f t="array" ref="C581">IFERROR(INDEX({"Ridgetop","Other"},MATCH(TRUE,ISNUMBER(SEARCH({"Ridgetop","Other"},A581)),0)),"")</f>
        <v>Other</v>
      </c>
      <c r="D581" t="str" cm="1">
        <f t="array" ref="D581">IFERROR(INDEX({"Small","Medium","Large"},MATCH(TRUE,ISNUMBER(SEARCH({"Small","Medium","Large"},A581)),0)),"")</f>
        <v>Medium</v>
      </c>
      <c r="E581" t="str">
        <f t="shared" si="9"/>
        <v>0.032</v>
      </c>
    </row>
    <row r="582" spans="1:5" x14ac:dyDescent="0.3">
      <c r="A582" t="s">
        <v>580</v>
      </c>
      <c r="B582" t="str" cm="1">
        <f t="array" ref="B582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redcedar"},A582)),0)),"")</f>
        <v>Western larch</v>
      </c>
      <c r="C582" t="str" cm="1">
        <f t="array" ref="C582">IFERROR(INDEX({"Ridgetop","Other"},MATCH(TRUE,ISNUMBER(SEARCH({"Ridgetop","Other"},A582)),0)),"")</f>
        <v>Other</v>
      </c>
      <c r="D582" t="str" cm="1">
        <f t="array" ref="D582">IFERROR(INDEX({"Small","Medium","Large"},MATCH(TRUE,ISNUMBER(SEARCH({"Small","Medium","Large"},A582)),0)),"")</f>
        <v>Large</v>
      </c>
      <c r="E582" t="str">
        <f t="shared" si="9"/>
        <v>0.028</v>
      </c>
    </row>
    <row r="583" spans="1:5" x14ac:dyDescent="0.3">
      <c r="A583" t="s">
        <v>581</v>
      </c>
      <c r="B583" t="str" cm="1">
        <f t="array" ref="B583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redcedar"},A583)),0)),"")</f>
        <v>Western larch</v>
      </c>
      <c r="C583" t="str" cm="1">
        <f t="array" ref="C583">IFERROR(INDEX({"Ridgetop","Other"},MATCH(TRUE,ISNUMBER(SEARCH({"Ridgetop","Other"},A583)),0)),"")</f>
        <v>Other</v>
      </c>
      <c r="D583" t="str" cm="1">
        <f t="array" ref="D583">IFERROR(INDEX({"Small","Medium","Large"},MATCH(TRUE,ISNUMBER(SEARCH({"Small","Medium","Large"},A583)),0)),"")</f>
        <v>Small</v>
      </c>
      <c r="E583" t="str">
        <f t="shared" si="9"/>
        <v>0.074</v>
      </c>
    </row>
    <row r="584" spans="1:5" x14ac:dyDescent="0.3">
      <c r="A584" t="s">
        <v>582</v>
      </c>
      <c r="B584" t="str" cm="1">
        <f t="array" ref="B584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redcedar"},A584)),0)),"")</f>
        <v>Western larch</v>
      </c>
      <c r="C584" t="str" cm="1">
        <f t="array" ref="C584">IFERROR(INDEX({"Ridgetop","Other"},MATCH(TRUE,ISNUMBER(SEARCH({"Ridgetop","Other"},A584)),0)),"")</f>
        <v>Other</v>
      </c>
      <c r="D584" t="str" cm="1">
        <f t="array" ref="D584">IFERROR(INDEX({"Small","Medium","Large"},MATCH(TRUE,ISNUMBER(SEARCH({"Small","Medium","Large"},A584)),0)),"")</f>
        <v>Medium</v>
      </c>
      <c r="E584" t="str">
        <f t="shared" si="9"/>
        <v>0.038</v>
      </c>
    </row>
    <row r="585" spans="1:5" x14ac:dyDescent="0.3">
      <c r="A585" t="s">
        <v>583</v>
      </c>
      <c r="B585" t="str" cm="1">
        <f t="array" ref="B585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redcedar"},A585)),0)),"")</f>
        <v>Western larch</v>
      </c>
      <c r="C585" t="str" cm="1">
        <f t="array" ref="C585">IFERROR(INDEX({"Ridgetop","Other"},MATCH(TRUE,ISNUMBER(SEARCH({"Ridgetop","Other"},A585)),0)),"")</f>
        <v>Other</v>
      </c>
      <c r="D585" t="str" cm="1">
        <f t="array" ref="D585">IFERROR(INDEX({"Small","Medium","Large"},MATCH(TRUE,ISNUMBER(SEARCH({"Small","Medium","Large"},A585)),0)),"")</f>
        <v>Large</v>
      </c>
      <c r="E585" t="str">
        <f t="shared" si="9"/>
        <v>0.034</v>
      </c>
    </row>
    <row r="586" spans="1:5" x14ac:dyDescent="0.3">
      <c r="A586" t="s">
        <v>584</v>
      </c>
      <c r="B586" t="str" cm="1">
        <f t="array" ref="B586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redcedar"},A586)),0)),"")</f>
        <v>Western larch</v>
      </c>
      <c r="C586" t="str" cm="1">
        <f t="array" ref="C586">IFERROR(INDEX({"Ridgetop","Other"},MATCH(TRUE,ISNUMBER(SEARCH({"Ridgetop","Other"},A586)),0)),"")</f>
        <v>Ridgetop</v>
      </c>
      <c r="D586" t="str" cm="1">
        <f t="array" ref="D586">IFERROR(INDEX({"Small","Medium","Large"},MATCH(TRUE,ISNUMBER(SEARCH({"Small","Medium","Large"},A586)),0)),"")</f>
        <v>Small</v>
      </c>
      <c r="E586" t="str">
        <f t="shared" si="9"/>
        <v>0.105</v>
      </c>
    </row>
    <row r="587" spans="1:5" x14ac:dyDescent="0.3">
      <c r="A587" t="s">
        <v>585</v>
      </c>
      <c r="B587" t="str" cm="1">
        <f t="array" ref="B587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redcedar"},A587)),0)),"")</f>
        <v>Western larch</v>
      </c>
      <c r="C587" t="str" cm="1">
        <f t="array" ref="C587">IFERROR(INDEX({"Ridgetop","Other"},MATCH(TRUE,ISNUMBER(SEARCH({"Ridgetop","Other"},A587)),0)),"")</f>
        <v>Ridgetop</v>
      </c>
      <c r="D587" t="str" cm="1">
        <f t="array" ref="D587">IFERROR(INDEX({"Small","Medium","Large"},MATCH(TRUE,ISNUMBER(SEARCH({"Small","Medium","Large"},A587)),0)),"")</f>
        <v>Medium</v>
      </c>
      <c r="E587" t="str">
        <f t="shared" si="9"/>
        <v>0.054</v>
      </c>
    </row>
    <row r="588" spans="1:5" x14ac:dyDescent="0.3">
      <c r="A588" t="s">
        <v>586</v>
      </c>
      <c r="B588" t="str" cm="1">
        <f t="array" ref="B588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redcedar"},A588)),0)),"")</f>
        <v>Western larch</v>
      </c>
      <c r="C588" t="str" cm="1">
        <f t="array" ref="C588">IFERROR(INDEX({"Ridgetop","Other"},MATCH(TRUE,ISNUMBER(SEARCH({"Ridgetop","Other"},A588)),0)),"")</f>
        <v>Ridgetop</v>
      </c>
      <c r="D588" t="str" cm="1">
        <f t="array" ref="D588">IFERROR(INDEX({"Small","Medium","Large"},MATCH(TRUE,ISNUMBER(SEARCH({"Small","Medium","Large"},A588)),0)),"")</f>
        <v>Large</v>
      </c>
      <c r="E588" t="str">
        <f t="shared" si="9"/>
        <v>0.048</v>
      </c>
    </row>
    <row r="589" spans="1:5" x14ac:dyDescent="0.3">
      <c r="A589" t="s">
        <v>587</v>
      </c>
      <c r="B589" t="str" cm="1">
        <f t="array" ref="B589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redcedar"},A589)),0)),"")</f>
        <v>Western larch</v>
      </c>
      <c r="C589" t="str" cm="1">
        <f t="array" ref="C589">IFERROR(INDEX({"Ridgetop","Other"},MATCH(TRUE,ISNUMBER(SEARCH({"Ridgetop","Other"},A589)),0)),"")</f>
        <v>Ridgetop</v>
      </c>
      <c r="D589" t="str" cm="1">
        <f t="array" ref="D589">IFERROR(INDEX({"Small","Medium","Large"},MATCH(TRUE,ISNUMBER(SEARCH({"Small","Medium","Large"},A589)),0)),"")</f>
        <v>Small</v>
      </c>
      <c r="E589" t="str">
        <f t="shared" si="9"/>
        <v>0.105</v>
      </c>
    </row>
    <row r="590" spans="1:5" x14ac:dyDescent="0.3">
      <c r="A590" t="s">
        <v>588</v>
      </c>
      <c r="B590" t="str" cm="1">
        <f t="array" ref="B590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redcedar"},A590)),0)),"")</f>
        <v>Western larch</v>
      </c>
      <c r="C590" t="str" cm="1">
        <f t="array" ref="C590">IFERROR(INDEX({"Ridgetop","Other"},MATCH(TRUE,ISNUMBER(SEARCH({"Ridgetop","Other"},A590)),0)),"")</f>
        <v>Ridgetop</v>
      </c>
      <c r="D590" t="str" cm="1">
        <f t="array" ref="D590">IFERROR(INDEX({"Small","Medium","Large"},MATCH(TRUE,ISNUMBER(SEARCH({"Small","Medium","Large"},A590)),0)),"")</f>
        <v>Medium</v>
      </c>
      <c r="E590" t="str">
        <f t="shared" si="9"/>
        <v>0.054</v>
      </c>
    </row>
    <row r="591" spans="1:5" x14ac:dyDescent="0.3">
      <c r="A591" t="s">
        <v>589</v>
      </c>
      <c r="B591" t="str" cm="1">
        <f t="array" ref="B591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redcedar"},A591)),0)),"")</f>
        <v>Western larch</v>
      </c>
      <c r="C591" t="str" cm="1">
        <f t="array" ref="C591">IFERROR(INDEX({"Ridgetop","Other"},MATCH(TRUE,ISNUMBER(SEARCH({"Ridgetop","Other"},A591)),0)),"")</f>
        <v>Ridgetop</v>
      </c>
      <c r="D591" t="str" cm="1">
        <f t="array" ref="D591">IFERROR(INDEX({"Small","Medium","Large"},MATCH(TRUE,ISNUMBER(SEARCH({"Small","Medium","Large"},A591)),0)),"")</f>
        <v>Large</v>
      </c>
      <c r="E591" t="str">
        <f t="shared" si="9"/>
        <v>0.048</v>
      </c>
    </row>
    <row r="592" spans="1:5" x14ac:dyDescent="0.3">
      <c r="A592" t="s">
        <v>590</v>
      </c>
      <c r="B592" t="str" cm="1">
        <f t="array" ref="B592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redcedar"},A592)),0)),"")</f>
        <v>Western larch</v>
      </c>
      <c r="C592" t="str" cm="1">
        <f t="array" ref="C592">IFERROR(INDEX({"Ridgetop","Other"},MATCH(TRUE,ISNUMBER(SEARCH({"Ridgetop","Other"},A592)),0)),"")</f>
        <v>Ridgetop</v>
      </c>
      <c r="D592" t="str" cm="1">
        <f t="array" ref="D592">IFERROR(INDEX({"Small","Medium","Large"},MATCH(TRUE,ISNUMBER(SEARCH({"Small","Medium","Large"},A592)),0)),"")</f>
        <v>Small</v>
      </c>
      <c r="E592" t="str">
        <f t="shared" si="9"/>
        <v>0.112</v>
      </c>
    </row>
    <row r="593" spans="1:5" x14ac:dyDescent="0.3">
      <c r="A593" t="s">
        <v>591</v>
      </c>
      <c r="B593" t="str" cm="1">
        <f t="array" ref="B593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redcedar"},A593)),0)),"")</f>
        <v>Western larch</v>
      </c>
      <c r="C593" t="str" cm="1">
        <f t="array" ref="C593">IFERROR(INDEX({"Ridgetop","Other"},MATCH(TRUE,ISNUMBER(SEARCH({"Ridgetop","Other"},A593)),0)),"")</f>
        <v>Ridgetop</v>
      </c>
      <c r="D593" t="str" cm="1">
        <f t="array" ref="D593">IFERROR(INDEX({"Small","Medium","Large"},MATCH(TRUE,ISNUMBER(SEARCH({"Small","Medium","Large"},A593)),0)),"")</f>
        <v>Medium</v>
      </c>
      <c r="E593" t="str">
        <f t="shared" si="9"/>
        <v>0.058</v>
      </c>
    </row>
    <row r="594" spans="1:5" x14ac:dyDescent="0.3">
      <c r="A594" t="s">
        <v>592</v>
      </c>
      <c r="B594" t="str" cm="1">
        <f t="array" ref="B594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redcedar"},A594)),0)),"")</f>
        <v>Western larch</v>
      </c>
      <c r="C594" t="str" cm="1">
        <f t="array" ref="C594">IFERROR(INDEX({"Ridgetop","Other"},MATCH(TRUE,ISNUMBER(SEARCH({"Ridgetop","Other"},A594)),0)),"")</f>
        <v>Ridgetop</v>
      </c>
      <c r="D594" t="str" cm="1">
        <f t="array" ref="D594">IFERROR(INDEX({"Small","Medium","Large"},MATCH(TRUE,ISNUMBER(SEARCH({"Small","Medium","Large"},A594)),0)),"")</f>
        <v>Large</v>
      </c>
      <c r="E594" t="str">
        <f t="shared" si="9"/>
        <v>0.050</v>
      </c>
    </row>
    <row r="595" spans="1:5" x14ac:dyDescent="0.3">
      <c r="A595" t="s">
        <v>593</v>
      </c>
      <c r="B595" t="str" cm="1">
        <f t="array" ref="B595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redcedar"},A595)),0)),"")</f>
        <v>Western larch</v>
      </c>
      <c r="C595" t="str" cm="1">
        <f t="array" ref="C595">IFERROR(INDEX({"Ridgetop","Other"},MATCH(TRUE,ISNUMBER(SEARCH({"Ridgetop","Other"},A595)),0)),"")</f>
        <v>Other</v>
      </c>
      <c r="D595" t="str" cm="1">
        <f t="array" ref="D595">IFERROR(INDEX({"Small","Medium","Large"},MATCH(TRUE,ISNUMBER(SEARCH({"Small","Medium","Large"},A595)),0)),"")</f>
        <v>Small</v>
      </c>
      <c r="E595" t="str">
        <f t="shared" si="9"/>
        <v>0.068</v>
      </c>
    </row>
    <row r="596" spans="1:5" x14ac:dyDescent="0.3">
      <c r="A596" t="s">
        <v>594</v>
      </c>
      <c r="B596" t="str" cm="1">
        <f t="array" ref="B596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redcedar"},A596)),0)),"")</f>
        <v>Western larch</v>
      </c>
      <c r="C596" t="str" cm="1">
        <f t="array" ref="C596">IFERROR(INDEX({"Ridgetop","Other"},MATCH(TRUE,ISNUMBER(SEARCH({"Ridgetop","Other"},A596)),0)),"")</f>
        <v>Other</v>
      </c>
      <c r="D596" t="str" cm="1">
        <f t="array" ref="D596">IFERROR(INDEX({"Small","Medium","Large"},MATCH(TRUE,ISNUMBER(SEARCH({"Small","Medium","Large"},A596)),0)),"")</f>
        <v>Medium</v>
      </c>
      <c r="E596" t="str">
        <f t="shared" si="9"/>
        <v>0.035</v>
      </c>
    </row>
    <row r="597" spans="1:5" x14ac:dyDescent="0.3">
      <c r="A597" t="s">
        <v>595</v>
      </c>
      <c r="B597" t="str" cm="1">
        <f t="array" ref="B597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redcedar"},A597)),0)),"")</f>
        <v>Western larch</v>
      </c>
      <c r="C597" t="str" cm="1">
        <f t="array" ref="C597">IFERROR(INDEX({"Ridgetop","Other"},MATCH(TRUE,ISNUMBER(SEARCH({"Ridgetop","Other"},A597)),0)),"")</f>
        <v>Other</v>
      </c>
      <c r="D597" t="str" cm="1">
        <f t="array" ref="D597">IFERROR(INDEX({"Small","Medium","Large"},MATCH(TRUE,ISNUMBER(SEARCH({"Small","Medium","Large"},A597)),0)),"")</f>
        <v>Large</v>
      </c>
      <c r="E597" t="str">
        <f t="shared" si="9"/>
        <v>0.031</v>
      </c>
    </row>
    <row r="598" spans="1:5" x14ac:dyDescent="0.3">
      <c r="A598" t="s">
        <v>596</v>
      </c>
      <c r="B598" t="str" cm="1">
        <f t="array" ref="B598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redcedar"},A598)),0)),"")</f>
        <v>Western larch</v>
      </c>
      <c r="C598" t="str" cm="1">
        <f t="array" ref="C598">IFERROR(INDEX({"Ridgetop","Other"},MATCH(TRUE,ISNUMBER(SEARCH({"Ridgetop","Other"},A598)),0)),"")</f>
        <v>Other</v>
      </c>
      <c r="D598" t="str" cm="1">
        <f t="array" ref="D598">IFERROR(INDEX({"Small","Medium","Large"},MATCH(TRUE,ISNUMBER(SEARCH({"Small","Medium","Large"},A598)),0)),"")</f>
        <v>Small</v>
      </c>
      <c r="E598" t="str">
        <f t="shared" si="9"/>
        <v>0.074</v>
      </c>
    </row>
    <row r="599" spans="1:5" x14ac:dyDescent="0.3">
      <c r="A599" t="s">
        <v>597</v>
      </c>
      <c r="B599" t="str" cm="1">
        <f t="array" ref="B599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redcedar"},A599)),0)),"")</f>
        <v>Western larch</v>
      </c>
      <c r="C599" t="str" cm="1">
        <f t="array" ref="C599">IFERROR(INDEX({"Ridgetop","Other"},MATCH(TRUE,ISNUMBER(SEARCH({"Ridgetop","Other"},A599)),0)),"")</f>
        <v>Other</v>
      </c>
      <c r="D599" t="str" cm="1">
        <f t="array" ref="D599">IFERROR(INDEX({"Small","Medium","Large"},MATCH(TRUE,ISNUMBER(SEARCH({"Small","Medium","Large"},A599)),0)),"")</f>
        <v>Medium</v>
      </c>
      <c r="E599" t="str">
        <f t="shared" si="9"/>
        <v>0.038</v>
      </c>
    </row>
    <row r="600" spans="1:5" x14ac:dyDescent="0.3">
      <c r="A600" t="s">
        <v>598</v>
      </c>
      <c r="B600" t="str" cm="1">
        <f t="array" ref="B600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redcedar"},A600)),0)),"")</f>
        <v>Western larch</v>
      </c>
      <c r="C600" t="str" cm="1">
        <f t="array" ref="C600">IFERROR(INDEX({"Ridgetop","Other"},MATCH(TRUE,ISNUMBER(SEARCH({"Ridgetop","Other"},A600)),0)),"")</f>
        <v>Other</v>
      </c>
      <c r="D600" t="str" cm="1">
        <f t="array" ref="D600">IFERROR(INDEX({"Small","Medium","Large"},MATCH(TRUE,ISNUMBER(SEARCH({"Small","Medium","Large"},A600)),0)),"")</f>
        <v>Large</v>
      </c>
      <c r="E600" t="str">
        <f t="shared" si="9"/>
        <v>0.034</v>
      </c>
    </row>
    <row r="601" spans="1:5" x14ac:dyDescent="0.3">
      <c r="A601" t="s">
        <v>599</v>
      </c>
      <c r="B601" t="str" cm="1">
        <f t="array" ref="B601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redcedar"},A601)),0)),"")</f>
        <v>Western larch</v>
      </c>
      <c r="C601" t="str" cm="1">
        <f t="array" ref="C601">IFERROR(INDEX({"Ridgetop","Other"},MATCH(TRUE,ISNUMBER(SEARCH({"Ridgetop","Other"},A601)),0)),"")</f>
        <v>Other</v>
      </c>
      <c r="D601" t="str" cm="1">
        <f t="array" ref="D601">IFERROR(INDEX({"Small","Medium","Large"},MATCH(TRUE,ISNUMBER(SEARCH({"Small","Medium","Large"},A601)),0)),"")</f>
        <v>Small</v>
      </c>
      <c r="E601" t="str">
        <f t="shared" si="9"/>
        <v>0.074</v>
      </c>
    </row>
    <row r="602" spans="1:5" x14ac:dyDescent="0.3">
      <c r="A602" t="s">
        <v>600</v>
      </c>
      <c r="B602" t="str" cm="1">
        <f t="array" ref="B602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redcedar"},A602)),0)),"")</f>
        <v>Western larch</v>
      </c>
      <c r="C602" t="str" cm="1">
        <f t="array" ref="C602">IFERROR(INDEX({"Ridgetop","Other"},MATCH(TRUE,ISNUMBER(SEARCH({"Ridgetop","Other"},A602)),0)),"")</f>
        <v>Other</v>
      </c>
      <c r="D602" t="str" cm="1">
        <f t="array" ref="D602">IFERROR(INDEX({"Small","Medium","Large"},MATCH(TRUE,ISNUMBER(SEARCH({"Small","Medium","Large"},A602)),0)),"")</f>
        <v>Medium</v>
      </c>
      <c r="E602" t="str">
        <f t="shared" si="9"/>
        <v>0.038</v>
      </c>
    </row>
    <row r="603" spans="1:5" x14ac:dyDescent="0.3">
      <c r="A603" t="s">
        <v>601</v>
      </c>
      <c r="B603" t="str" cm="1">
        <f t="array" ref="B603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redcedar"},A603)),0)),"")</f>
        <v>Western larch</v>
      </c>
      <c r="C603" t="str" cm="1">
        <f t="array" ref="C603">IFERROR(INDEX({"Ridgetop","Other"},MATCH(TRUE,ISNUMBER(SEARCH({"Ridgetop","Other"},A603)),0)),"")</f>
        <v>Other</v>
      </c>
      <c r="D603" t="str" cm="1">
        <f t="array" ref="D603">IFERROR(INDEX({"Small","Medium","Large"},MATCH(TRUE,ISNUMBER(SEARCH({"Small","Medium","Large"},A603)),0)),"")</f>
        <v>Large</v>
      </c>
      <c r="E603" t="str">
        <f t="shared" si="9"/>
        <v>0.034</v>
      </c>
    </row>
    <row r="604" spans="1:5" x14ac:dyDescent="0.3">
      <c r="A604" t="s">
        <v>602</v>
      </c>
      <c r="B604" t="str" cm="1">
        <f t="array" ref="B604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redcedar"},A604)),0)),"")</f>
        <v>Western larch</v>
      </c>
      <c r="C604" t="str" cm="1">
        <f t="array" ref="C604">IFERROR(INDEX({"Ridgetop","Other"},MATCH(TRUE,ISNUMBER(SEARCH({"Ridgetop","Other"},A604)),0)),"")</f>
        <v>Ridgetop</v>
      </c>
      <c r="D604" t="str" cm="1">
        <f t="array" ref="D604">IFERROR(INDEX({"Small","Medium","Large"},MATCH(TRUE,ISNUMBER(SEARCH({"Small","Medium","Large"},A604)),0)),"")</f>
        <v>Small</v>
      </c>
      <c r="E604" t="str">
        <f t="shared" si="9"/>
        <v>0.124</v>
      </c>
    </row>
    <row r="605" spans="1:5" x14ac:dyDescent="0.3">
      <c r="A605" t="s">
        <v>603</v>
      </c>
      <c r="B605" t="str" cm="1">
        <f t="array" ref="B605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redcedar"},A605)),0)),"")</f>
        <v>Western larch</v>
      </c>
      <c r="C605" t="str" cm="1">
        <f t="array" ref="C605">IFERROR(INDEX({"Ridgetop","Other"},MATCH(TRUE,ISNUMBER(SEARCH({"Ridgetop","Other"},A605)),0)),"")</f>
        <v>Ridgetop</v>
      </c>
      <c r="D605" t="str" cm="1">
        <f t="array" ref="D605">IFERROR(INDEX({"Small","Medium","Large"},MATCH(TRUE,ISNUMBER(SEARCH({"Small","Medium","Large"},A605)),0)),"")</f>
        <v>Medium</v>
      </c>
      <c r="E605" t="str">
        <f t="shared" si="9"/>
        <v>0.064</v>
      </c>
    </row>
    <row r="606" spans="1:5" x14ac:dyDescent="0.3">
      <c r="A606" t="s">
        <v>604</v>
      </c>
      <c r="B606" t="str" cm="1">
        <f t="array" ref="B606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redcedar"},A606)),0)),"")</f>
        <v>Western larch</v>
      </c>
      <c r="C606" t="str" cm="1">
        <f t="array" ref="C606">IFERROR(INDEX({"Ridgetop","Other"},MATCH(TRUE,ISNUMBER(SEARCH({"Ridgetop","Other"},A606)),0)),"")</f>
        <v>Ridgetop</v>
      </c>
      <c r="D606" t="str" cm="1">
        <f t="array" ref="D606">IFERROR(INDEX({"Small","Medium","Large"},MATCH(TRUE,ISNUMBER(SEARCH({"Small","Medium","Large"},A606)),0)),"")</f>
        <v>Large</v>
      </c>
      <c r="E606" t="str">
        <f t="shared" si="9"/>
        <v>0.056</v>
      </c>
    </row>
    <row r="607" spans="1:5" x14ac:dyDescent="0.3">
      <c r="A607" t="s">
        <v>605</v>
      </c>
      <c r="B607" t="str" cm="1">
        <f t="array" ref="B607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redcedar"},A607)),0)),"")</f>
        <v>Western larch</v>
      </c>
      <c r="C607" t="str" cm="1">
        <f t="array" ref="C607">IFERROR(INDEX({"Ridgetop","Other"},MATCH(TRUE,ISNUMBER(SEARCH({"Ridgetop","Other"},A607)),0)),"")</f>
        <v>Ridgetop</v>
      </c>
      <c r="D607" t="str" cm="1">
        <f t="array" ref="D607">IFERROR(INDEX({"Small","Medium","Large"},MATCH(TRUE,ISNUMBER(SEARCH({"Small","Medium","Large"},A607)),0)),"")</f>
        <v>Small</v>
      </c>
      <c r="E607" t="str">
        <f t="shared" si="9"/>
        <v>0.124</v>
      </c>
    </row>
    <row r="608" spans="1:5" x14ac:dyDescent="0.3">
      <c r="A608" t="s">
        <v>606</v>
      </c>
      <c r="B608" t="str" cm="1">
        <f t="array" ref="B608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redcedar"},A608)),0)),"")</f>
        <v>Western larch</v>
      </c>
      <c r="C608" t="str" cm="1">
        <f t="array" ref="C608">IFERROR(INDEX({"Ridgetop","Other"},MATCH(TRUE,ISNUMBER(SEARCH({"Ridgetop","Other"},A608)),0)),"")</f>
        <v>Ridgetop</v>
      </c>
      <c r="D608" t="str" cm="1">
        <f t="array" ref="D608">IFERROR(INDEX({"Small","Medium","Large"},MATCH(TRUE,ISNUMBER(SEARCH({"Small","Medium","Large"},A608)),0)),"")</f>
        <v>Medium</v>
      </c>
      <c r="E608" t="str">
        <f t="shared" si="9"/>
        <v>0.064</v>
      </c>
    </row>
    <row r="609" spans="1:5" x14ac:dyDescent="0.3">
      <c r="A609" t="s">
        <v>607</v>
      </c>
      <c r="B609" t="str" cm="1">
        <f t="array" ref="B609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redcedar"},A609)),0)),"")</f>
        <v>Western larch</v>
      </c>
      <c r="C609" t="str" cm="1">
        <f t="array" ref="C609">IFERROR(INDEX({"Ridgetop","Other"},MATCH(TRUE,ISNUMBER(SEARCH({"Ridgetop","Other"},A609)),0)),"")</f>
        <v>Ridgetop</v>
      </c>
      <c r="D609" t="str" cm="1">
        <f t="array" ref="D609">IFERROR(INDEX({"Small","Medium","Large"},MATCH(TRUE,ISNUMBER(SEARCH({"Small","Medium","Large"},A609)),0)),"")</f>
        <v>Large</v>
      </c>
      <c r="E609" t="str">
        <f t="shared" si="9"/>
        <v>0.056</v>
      </c>
    </row>
    <row r="610" spans="1:5" x14ac:dyDescent="0.3">
      <c r="A610" t="s">
        <v>608</v>
      </c>
      <c r="B610" t="str" cm="1">
        <f t="array" ref="B610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redcedar"},A610)),0)),"")</f>
        <v>Western larch</v>
      </c>
      <c r="C610" t="str" cm="1">
        <f t="array" ref="C610">IFERROR(INDEX({"Ridgetop","Other"},MATCH(TRUE,ISNUMBER(SEARCH({"Ridgetop","Other"},A610)),0)),"")</f>
        <v>Ridgetop</v>
      </c>
      <c r="D610" t="str" cm="1">
        <f t="array" ref="D610">IFERROR(INDEX({"Small","Medium","Large"},MATCH(TRUE,ISNUMBER(SEARCH({"Small","Medium","Large"},A610)),0)),"")</f>
        <v>Small</v>
      </c>
      <c r="E610" t="str">
        <f t="shared" si="9"/>
        <v>0.124</v>
      </c>
    </row>
    <row r="611" spans="1:5" x14ac:dyDescent="0.3">
      <c r="A611" t="s">
        <v>609</v>
      </c>
      <c r="B611" t="str" cm="1">
        <f t="array" ref="B611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redcedar"},A611)),0)),"")</f>
        <v>Western larch</v>
      </c>
      <c r="C611" t="str" cm="1">
        <f t="array" ref="C611">IFERROR(INDEX({"Ridgetop","Other"},MATCH(TRUE,ISNUMBER(SEARCH({"Ridgetop","Other"},A611)),0)),"")</f>
        <v>Ridgetop</v>
      </c>
      <c r="D611" t="str" cm="1">
        <f t="array" ref="D611">IFERROR(INDEX({"Small","Medium","Large"},MATCH(TRUE,ISNUMBER(SEARCH({"Small","Medium","Large"},A611)),0)),"")</f>
        <v>Medium</v>
      </c>
      <c r="E611" t="str">
        <f t="shared" si="9"/>
        <v>0.064</v>
      </c>
    </row>
    <row r="612" spans="1:5" x14ac:dyDescent="0.3">
      <c r="A612" t="s">
        <v>610</v>
      </c>
      <c r="B612" t="str" cm="1">
        <f t="array" ref="B612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redcedar"},A612)),0)),"")</f>
        <v>Western larch</v>
      </c>
      <c r="C612" t="str" cm="1">
        <f t="array" ref="C612">IFERROR(INDEX({"Ridgetop","Other"},MATCH(TRUE,ISNUMBER(SEARCH({"Ridgetop","Other"},A612)),0)),"")</f>
        <v>Ridgetop</v>
      </c>
      <c r="D612" t="str" cm="1">
        <f t="array" ref="D612">IFERROR(INDEX({"Small","Medium","Large"},MATCH(TRUE,ISNUMBER(SEARCH({"Small","Medium","Large"},A612)),0)),"")</f>
        <v>Large</v>
      </c>
      <c r="E612" t="str">
        <f t="shared" si="9"/>
        <v>0.056</v>
      </c>
    </row>
    <row r="613" spans="1:5" x14ac:dyDescent="0.3">
      <c r="A613" t="s">
        <v>611</v>
      </c>
      <c r="B613" t="str" cm="1">
        <f t="array" ref="B613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redcedar"},A613)),0)),"")</f>
        <v>Western larch</v>
      </c>
      <c r="C613" t="str" cm="1">
        <f t="array" ref="C613">IFERROR(INDEX({"Ridgetop","Other"},MATCH(TRUE,ISNUMBER(SEARCH({"Ridgetop","Other"},A613)),0)),"")</f>
        <v>Other</v>
      </c>
      <c r="D613" t="str" cm="1">
        <f t="array" ref="D613">IFERROR(INDEX({"Small","Medium","Large"},MATCH(TRUE,ISNUMBER(SEARCH({"Small","Medium","Large"},A613)),0)),"")</f>
        <v>Small</v>
      </c>
      <c r="E613" t="str">
        <f t="shared" si="9"/>
        <v>0.060</v>
      </c>
    </row>
    <row r="614" spans="1:5" x14ac:dyDescent="0.3">
      <c r="A614" t="s">
        <v>612</v>
      </c>
      <c r="B614" t="str" cm="1">
        <f t="array" ref="B614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redcedar"},A614)),0)),"")</f>
        <v>Western larch</v>
      </c>
      <c r="C614" t="str" cm="1">
        <f t="array" ref="C614">IFERROR(INDEX({"Ridgetop","Other"},MATCH(TRUE,ISNUMBER(SEARCH({"Ridgetop","Other"},A614)),0)),"")</f>
        <v>Other</v>
      </c>
      <c r="D614" t="str" cm="1">
        <f t="array" ref="D614">IFERROR(INDEX({"Small","Medium","Large"},MATCH(TRUE,ISNUMBER(SEARCH({"Small","Medium","Large"},A614)),0)),"")</f>
        <v>Medium</v>
      </c>
      <c r="E614" t="str">
        <f t="shared" si="9"/>
        <v>0.031</v>
      </c>
    </row>
    <row r="615" spans="1:5" x14ac:dyDescent="0.3">
      <c r="A615" t="s">
        <v>613</v>
      </c>
      <c r="B615" t="str" cm="1">
        <f t="array" ref="B615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redcedar"},A615)),0)),"")</f>
        <v>Western larch</v>
      </c>
      <c r="C615" t="str" cm="1">
        <f t="array" ref="C615">IFERROR(INDEX({"Ridgetop","Other"},MATCH(TRUE,ISNUMBER(SEARCH({"Ridgetop","Other"},A615)),0)),"")</f>
        <v>Other</v>
      </c>
      <c r="D615" t="str" cm="1">
        <f t="array" ref="D615">IFERROR(INDEX({"Small","Medium","Large"},MATCH(TRUE,ISNUMBER(SEARCH({"Small","Medium","Large"},A615)),0)),"")</f>
        <v>Large</v>
      </c>
      <c r="E615" t="str">
        <f t="shared" si="9"/>
        <v>0.027</v>
      </c>
    </row>
    <row r="616" spans="1:5" x14ac:dyDescent="0.3">
      <c r="A616" t="s">
        <v>614</v>
      </c>
      <c r="B616" t="str" cm="1">
        <f t="array" ref="B616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redcedar"},A616)),0)),"")</f>
        <v>Western larch</v>
      </c>
      <c r="C616" t="str" cm="1">
        <f t="array" ref="C616">IFERROR(INDEX({"Ridgetop","Other"},MATCH(TRUE,ISNUMBER(SEARCH({"Ridgetop","Other"},A616)),0)),"")</f>
        <v>Other</v>
      </c>
      <c r="D616" t="str" cm="1">
        <f t="array" ref="D616">IFERROR(INDEX({"Small","Medium","Large"},MATCH(TRUE,ISNUMBER(SEARCH({"Small","Medium","Large"},A616)),0)),"")</f>
        <v>Small</v>
      </c>
      <c r="E616" t="str">
        <f t="shared" si="9"/>
        <v>0.068</v>
      </c>
    </row>
    <row r="617" spans="1:5" x14ac:dyDescent="0.3">
      <c r="A617" t="s">
        <v>615</v>
      </c>
      <c r="B617" t="str" cm="1">
        <f t="array" ref="B617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redcedar"},A617)),0)),"")</f>
        <v>Western larch</v>
      </c>
      <c r="C617" t="str" cm="1">
        <f t="array" ref="C617">IFERROR(INDEX({"Ridgetop","Other"},MATCH(TRUE,ISNUMBER(SEARCH({"Ridgetop","Other"},A617)),0)),"")</f>
        <v>Other</v>
      </c>
      <c r="D617" t="str" cm="1">
        <f t="array" ref="D617">IFERROR(INDEX({"Small","Medium","Large"},MATCH(TRUE,ISNUMBER(SEARCH({"Small","Medium","Large"},A617)),0)),"")</f>
        <v>Medium</v>
      </c>
      <c r="E617" t="str">
        <f t="shared" si="9"/>
        <v>0.035</v>
      </c>
    </row>
    <row r="618" spans="1:5" x14ac:dyDescent="0.3">
      <c r="A618" t="s">
        <v>616</v>
      </c>
      <c r="B618" t="str" cm="1">
        <f t="array" ref="B618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redcedar"},A618)),0)),"")</f>
        <v>Western larch</v>
      </c>
      <c r="C618" t="str" cm="1">
        <f t="array" ref="C618">IFERROR(INDEX({"Ridgetop","Other"},MATCH(TRUE,ISNUMBER(SEARCH({"Ridgetop","Other"},A618)),0)),"")</f>
        <v>Other</v>
      </c>
      <c r="D618" t="str" cm="1">
        <f t="array" ref="D618">IFERROR(INDEX({"Small","Medium","Large"},MATCH(TRUE,ISNUMBER(SEARCH({"Small","Medium","Large"},A618)),0)),"")</f>
        <v>Large</v>
      </c>
      <c r="E618" t="str">
        <f t="shared" si="9"/>
        <v>0.031</v>
      </c>
    </row>
    <row r="619" spans="1:5" x14ac:dyDescent="0.3">
      <c r="A619" t="s">
        <v>617</v>
      </c>
      <c r="B619" t="str" cm="1">
        <f t="array" ref="B619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redcedar"},A619)),0)),"")</f>
        <v>Western larch</v>
      </c>
      <c r="C619" t="str" cm="1">
        <f t="array" ref="C619">IFERROR(INDEX({"Ridgetop","Other"},MATCH(TRUE,ISNUMBER(SEARCH({"Ridgetop","Other"},A619)),0)),"")</f>
        <v>Other</v>
      </c>
      <c r="D619" t="str" cm="1">
        <f t="array" ref="D619">IFERROR(INDEX({"Small","Medium","Large"},MATCH(TRUE,ISNUMBER(SEARCH({"Small","Medium","Large"},A619)),0)),"")</f>
        <v>Small</v>
      </c>
      <c r="E619" t="str">
        <f t="shared" si="9"/>
        <v>0.074</v>
      </c>
    </row>
    <row r="620" spans="1:5" x14ac:dyDescent="0.3">
      <c r="A620" t="s">
        <v>618</v>
      </c>
      <c r="B620" t="str" cm="1">
        <f t="array" ref="B620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redcedar"},A620)),0)),"")</f>
        <v>Western larch</v>
      </c>
      <c r="C620" t="str" cm="1">
        <f t="array" ref="C620">IFERROR(INDEX({"Ridgetop","Other"},MATCH(TRUE,ISNUMBER(SEARCH({"Ridgetop","Other"},A620)),0)),"")</f>
        <v>Other</v>
      </c>
      <c r="D620" t="str" cm="1">
        <f t="array" ref="D620">IFERROR(INDEX({"Small","Medium","Large"},MATCH(TRUE,ISNUMBER(SEARCH({"Small","Medium","Large"},A620)),0)),"")</f>
        <v>Medium</v>
      </c>
      <c r="E620" t="str">
        <f t="shared" si="9"/>
        <v>0.038</v>
      </c>
    </row>
    <row r="621" spans="1:5" x14ac:dyDescent="0.3">
      <c r="A621" t="s">
        <v>619</v>
      </c>
      <c r="B621" t="str" cm="1">
        <f t="array" ref="B621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redcedar"},A621)),0)),"")</f>
        <v>Western larch</v>
      </c>
      <c r="C621" t="str" cm="1">
        <f t="array" ref="C621">IFERROR(INDEX({"Ridgetop","Other"},MATCH(TRUE,ISNUMBER(SEARCH({"Ridgetop","Other"},A621)),0)),"")</f>
        <v>Other</v>
      </c>
      <c r="D621" t="str" cm="1">
        <f t="array" ref="D621">IFERROR(INDEX({"Small","Medium","Large"},MATCH(TRUE,ISNUMBER(SEARCH({"Small","Medium","Large"},A621)),0)),"")</f>
        <v>Large</v>
      </c>
      <c r="E621" t="str">
        <f t="shared" si="9"/>
        <v>0.034</v>
      </c>
    </row>
    <row r="622" spans="1:5" x14ac:dyDescent="0.3">
      <c r="A622" t="s">
        <v>620</v>
      </c>
      <c r="B622" t="str" cm="1">
        <f t="array" ref="B622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redcedar"},A622)),0)),"")</f>
        <v>Western larch</v>
      </c>
      <c r="C622" t="str" cm="1">
        <f t="array" ref="C622">IFERROR(INDEX({"Ridgetop","Other"},MATCH(TRUE,ISNUMBER(SEARCH({"Ridgetop","Other"},A622)),0)),"")</f>
        <v>Ridgetop</v>
      </c>
      <c r="D622" t="str" cm="1">
        <f t="array" ref="D622">IFERROR(INDEX({"Small","Medium","Large"},MATCH(TRUE,ISNUMBER(SEARCH({"Small","Medium","Large"},A622)),0)),"")</f>
        <v>Small</v>
      </c>
      <c r="E622" t="str">
        <f t="shared" si="9"/>
        <v>0.115</v>
      </c>
    </row>
    <row r="623" spans="1:5" x14ac:dyDescent="0.3">
      <c r="A623" t="s">
        <v>621</v>
      </c>
      <c r="B623" t="str" cm="1">
        <f t="array" ref="B623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redcedar"},A623)),0)),"")</f>
        <v>Western larch</v>
      </c>
      <c r="C623" t="str" cm="1">
        <f t="array" ref="C623">IFERROR(INDEX({"Ridgetop","Other"},MATCH(TRUE,ISNUMBER(SEARCH({"Ridgetop","Other"},A623)),0)),"")</f>
        <v>Ridgetop</v>
      </c>
      <c r="D623" t="str" cm="1">
        <f t="array" ref="D623">IFERROR(INDEX({"Small","Medium","Large"},MATCH(TRUE,ISNUMBER(SEARCH({"Small","Medium","Large"},A623)),0)),"")</f>
        <v>Medium</v>
      </c>
      <c r="E623" t="str">
        <f t="shared" si="9"/>
        <v>0.059</v>
      </c>
    </row>
    <row r="624" spans="1:5" x14ac:dyDescent="0.3">
      <c r="A624" t="s">
        <v>622</v>
      </c>
      <c r="B624" t="str" cm="1">
        <f t="array" ref="B624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redcedar"},A624)),0)),"")</f>
        <v>Western larch</v>
      </c>
      <c r="C624" t="str" cm="1">
        <f t="array" ref="C624">IFERROR(INDEX({"Ridgetop","Other"},MATCH(TRUE,ISNUMBER(SEARCH({"Ridgetop","Other"},A624)),0)),"")</f>
        <v>Ridgetop</v>
      </c>
      <c r="D624" t="str" cm="1">
        <f t="array" ref="D624">IFERROR(INDEX({"Small","Medium","Large"},MATCH(TRUE,ISNUMBER(SEARCH({"Small","Medium","Large"},A624)),0)),"")</f>
        <v>Large</v>
      </c>
      <c r="E624" t="str">
        <f t="shared" si="9"/>
        <v>0.052</v>
      </c>
    </row>
    <row r="625" spans="1:5" x14ac:dyDescent="0.3">
      <c r="A625" t="s">
        <v>623</v>
      </c>
      <c r="B625" t="str" cm="1">
        <f t="array" ref="B625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redcedar"},A625)),0)),"")</f>
        <v>Western larch</v>
      </c>
      <c r="C625" t="str" cm="1">
        <f t="array" ref="C625">IFERROR(INDEX({"Ridgetop","Other"},MATCH(TRUE,ISNUMBER(SEARCH({"Ridgetop","Other"},A625)),0)),"")</f>
        <v>Ridgetop</v>
      </c>
      <c r="D625" t="str" cm="1">
        <f t="array" ref="D625">IFERROR(INDEX({"Small","Medium","Large"},MATCH(TRUE,ISNUMBER(SEARCH({"Small","Medium","Large"},A625)),0)),"")</f>
        <v>Small</v>
      </c>
      <c r="E625" t="str">
        <f t="shared" si="9"/>
        <v>0.115</v>
      </c>
    </row>
    <row r="626" spans="1:5" x14ac:dyDescent="0.3">
      <c r="A626" t="s">
        <v>624</v>
      </c>
      <c r="B626" t="str" cm="1">
        <f t="array" ref="B626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redcedar"},A626)),0)),"")</f>
        <v>Western larch</v>
      </c>
      <c r="C626" t="str" cm="1">
        <f t="array" ref="C626">IFERROR(INDEX({"Ridgetop","Other"},MATCH(TRUE,ISNUMBER(SEARCH({"Ridgetop","Other"},A626)),0)),"")</f>
        <v>Ridgetop</v>
      </c>
      <c r="D626" t="str" cm="1">
        <f t="array" ref="D626">IFERROR(INDEX({"Small","Medium","Large"},MATCH(TRUE,ISNUMBER(SEARCH({"Small","Medium","Large"},A626)),0)),"")</f>
        <v>Medium</v>
      </c>
      <c r="E626" t="str">
        <f t="shared" si="9"/>
        <v>0.059</v>
      </c>
    </row>
    <row r="627" spans="1:5" x14ac:dyDescent="0.3">
      <c r="A627" t="s">
        <v>625</v>
      </c>
      <c r="B627" t="str" cm="1">
        <f t="array" ref="B627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redcedar"},A627)),0)),"")</f>
        <v>Western larch</v>
      </c>
      <c r="C627" t="str" cm="1">
        <f t="array" ref="C627">IFERROR(INDEX({"Ridgetop","Other"},MATCH(TRUE,ISNUMBER(SEARCH({"Ridgetop","Other"},A627)),0)),"")</f>
        <v>Ridgetop</v>
      </c>
      <c r="D627" t="str" cm="1">
        <f t="array" ref="D627">IFERROR(INDEX({"Small","Medium","Large"},MATCH(TRUE,ISNUMBER(SEARCH({"Small","Medium","Large"},A627)),0)),"")</f>
        <v>Large</v>
      </c>
      <c r="E627" t="str">
        <f t="shared" si="9"/>
        <v>0.052</v>
      </c>
    </row>
    <row r="628" spans="1:5" x14ac:dyDescent="0.3">
      <c r="A628" t="s">
        <v>626</v>
      </c>
      <c r="B628" t="str" cm="1">
        <f t="array" ref="B628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redcedar"},A628)),0)),"")</f>
        <v>Western larch</v>
      </c>
      <c r="C628" t="str" cm="1">
        <f t="array" ref="C628">IFERROR(INDEX({"Ridgetop","Other"},MATCH(TRUE,ISNUMBER(SEARCH({"Ridgetop","Other"},A628)),0)),"")</f>
        <v>Ridgetop</v>
      </c>
      <c r="D628" t="str" cm="1">
        <f t="array" ref="D628">IFERROR(INDEX({"Small","Medium","Large"},MATCH(TRUE,ISNUMBER(SEARCH({"Small","Medium","Large"},A628)),0)),"")</f>
        <v>Small</v>
      </c>
      <c r="E628" t="str">
        <f t="shared" si="9"/>
        <v>0.118</v>
      </c>
    </row>
    <row r="629" spans="1:5" x14ac:dyDescent="0.3">
      <c r="A629" t="s">
        <v>627</v>
      </c>
      <c r="B629" t="str" cm="1">
        <f t="array" ref="B629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redcedar"},A629)),0)),"")</f>
        <v>Western larch</v>
      </c>
      <c r="C629" t="str" cm="1">
        <f t="array" ref="C629">IFERROR(INDEX({"Ridgetop","Other"},MATCH(TRUE,ISNUMBER(SEARCH({"Ridgetop","Other"},A629)),0)),"")</f>
        <v>Ridgetop</v>
      </c>
      <c r="D629" t="str" cm="1">
        <f t="array" ref="D629">IFERROR(INDEX({"Small","Medium","Large"},MATCH(TRUE,ISNUMBER(SEARCH({"Small","Medium","Large"},A629)),0)),"")</f>
        <v>Medium</v>
      </c>
      <c r="E629" t="str">
        <f t="shared" si="9"/>
        <v>0.061</v>
      </c>
    </row>
    <row r="630" spans="1:5" x14ac:dyDescent="0.3">
      <c r="A630" t="s">
        <v>628</v>
      </c>
      <c r="B630" t="str" cm="1">
        <f t="array" ref="B630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redcedar"},A630)),0)),"")</f>
        <v>Western larch</v>
      </c>
      <c r="C630" t="str" cm="1">
        <f t="array" ref="C630">IFERROR(INDEX({"Ridgetop","Other"},MATCH(TRUE,ISNUMBER(SEARCH({"Ridgetop","Other"},A630)),0)),"")</f>
        <v>Ridgetop</v>
      </c>
      <c r="D630" t="str" cm="1">
        <f t="array" ref="D630">IFERROR(INDEX({"Small","Medium","Large"},MATCH(TRUE,ISNUMBER(SEARCH({"Small","Medium","Large"},A630)),0)),"")</f>
        <v>Large</v>
      </c>
      <c r="E630" t="str">
        <f t="shared" si="9"/>
        <v>0.053</v>
      </c>
    </row>
    <row r="631" spans="1:5" x14ac:dyDescent="0.3">
      <c r="A631" t="s">
        <v>629</v>
      </c>
      <c r="B631" t="str" cm="1">
        <f t="array" ref="B631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redcedar"},A631)),0)),"")</f>
        <v>Western larch</v>
      </c>
      <c r="C631" t="str" cm="1">
        <f t="array" ref="C631">IFERROR(INDEX({"Ridgetop","Other"},MATCH(TRUE,ISNUMBER(SEARCH({"Ridgetop","Other"},A631)),0)),"")</f>
        <v>Other</v>
      </c>
      <c r="D631" t="str" cm="1">
        <f t="array" ref="D631">IFERROR(INDEX({"Small","Medium","Large"},MATCH(TRUE,ISNUMBER(SEARCH({"Small","Medium","Large"},A631)),0)),"")</f>
        <v>Small</v>
      </c>
      <c r="E631" t="str">
        <f t="shared" si="9"/>
        <v>0.068</v>
      </c>
    </row>
    <row r="632" spans="1:5" x14ac:dyDescent="0.3">
      <c r="A632" t="s">
        <v>630</v>
      </c>
      <c r="B632" t="str" cm="1">
        <f t="array" ref="B632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redcedar"},A632)),0)),"")</f>
        <v>Western larch</v>
      </c>
      <c r="C632" t="str" cm="1">
        <f t="array" ref="C632">IFERROR(INDEX({"Ridgetop","Other"},MATCH(TRUE,ISNUMBER(SEARCH({"Ridgetop","Other"},A632)),0)),"")</f>
        <v>Other</v>
      </c>
      <c r="D632" t="str" cm="1">
        <f t="array" ref="D632">IFERROR(INDEX({"Small","Medium","Large"},MATCH(TRUE,ISNUMBER(SEARCH({"Small","Medium","Large"},A632)),0)),"")</f>
        <v>Medium</v>
      </c>
      <c r="E632" t="str">
        <f t="shared" si="9"/>
        <v>0.035</v>
      </c>
    </row>
    <row r="633" spans="1:5" x14ac:dyDescent="0.3">
      <c r="A633" t="s">
        <v>631</v>
      </c>
      <c r="B633" t="str" cm="1">
        <f t="array" ref="B633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redcedar"},A633)),0)),"")</f>
        <v>Western larch</v>
      </c>
      <c r="C633" t="str" cm="1">
        <f t="array" ref="C633">IFERROR(INDEX({"Ridgetop","Other"},MATCH(TRUE,ISNUMBER(SEARCH({"Ridgetop","Other"},A633)),0)),"")</f>
        <v>Other</v>
      </c>
      <c r="D633" t="str" cm="1">
        <f t="array" ref="D633">IFERROR(INDEX({"Small","Medium","Large"},MATCH(TRUE,ISNUMBER(SEARCH({"Small","Medium","Large"},A633)),0)),"")</f>
        <v>Large</v>
      </c>
      <c r="E633" t="str">
        <f t="shared" si="9"/>
        <v>0.031</v>
      </c>
    </row>
    <row r="634" spans="1:5" x14ac:dyDescent="0.3">
      <c r="A634" t="s">
        <v>632</v>
      </c>
      <c r="B634" t="str" cm="1">
        <f t="array" ref="B634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redcedar"},A634)),0)),"")</f>
        <v>Western larch</v>
      </c>
      <c r="C634" t="str" cm="1">
        <f t="array" ref="C634">IFERROR(INDEX({"Ridgetop","Other"},MATCH(TRUE,ISNUMBER(SEARCH({"Ridgetop","Other"},A634)),0)),"")</f>
        <v>Other</v>
      </c>
      <c r="D634" t="str" cm="1">
        <f t="array" ref="D634">IFERROR(INDEX({"Small","Medium","Large"},MATCH(TRUE,ISNUMBER(SEARCH({"Small","Medium","Large"},A634)),0)),"")</f>
        <v>Small</v>
      </c>
      <c r="E634" t="str">
        <f t="shared" si="9"/>
        <v>0.074</v>
      </c>
    </row>
    <row r="635" spans="1:5" x14ac:dyDescent="0.3">
      <c r="A635" t="s">
        <v>633</v>
      </c>
      <c r="B635" t="str" cm="1">
        <f t="array" ref="B635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redcedar"},A635)),0)),"")</f>
        <v>Western larch</v>
      </c>
      <c r="C635" t="str" cm="1">
        <f t="array" ref="C635">IFERROR(INDEX({"Ridgetop","Other"},MATCH(TRUE,ISNUMBER(SEARCH({"Ridgetop","Other"},A635)),0)),"")</f>
        <v>Other</v>
      </c>
      <c r="D635" t="str" cm="1">
        <f t="array" ref="D635">IFERROR(INDEX({"Small","Medium","Large"},MATCH(TRUE,ISNUMBER(SEARCH({"Small","Medium","Large"},A635)),0)),"")</f>
        <v>Medium</v>
      </c>
      <c r="E635" t="str">
        <f t="shared" si="9"/>
        <v>0.038</v>
      </c>
    </row>
    <row r="636" spans="1:5" x14ac:dyDescent="0.3">
      <c r="A636" t="s">
        <v>634</v>
      </c>
      <c r="B636" t="str" cm="1">
        <f t="array" ref="B636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redcedar"},A636)),0)),"")</f>
        <v>Western larch</v>
      </c>
      <c r="C636" t="str" cm="1">
        <f t="array" ref="C636">IFERROR(INDEX({"Ridgetop","Other"},MATCH(TRUE,ISNUMBER(SEARCH({"Ridgetop","Other"},A636)),0)),"")</f>
        <v>Other</v>
      </c>
      <c r="D636" t="str" cm="1">
        <f t="array" ref="D636">IFERROR(INDEX({"Small","Medium","Large"},MATCH(TRUE,ISNUMBER(SEARCH({"Small","Medium","Large"},A636)),0)),"")</f>
        <v>Large</v>
      </c>
      <c r="E636" t="str">
        <f t="shared" si="9"/>
        <v>0.034</v>
      </c>
    </row>
    <row r="637" spans="1:5" x14ac:dyDescent="0.3">
      <c r="A637" t="s">
        <v>635</v>
      </c>
      <c r="B637" t="str" cm="1">
        <f t="array" ref="B637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redcedar"},A637)),0)),"")</f>
        <v>Western larch</v>
      </c>
      <c r="C637" t="str" cm="1">
        <f t="array" ref="C637">IFERROR(INDEX({"Ridgetop","Other"},MATCH(TRUE,ISNUMBER(SEARCH({"Ridgetop","Other"},A637)),0)),"")</f>
        <v>Other</v>
      </c>
      <c r="D637" t="str" cm="1">
        <f t="array" ref="D637">IFERROR(INDEX({"Small","Medium","Large"},MATCH(TRUE,ISNUMBER(SEARCH({"Small","Medium","Large"},A637)),0)),"")</f>
        <v>Small</v>
      </c>
      <c r="E637" t="str">
        <f t="shared" si="9"/>
        <v>0.074</v>
      </c>
    </row>
    <row r="638" spans="1:5" x14ac:dyDescent="0.3">
      <c r="A638" t="s">
        <v>636</v>
      </c>
      <c r="B638" t="str" cm="1">
        <f t="array" ref="B638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redcedar"},A638)),0)),"")</f>
        <v>Western larch</v>
      </c>
      <c r="C638" t="str" cm="1">
        <f t="array" ref="C638">IFERROR(INDEX({"Ridgetop","Other"},MATCH(TRUE,ISNUMBER(SEARCH({"Ridgetop","Other"},A638)),0)),"")</f>
        <v>Other</v>
      </c>
      <c r="D638" t="str" cm="1">
        <f t="array" ref="D638">IFERROR(INDEX({"Small","Medium","Large"},MATCH(TRUE,ISNUMBER(SEARCH({"Small","Medium","Large"},A638)),0)),"")</f>
        <v>Medium</v>
      </c>
      <c r="E638" t="str">
        <f t="shared" si="9"/>
        <v>0.038</v>
      </c>
    </row>
    <row r="639" spans="1:5" x14ac:dyDescent="0.3">
      <c r="A639" t="s">
        <v>637</v>
      </c>
      <c r="B639" t="str" cm="1">
        <f t="array" ref="B639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redcedar"},A639)),0)),"")</f>
        <v>Western larch</v>
      </c>
      <c r="C639" t="str" cm="1">
        <f t="array" ref="C639">IFERROR(INDEX({"Ridgetop","Other"},MATCH(TRUE,ISNUMBER(SEARCH({"Ridgetop","Other"},A639)),0)),"")</f>
        <v>Other</v>
      </c>
      <c r="D639" t="str" cm="1">
        <f t="array" ref="D639">IFERROR(INDEX({"Small","Medium","Large"},MATCH(TRUE,ISNUMBER(SEARCH({"Small","Medium","Large"},A639)),0)),"")</f>
        <v>Large</v>
      </c>
      <c r="E639" t="str">
        <f t="shared" si="9"/>
        <v>0.034</v>
      </c>
    </row>
    <row r="640" spans="1:5" x14ac:dyDescent="0.3">
      <c r="A640" t="s">
        <v>638</v>
      </c>
      <c r="B640" t="str" cm="1">
        <f t="array" ref="B640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redcedar"},A640)),0)),"")</f>
        <v>Western larch</v>
      </c>
      <c r="C640" t="str" cm="1">
        <f t="array" ref="C640">IFERROR(INDEX({"Ridgetop","Other"},MATCH(TRUE,ISNUMBER(SEARCH({"Ridgetop","Other"},A640)),0)),"")</f>
        <v>Ridgetop</v>
      </c>
      <c r="D640" t="str" cm="1">
        <f t="array" ref="D640">IFERROR(INDEX({"Small","Medium","Large"},MATCH(TRUE,ISNUMBER(SEARCH({"Small","Medium","Large"},A640)),0)),"")</f>
        <v>Small</v>
      </c>
      <c r="E640" t="str">
        <f t="shared" si="9"/>
        <v>0.124</v>
      </c>
    </row>
    <row r="641" spans="1:5" x14ac:dyDescent="0.3">
      <c r="A641" t="s">
        <v>639</v>
      </c>
      <c r="B641" t="str" cm="1">
        <f t="array" ref="B641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redcedar"},A641)),0)),"")</f>
        <v>Western larch</v>
      </c>
      <c r="C641" t="str" cm="1">
        <f t="array" ref="C641">IFERROR(INDEX({"Ridgetop","Other"},MATCH(TRUE,ISNUMBER(SEARCH({"Ridgetop","Other"},A641)),0)),"")</f>
        <v>Ridgetop</v>
      </c>
      <c r="D641" t="str" cm="1">
        <f t="array" ref="D641">IFERROR(INDEX({"Small","Medium","Large"},MATCH(TRUE,ISNUMBER(SEARCH({"Small","Medium","Large"},A641)),0)),"")</f>
        <v>Medium</v>
      </c>
      <c r="E641" t="str">
        <f t="shared" si="9"/>
        <v>0.064</v>
      </c>
    </row>
    <row r="642" spans="1:5" x14ac:dyDescent="0.3">
      <c r="A642" t="s">
        <v>640</v>
      </c>
      <c r="B642" t="str" cm="1">
        <f t="array" ref="B642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redcedar"},A642)),0)),"")</f>
        <v>Western larch</v>
      </c>
      <c r="C642" t="str" cm="1">
        <f t="array" ref="C642">IFERROR(INDEX({"Ridgetop","Other"},MATCH(TRUE,ISNUMBER(SEARCH({"Ridgetop","Other"},A642)),0)),"")</f>
        <v>Ridgetop</v>
      </c>
      <c r="D642" t="str" cm="1">
        <f t="array" ref="D642">IFERROR(INDEX({"Small","Medium","Large"},MATCH(TRUE,ISNUMBER(SEARCH({"Small","Medium","Large"},A642)),0)),"")</f>
        <v>Large</v>
      </c>
      <c r="E642" t="str">
        <f t="shared" si="9"/>
        <v>0.056</v>
      </c>
    </row>
    <row r="643" spans="1:5" x14ac:dyDescent="0.3">
      <c r="A643" t="s">
        <v>641</v>
      </c>
      <c r="B643" t="str" cm="1">
        <f t="array" ref="B643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redcedar"},A643)),0)),"")</f>
        <v>Western larch</v>
      </c>
      <c r="C643" t="str" cm="1">
        <f t="array" ref="C643">IFERROR(INDEX({"Ridgetop","Other"},MATCH(TRUE,ISNUMBER(SEARCH({"Ridgetop","Other"},A643)),0)),"")</f>
        <v>Ridgetop</v>
      </c>
      <c r="D643" t="str" cm="1">
        <f t="array" ref="D643">IFERROR(INDEX({"Small","Medium","Large"},MATCH(TRUE,ISNUMBER(SEARCH({"Small","Medium","Large"},A643)),0)),"")</f>
        <v>Small</v>
      </c>
      <c r="E643" t="str">
        <f t="shared" ref="E643:E706" si="10">RIGHT(A643,LEN(A643)-FIND("@",SUBSTITUTE(A643," ","@",LEN(A643)-LEN(SUBSTITUTE(A643," ","")))))</f>
        <v>0.124</v>
      </c>
    </row>
    <row r="644" spans="1:5" x14ac:dyDescent="0.3">
      <c r="A644" t="s">
        <v>642</v>
      </c>
      <c r="B644" t="str" cm="1">
        <f t="array" ref="B644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redcedar"},A644)),0)),"")</f>
        <v>Western larch</v>
      </c>
      <c r="C644" t="str" cm="1">
        <f t="array" ref="C644">IFERROR(INDEX({"Ridgetop","Other"},MATCH(TRUE,ISNUMBER(SEARCH({"Ridgetop","Other"},A644)),0)),"")</f>
        <v>Ridgetop</v>
      </c>
      <c r="D644" t="str" cm="1">
        <f t="array" ref="D644">IFERROR(INDEX({"Small","Medium","Large"},MATCH(TRUE,ISNUMBER(SEARCH({"Small","Medium","Large"},A644)),0)),"")</f>
        <v>Medium</v>
      </c>
      <c r="E644" t="str">
        <f t="shared" si="10"/>
        <v>0.064</v>
      </c>
    </row>
    <row r="645" spans="1:5" x14ac:dyDescent="0.3">
      <c r="A645" t="s">
        <v>643</v>
      </c>
      <c r="B645" t="str" cm="1">
        <f t="array" ref="B645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redcedar"},A645)),0)),"")</f>
        <v>Western larch</v>
      </c>
      <c r="C645" t="str" cm="1">
        <f t="array" ref="C645">IFERROR(INDEX({"Ridgetop","Other"},MATCH(TRUE,ISNUMBER(SEARCH({"Ridgetop","Other"},A645)),0)),"")</f>
        <v>Ridgetop</v>
      </c>
      <c r="D645" t="str" cm="1">
        <f t="array" ref="D645">IFERROR(INDEX({"Small","Medium","Large"},MATCH(TRUE,ISNUMBER(SEARCH({"Small","Medium","Large"},A645)),0)),"")</f>
        <v>Large</v>
      </c>
      <c r="E645" t="str">
        <f t="shared" si="10"/>
        <v>0.056</v>
      </c>
    </row>
    <row r="646" spans="1:5" x14ac:dyDescent="0.3">
      <c r="A646" t="s">
        <v>644</v>
      </c>
      <c r="B646" t="str" cm="1">
        <f t="array" ref="B646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redcedar"},A646)),0)),"")</f>
        <v>Western larch</v>
      </c>
      <c r="C646" t="str" cm="1">
        <f t="array" ref="C646">IFERROR(INDEX({"Ridgetop","Other"},MATCH(TRUE,ISNUMBER(SEARCH({"Ridgetop","Other"},A646)),0)),"")</f>
        <v>Ridgetop</v>
      </c>
      <c r="D646" t="str" cm="1">
        <f t="array" ref="D646">IFERROR(INDEX({"Small","Medium","Large"},MATCH(TRUE,ISNUMBER(SEARCH({"Small","Medium","Large"},A646)),0)),"")</f>
        <v>Small</v>
      </c>
      <c r="E646" t="str">
        <f t="shared" si="10"/>
        <v>0.124</v>
      </c>
    </row>
    <row r="647" spans="1:5" x14ac:dyDescent="0.3">
      <c r="A647" t="s">
        <v>645</v>
      </c>
      <c r="B647" t="str" cm="1">
        <f t="array" ref="B647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redcedar"},A647)),0)),"")</f>
        <v>Western larch</v>
      </c>
      <c r="C647" t="str" cm="1">
        <f t="array" ref="C647">IFERROR(INDEX({"Ridgetop","Other"},MATCH(TRUE,ISNUMBER(SEARCH({"Ridgetop","Other"},A647)),0)),"")</f>
        <v>Ridgetop</v>
      </c>
      <c r="D647" t="str" cm="1">
        <f t="array" ref="D647">IFERROR(INDEX({"Small","Medium","Large"},MATCH(TRUE,ISNUMBER(SEARCH({"Small","Medium","Large"},A647)),0)),"")</f>
        <v>Medium</v>
      </c>
      <c r="E647" t="str">
        <f t="shared" si="10"/>
        <v>0.064</v>
      </c>
    </row>
    <row r="648" spans="1:5" x14ac:dyDescent="0.3">
      <c r="A648" t="s">
        <v>646</v>
      </c>
      <c r="B648" t="str" cm="1">
        <f t="array" ref="B648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redcedar"},A648)),0)),"")</f>
        <v>Western larch</v>
      </c>
      <c r="C648" t="str" cm="1">
        <f t="array" ref="C648">IFERROR(INDEX({"Ridgetop","Other"},MATCH(TRUE,ISNUMBER(SEARCH({"Ridgetop","Other"},A648)),0)),"")</f>
        <v>Ridgetop</v>
      </c>
      <c r="D648" t="str" cm="1">
        <f t="array" ref="D648">IFERROR(INDEX({"Small","Medium","Large"},MATCH(TRUE,ISNUMBER(SEARCH({"Small","Medium","Large"},A648)),0)),"")</f>
        <v>Large</v>
      </c>
      <c r="E648" t="str">
        <f t="shared" si="10"/>
        <v>0.056</v>
      </c>
    </row>
    <row r="649" spans="1:5" x14ac:dyDescent="0.3">
      <c r="A649" t="s">
        <v>647</v>
      </c>
      <c r="B649" t="str" cm="1">
        <f t="array" ref="B649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redcedar"},A649)),0)),"")</f>
        <v>Western redcedar</v>
      </c>
      <c r="C649" t="str" cm="1">
        <f t="array" ref="C649">IFERROR(INDEX({"Ridgetop","Other"},MATCH(TRUE,ISNUMBER(SEARCH({"Ridgetop","Other"},A649)),0)),"")</f>
        <v>Other</v>
      </c>
      <c r="D649" t="str" cm="1">
        <f t="array" ref="D649">IFERROR(INDEX({"Small","Medium","Large"},MATCH(TRUE,ISNUMBER(SEARCH({"Small","Medium","Large"},A649)),0)),"")</f>
        <v>Small</v>
      </c>
      <c r="E649" t="str">
        <f t="shared" si="10"/>
        <v>0.036</v>
      </c>
    </row>
    <row r="650" spans="1:5" x14ac:dyDescent="0.3">
      <c r="A650" t="s">
        <v>648</v>
      </c>
      <c r="B650" t="str" cm="1">
        <f t="array" ref="B650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redcedar"},A650)),0)),"")</f>
        <v>Western redcedar</v>
      </c>
      <c r="C650" t="str" cm="1">
        <f t="array" ref="C650">IFERROR(INDEX({"Ridgetop","Other"},MATCH(TRUE,ISNUMBER(SEARCH({"Ridgetop","Other"},A650)),0)),"")</f>
        <v>Other</v>
      </c>
      <c r="D650" t="str" cm="1">
        <f t="array" ref="D650">IFERROR(INDEX({"Small","Medium","Large"},MATCH(TRUE,ISNUMBER(SEARCH({"Small","Medium","Large"},A650)),0)),"")</f>
        <v>Medium</v>
      </c>
      <c r="E650" t="str">
        <f t="shared" si="10"/>
        <v>0.009</v>
      </c>
    </row>
    <row r="651" spans="1:5" x14ac:dyDescent="0.3">
      <c r="A651" t="s">
        <v>649</v>
      </c>
      <c r="B651" t="str" cm="1">
        <f t="array" ref="B651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redcedar"},A651)),0)),"")</f>
        <v>Western redcedar</v>
      </c>
      <c r="C651" t="str" cm="1">
        <f t="array" ref="C651">IFERROR(INDEX({"Ridgetop","Other"},MATCH(TRUE,ISNUMBER(SEARCH({"Ridgetop","Other"},A651)),0)),"")</f>
        <v>Other</v>
      </c>
      <c r="D651" t="str" cm="1">
        <f t="array" ref="D651">IFERROR(INDEX({"Small","Medium","Large"},MATCH(TRUE,ISNUMBER(SEARCH({"Small","Medium","Large"},A651)),0)),"")</f>
        <v>Large</v>
      </c>
      <c r="E651" t="str">
        <f t="shared" si="10"/>
        <v>0.007</v>
      </c>
    </row>
    <row r="652" spans="1:5" x14ac:dyDescent="0.3">
      <c r="A652" t="s">
        <v>650</v>
      </c>
      <c r="B652" t="str" cm="1">
        <f t="array" ref="B652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redcedar"},A652)),0)),"")</f>
        <v>Western redcedar</v>
      </c>
      <c r="C652" t="str" cm="1">
        <f t="array" ref="C652">IFERROR(INDEX({"Ridgetop","Other"},MATCH(TRUE,ISNUMBER(SEARCH({"Ridgetop","Other"},A652)),0)),"")</f>
        <v>Other</v>
      </c>
      <c r="D652" t="str" cm="1">
        <f t="array" ref="D652">IFERROR(INDEX({"Small","Medium","Large"},MATCH(TRUE,ISNUMBER(SEARCH({"Small","Medium","Large"},A652)),0)),"")</f>
        <v>Small</v>
      </c>
      <c r="E652" t="str">
        <f t="shared" si="10"/>
        <v>0.040</v>
      </c>
    </row>
    <row r="653" spans="1:5" x14ac:dyDescent="0.3">
      <c r="A653" t="s">
        <v>651</v>
      </c>
      <c r="B653" t="str" cm="1">
        <f t="array" ref="B653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redcedar"},A653)),0)),"")</f>
        <v>Western redcedar</v>
      </c>
      <c r="C653" t="str" cm="1">
        <f t="array" ref="C653">IFERROR(INDEX({"Ridgetop","Other"},MATCH(TRUE,ISNUMBER(SEARCH({"Ridgetop","Other"},A653)),0)),"")</f>
        <v>Other</v>
      </c>
      <c r="D653" t="str" cm="1">
        <f t="array" ref="D653">IFERROR(INDEX({"Small","Medium","Large"},MATCH(TRUE,ISNUMBER(SEARCH({"Small","Medium","Large"},A653)),0)),"")</f>
        <v>Medium</v>
      </c>
      <c r="E653" t="str">
        <f t="shared" si="10"/>
        <v>0.010</v>
      </c>
    </row>
    <row r="654" spans="1:5" x14ac:dyDescent="0.3">
      <c r="A654" t="s">
        <v>652</v>
      </c>
      <c r="B654" t="str" cm="1">
        <f t="array" ref="B654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redcedar"},A654)),0)),"")</f>
        <v>Western redcedar</v>
      </c>
      <c r="C654" t="str" cm="1">
        <f t="array" ref="C654">IFERROR(INDEX({"Ridgetop","Other"},MATCH(TRUE,ISNUMBER(SEARCH({"Ridgetop","Other"},A654)),0)),"")</f>
        <v>Other</v>
      </c>
      <c r="D654" t="str" cm="1">
        <f t="array" ref="D654">IFERROR(INDEX({"Small","Medium","Large"},MATCH(TRUE,ISNUMBER(SEARCH({"Small","Medium","Large"},A654)),0)),"")</f>
        <v>Large</v>
      </c>
      <c r="E654" t="str">
        <f t="shared" si="10"/>
        <v>0.008</v>
      </c>
    </row>
    <row r="655" spans="1:5" x14ac:dyDescent="0.3">
      <c r="A655" t="s">
        <v>653</v>
      </c>
      <c r="B655" t="str" cm="1">
        <f t="array" ref="B655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redcedar"},A655)),0)),"")</f>
        <v>Western redcedar</v>
      </c>
      <c r="C655" t="str" cm="1">
        <f t="array" ref="C655">IFERROR(INDEX({"Ridgetop","Other"},MATCH(TRUE,ISNUMBER(SEARCH({"Ridgetop","Other"},A655)),0)),"")</f>
        <v>Other</v>
      </c>
      <c r="D655" t="str" cm="1">
        <f t="array" ref="D655">IFERROR(INDEX({"Small","Medium","Large"},MATCH(TRUE,ISNUMBER(SEARCH({"Small","Medium","Large"},A655)),0)),"")</f>
        <v>Small</v>
      </c>
      <c r="E655" t="str">
        <f t="shared" si="10"/>
        <v>0.049</v>
      </c>
    </row>
    <row r="656" spans="1:5" x14ac:dyDescent="0.3">
      <c r="A656" t="s">
        <v>654</v>
      </c>
      <c r="B656" t="str" cm="1">
        <f t="array" ref="B656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redcedar"},A656)),0)),"")</f>
        <v>Western redcedar</v>
      </c>
      <c r="C656" t="str" cm="1">
        <f t="array" ref="C656">IFERROR(INDEX({"Ridgetop","Other"},MATCH(TRUE,ISNUMBER(SEARCH({"Ridgetop","Other"},A656)),0)),"")</f>
        <v>Other</v>
      </c>
      <c r="D656" t="str" cm="1">
        <f t="array" ref="D656">IFERROR(INDEX({"Small","Medium","Large"},MATCH(TRUE,ISNUMBER(SEARCH({"Small","Medium","Large"},A656)),0)),"")</f>
        <v>Medium</v>
      </c>
      <c r="E656" t="str">
        <f t="shared" si="10"/>
        <v>0.012</v>
      </c>
    </row>
    <row r="657" spans="1:5" x14ac:dyDescent="0.3">
      <c r="A657" t="s">
        <v>655</v>
      </c>
      <c r="B657" t="str" cm="1">
        <f t="array" ref="B657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redcedar"},A657)),0)),"")</f>
        <v>Western redcedar</v>
      </c>
      <c r="C657" t="str" cm="1">
        <f t="array" ref="C657">IFERROR(INDEX({"Ridgetop","Other"},MATCH(TRUE,ISNUMBER(SEARCH({"Ridgetop","Other"},A657)),0)),"")</f>
        <v>Other</v>
      </c>
      <c r="D657" t="str" cm="1">
        <f t="array" ref="D657">IFERROR(INDEX({"Small","Medium","Large"},MATCH(TRUE,ISNUMBER(SEARCH({"Small","Medium","Large"},A657)),0)),"")</f>
        <v>Large</v>
      </c>
      <c r="E657" t="str">
        <f t="shared" si="10"/>
        <v>0.010</v>
      </c>
    </row>
    <row r="658" spans="1:5" x14ac:dyDescent="0.3">
      <c r="A658" t="s">
        <v>656</v>
      </c>
      <c r="B658" t="str" cm="1">
        <f t="array" ref="B658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redcedar"},A658)),0)),"")</f>
        <v>Western redcedar</v>
      </c>
      <c r="C658" t="str" cm="1">
        <f t="array" ref="C658">IFERROR(INDEX({"Ridgetop","Other"},MATCH(TRUE,ISNUMBER(SEARCH({"Ridgetop","Other"},A658)),0)),"")</f>
        <v>Ridgetop</v>
      </c>
      <c r="D658" t="str" cm="1">
        <f t="array" ref="D658">IFERROR(INDEX({"Small","Medium","Large"},MATCH(TRUE,ISNUMBER(SEARCH({"Small","Medium","Large"},A658)),0)),"")</f>
        <v>Small</v>
      </c>
      <c r="E658" t="str">
        <f t="shared" si="10"/>
        <v>0.064</v>
      </c>
    </row>
    <row r="659" spans="1:5" x14ac:dyDescent="0.3">
      <c r="A659" t="s">
        <v>657</v>
      </c>
      <c r="B659" t="str" cm="1">
        <f t="array" ref="B659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redcedar"},A659)),0)),"")</f>
        <v>Western redcedar</v>
      </c>
      <c r="C659" t="str" cm="1">
        <f t="array" ref="C659">IFERROR(INDEX({"Ridgetop","Other"},MATCH(TRUE,ISNUMBER(SEARCH({"Ridgetop","Other"},A659)),0)),"")</f>
        <v>Ridgetop</v>
      </c>
      <c r="D659" t="str" cm="1">
        <f t="array" ref="D659">IFERROR(INDEX({"Small","Medium","Large"},MATCH(TRUE,ISNUMBER(SEARCH({"Small","Medium","Large"},A659)),0)),"")</f>
        <v>Medium</v>
      </c>
      <c r="E659" t="str">
        <f t="shared" si="10"/>
        <v>0.016</v>
      </c>
    </row>
    <row r="660" spans="1:5" x14ac:dyDescent="0.3">
      <c r="A660" t="s">
        <v>658</v>
      </c>
      <c r="B660" t="str" cm="1">
        <f t="array" ref="B660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redcedar"},A660)),0)),"")</f>
        <v>Western redcedar</v>
      </c>
      <c r="C660" t="str" cm="1">
        <f t="array" ref="C660">IFERROR(INDEX({"Ridgetop","Other"},MATCH(TRUE,ISNUMBER(SEARCH({"Ridgetop","Other"},A660)),0)),"")</f>
        <v>Ridgetop</v>
      </c>
      <c r="D660" t="str" cm="1">
        <f t="array" ref="D660">IFERROR(INDEX({"Small","Medium","Large"},MATCH(TRUE,ISNUMBER(SEARCH({"Small","Medium","Large"},A660)),0)),"")</f>
        <v>Large</v>
      </c>
      <c r="E660" t="str">
        <f t="shared" si="10"/>
        <v>0.012</v>
      </c>
    </row>
    <row r="661" spans="1:5" x14ac:dyDescent="0.3">
      <c r="A661" t="s">
        <v>659</v>
      </c>
      <c r="B661" t="str" cm="1">
        <f t="array" ref="B661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redcedar"},A661)),0)),"")</f>
        <v>Western redcedar</v>
      </c>
      <c r="C661" t="str" cm="1">
        <f t="array" ref="C661">IFERROR(INDEX({"Ridgetop","Other"},MATCH(TRUE,ISNUMBER(SEARCH({"Ridgetop","Other"},A661)),0)),"")</f>
        <v>Ridgetop</v>
      </c>
      <c r="D661" t="str" cm="1">
        <f t="array" ref="D661">IFERROR(INDEX({"Small","Medium","Large"},MATCH(TRUE,ISNUMBER(SEARCH({"Small","Medium","Large"},A661)),0)),"")</f>
        <v>Small</v>
      </c>
      <c r="E661" t="str">
        <f t="shared" si="10"/>
        <v>0.066</v>
      </c>
    </row>
    <row r="662" spans="1:5" x14ac:dyDescent="0.3">
      <c r="A662" t="s">
        <v>660</v>
      </c>
      <c r="B662" t="str" cm="1">
        <f t="array" ref="B662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redcedar"},A662)),0)),"")</f>
        <v>Western redcedar</v>
      </c>
      <c r="C662" t="str" cm="1">
        <f t="array" ref="C662">IFERROR(INDEX({"Ridgetop","Other"},MATCH(TRUE,ISNUMBER(SEARCH({"Ridgetop","Other"},A662)),0)),"")</f>
        <v>Ridgetop</v>
      </c>
      <c r="D662" t="str" cm="1">
        <f t="array" ref="D662">IFERROR(INDEX({"Small","Medium","Large"},MATCH(TRUE,ISNUMBER(SEARCH({"Small","Medium","Large"},A662)),0)),"")</f>
        <v>Medium</v>
      </c>
      <c r="E662" t="str">
        <f t="shared" si="10"/>
        <v>0.016</v>
      </c>
    </row>
    <row r="663" spans="1:5" x14ac:dyDescent="0.3">
      <c r="A663" t="s">
        <v>661</v>
      </c>
      <c r="B663" t="str" cm="1">
        <f t="array" ref="B663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redcedar"},A663)),0)),"")</f>
        <v>Western redcedar</v>
      </c>
      <c r="C663" t="str" cm="1">
        <f t="array" ref="C663">IFERROR(INDEX({"Ridgetop","Other"},MATCH(TRUE,ISNUMBER(SEARCH({"Ridgetop","Other"},A663)),0)),"")</f>
        <v>Ridgetop</v>
      </c>
      <c r="D663" t="str" cm="1">
        <f t="array" ref="D663">IFERROR(INDEX({"Small","Medium","Large"},MATCH(TRUE,ISNUMBER(SEARCH({"Small","Medium","Large"},A663)),0)),"")</f>
        <v>Large</v>
      </c>
      <c r="E663" t="str">
        <f t="shared" si="10"/>
        <v>0.013</v>
      </c>
    </row>
    <row r="664" spans="1:5" x14ac:dyDescent="0.3">
      <c r="A664" t="s">
        <v>662</v>
      </c>
      <c r="B664" t="str" cm="1">
        <f t="array" ref="B664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redcedar"},A664)),0)),"")</f>
        <v>Western redcedar</v>
      </c>
      <c r="C664" t="str" cm="1">
        <f t="array" ref="C664">IFERROR(INDEX({"Ridgetop","Other"},MATCH(TRUE,ISNUMBER(SEARCH({"Ridgetop","Other"},A664)),0)),"")</f>
        <v>Ridgetop</v>
      </c>
      <c r="D664" t="str" cm="1">
        <f t="array" ref="D664">IFERROR(INDEX({"Small","Medium","Large"},MATCH(TRUE,ISNUMBER(SEARCH({"Small","Medium","Large"},A664)),0)),"")</f>
        <v>Small</v>
      </c>
      <c r="E664" t="str">
        <f t="shared" si="10"/>
        <v>0.070</v>
      </c>
    </row>
    <row r="665" spans="1:5" x14ac:dyDescent="0.3">
      <c r="A665" t="s">
        <v>663</v>
      </c>
      <c r="B665" t="str" cm="1">
        <f t="array" ref="B665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redcedar"},A665)),0)),"")</f>
        <v>Western redcedar</v>
      </c>
      <c r="C665" t="str" cm="1">
        <f t="array" ref="C665">IFERROR(INDEX({"Ridgetop","Other"},MATCH(TRUE,ISNUMBER(SEARCH({"Ridgetop","Other"},A665)),0)),"")</f>
        <v>Ridgetop</v>
      </c>
      <c r="D665" t="str" cm="1">
        <f t="array" ref="D665">IFERROR(INDEX({"Small","Medium","Large"},MATCH(TRUE,ISNUMBER(SEARCH({"Small","Medium","Large"},A665)),0)),"")</f>
        <v>Medium</v>
      </c>
      <c r="E665" t="str">
        <f t="shared" si="10"/>
        <v>0.017</v>
      </c>
    </row>
    <row r="666" spans="1:5" x14ac:dyDescent="0.3">
      <c r="A666" t="s">
        <v>664</v>
      </c>
      <c r="B666" t="str" cm="1">
        <f t="array" ref="B666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redcedar"},A666)),0)),"")</f>
        <v>Western redcedar</v>
      </c>
      <c r="C666" t="str" cm="1">
        <f t="array" ref="C666">IFERROR(INDEX({"Ridgetop","Other"},MATCH(TRUE,ISNUMBER(SEARCH({"Ridgetop","Other"},A666)),0)),"")</f>
        <v>Ridgetop</v>
      </c>
      <c r="D666" t="str" cm="1">
        <f t="array" ref="D666">IFERROR(INDEX({"Small","Medium","Large"},MATCH(TRUE,ISNUMBER(SEARCH({"Small","Medium","Large"},A666)),0)),"")</f>
        <v>Large</v>
      </c>
      <c r="E666" t="str">
        <f t="shared" si="10"/>
        <v>0.014</v>
      </c>
    </row>
    <row r="667" spans="1:5" x14ac:dyDescent="0.3">
      <c r="A667" t="s">
        <v>665</v>
      </c>
      <c r="B667" t="str" cm="1">
        <f t="array" ref="B667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redcedar"},A667)),0)),"")</f>
        <v>Western redcedar</v>
      </c>
      <c r="C667" t="str" cm="1">
        <f t="array" ref="C667">IFERROR(INDEX({"Ridgetop","Other"},MATCH(TRUE,ISNUMBER(SEARCH({"Ridgetop","Other"},A667)),0)),"")</f>
        <v>Other</v>
      </c>
      <c r="D667" t="str" cm="1">
        <f t="array" ref="D667">IFERROR(INDEX({"Small","Medium","Large"},MATCH(TRUE,ISNUMBER(SEARCH({"Small","Medium","Large"},A667)),0)),"")</f>
        <v>Small</v>
      </c>
      <c r="E667" t="str">
        <f t="shared" si="10"/>
        <v>0.045</v>
      </c>
    </row>
    <row r="668" spans="1:5" x14ac:dyDescent="0.3">
      <c r="A668" t="s">
        <v>666</v>
      </c>
      <c r="B668" t="str" cm="1">
        <f t="array" ref="B668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redcedar"},A668)),0)),"")</f>
        <v>Western redcedar</v>
      </c>
      <c r="C668" t="str" cm="1">
        <f t="array" ref="C668">IFERROR(INDEX({"Ridgetop","Other"},MATCH(TRUE,ISNUMBER(SEARCH({"Ridgetop","Other"},A668)),0)),"")</f>
        <v>Other</v>
      </c>
      <c r="D668" t="str" cm="1">
        <f t="array" ref="D668">IFERROR(INDEX({"Small","Medium","Large"},MATCH(TRUE,ISNUMBER(SEARCH({"Small","Medium","Large"},A668)),0)),"")</f>
        <v>Medium</v>
      </c>
      <c r="E668" t="str">
        <f t="shared" si="10"/>
        <v>0.011</v>
      </c>
    </row>
    <row r="669" spans="1:5" x14ac:dyDescent="0.3">
      <c r="A669" t="s">
        <v>667</v>
      </c>
      <c r="B669" t="str" cm="1">
        <f t="array" ref="B669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redcedar"},A669)),0)),"")</f>
        <v>Western redcedar</v>
      </c>
      <c r="C669" t="str" cm="1">
        <f t="array" ref="C669">IFERROR(INDEX({"Ridgetop","Other"},MATCH(TRUE,ISNUMBER(SEARCH({"Ridgetop","Other"},A669)),0)),"")</f>
        <v>Other</v>
      </c>
      <c r="D669" t="str" cm="1">
        <f t="array" ref="D669">IFERROR(INDEX({"Small","Medium","Large"},MATCH(TRUE,ISNUMBER(SEARCH({"Small","Medium","Large"},A669)),0)),"")</f>
        <v>Large</v>
      </c>
      <c r="E669" t="str">
        <f t="shared" si="10"/>
        <v>0.009</v>
      </c>
    </row>
    <row r="670" spans="1:5" x14ac:dyDescent="0.3">
      <c r="A670" t="s">
        <v>668</v>
      </c>
      <c r="B670" t="str" cm="1">
        <f t="array" ref="B670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redcedar"},A670)),0)),"")</f>
        <v>Western redcedar</v>
      </c>
      <c r="C670" t="str" cm="1">
        <f t="array" ref="C670">IFERROR(INDEX({"Ridgetop","Other"},MATCH(TRUE,ISNUMBER(SEARCH({"Ridgetop","Other"},A670)),0)),"")</f>
        <v>Other</v>
      </c>
      <c r="D670" t="str" cm="1">
        <f t="array" ref="D670">IFERROR(INDEX({"Small","Medium","Large"},MATCH(TRUE,ISNUMBER(SEARCH({"Small","Medium","Large"},A670)),0)),"")</f>
        <v>Small</v>
      </c>
      <c r="E670" t="str">
        <f t="shared" si="10"/>
        <v>0.049</v>
      </c>
    </row>
    <row r="671" spans="1:5" x14ac:dyDescent="0.3">
      <c r="A671" t="s">
        <v>669</v>
      </c>
      <c r="B671" t="str" cm="1">
        <f t="array" ref="B671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redcedar"},A671)),0)),"")</f>
        <v>Western redcedar</v>
      </c>
      <c r="C671" t="str" cm="1">
        <f t="array" ref="C671">IFERROR(INDEX({"Ridgetop","Other"},MATCH(TRUE,ISNUMBER(SEARCH({"Ridgetop","Other"},A671)),0)),"")</f>
        <v>Other</v>
      </c>
      <c r="D671" t="str" cm="1">
        <f t="array" ref="D671">IFERROR(INDEX({"Small","Medium","Large"},MATCH(TRUE,ISNUMBER(SEARCH({"Small","Medium","Large"},A671)),0)),"")</f>
        <v>Medium</v>
      </c>
      <c r="E671" t="str">
        <f t="shared" si="10"/>
        <v>0.012</v>
      </c>
    </row>
    <row r="672" spans="1:5" x14ac:dyDescent="0.3">
      <c r="A672" t="s">
        <v>670</v>
      </c>
      <c r="B672" t="str" cm="1">
        <f t="array" ref="B672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redcedar"},A672)),0)),"")</f>
        <v>Western redcedar</v>
      </c>
      <c r="C672" t="str" cm="1">
        <f t="array" ref="C672">IFERROR(INDEX({"Ridgetop","Other"},MATCH(TRUE,ISNUMBER(SEARCH({"Ridgetop","Other"},A672)),0)),"")</f>
        <v>Other</v>
      </c>
      <c r="D672" t="str" cm="1">
        <f t="array" ref="D672">IFERROR(INDEX({"Small","Medium","Large"},MATCH(TRUE,ISNUMBER(SEARCH({"Small","Medium","Large"},A672)),0)),"")</f>
        <v>Large</v>
      </c>
      <c r="E672" t="str">
        <f t="shared" si="10"/>
        <v>0.010</v>
      </c>
    </row>
    <row r="673" spans="1:5" x14ac:dyDescent="0.3">
      <c r="A673" t="s">
        <v>671</v>
      </c>
      <c r="B673" t="str" cm="1">
        <f t="array" ref="B673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redcedar"},A673)),0)),"")</f>
        <v>Western redcedar</v>
      </c>
      <c r="C673" t="str" cm="1">
        <f t="array" ref="C673">IFERROR(INDEX({"Ridgetop","Other"},MATCH(TRUE,ISNUMBER(SEARCH({"Ridgetop","Other"},A673)),0)),"")</f>
        <v>Other</v>
      </c>
      <c r="D673" t="str" cm="1">
        <f t="array" ref="D673">IFERROR(INDEX({"Small","Medium","Large"},MATCH(TRUE,ISNUMBER(SEARCH({"Small","Medium","Large"},A673)),0)),"")</f>
        <v>Small</v>
      </c>
      <c r="E673" t="str">
        <f t="shared" si="10"/>
        <v>0.049</v>
      </c>
    </row>
    <row r="674" spans="1:5" x14ac:dyDescent="0.3">
      <c r="A674" t="s">
        <v>672</v>
      </c>
      <c r="B674" t="str" cm="1">
        <f t="array" ref="B674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redcedar"},A674)),0)),"")</f>
        <v>Western redcedar</v>
      </c>
      <c r="C674" t="str" cm="1">
        <f t="array" ref="C674">IFERROR(INDEX({"Ridgetop","Other"},MATCH(TRUE,ISNUMBER(SEARCH({"Ridgetop","Other"},A674)),0)),"")</f>
        <v>Other</v>
      </c>
      <c r="D674" t="str" cm="1">
        <f t="array" ref="D674">IFERROR(INDEX({"Small","Medium","Large"},MATCH(TRUE,ISNUMBER(SEARCH({"Small","Medium","Large"},A674)),0)),"")</f>
        <v>Medium</v>
      </c>
      <c r="E674" t="str">
        <f t="shared" si="10"/>
        <v>0.012</v>
      </c>
    </row>
    <row r="675" spans="1:5" x14ac:dyDescent="0.3">
      <c r="A675" t="s">
        <v>673</v>
      </c>
      <c r="B675" t="str" cm="1">
        <f t="array" ref="B675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redcedar"},A675)),0)),"")</f>
        <v>Western redcedar</v>
      </c>
      <c r="C675" t="str" cm="1">
        <f t="array" ref="C675">IFERROR(INDEX({"Ridgetop","Other"},MATCH(TRUE,ISNUMBER(SEARCH({"Ridgetop","Other"},A675)),0)),"")</f>
        <v>Other</v>
      </c>
      <c r="D675" t="str" cm="1">
        <f t="array" ref="D675">IFERROR(INDEX({"Small","Medium","Large"},MATCH(TRUE,ISNUMBER(SEARCH({"Small","Medium","Large"},A675)),0)),"")</f>
        <v>Large</v>
      </c>
      <c r="E675" t="str">
        <f t="shared" si="10"/>
        <v>0.010</v>
      </c>
    </row>
    <row r="676" spans="1:5" x14ac:dyDescent="0.3">
      <c r="A676" t="s">
        <v>674</v>
      </c>
      <c r="B676" t="str" cm="1">
        <f t="array" ref="B676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redcedar"},A676)),0)),"")</f>
        <v>Western redcedar</v>
      </c>
      <c r="C676" t="str" cm="1">
        <f t="array" ref="C676">IFERROR(INDEX({"Ridgetop","Other"},MATCH(TRUE,ISNUMBER(SEARCH({"Ridgetop","Other"},A676)),0)),"")</f>
        <v>Ridgetop</v>
      </c>
      <c r="D676" t="str" cm="1">
        <f t="array" ref="D676">IFERROR(INDEX({"Small","Medium","Large"},MATCH(TRUE,ISNUMBER(SEARCH({"Small","Medium","Large"},A676)),0)),"")</f>
        <v>Small</v>
      </c>
      <c r="E676" t="str">
        <f t="shared" si="10"/>
        <v>0.082</v>
      </c>
    </row>
    <row r="677" spans="1:5" x14ac:dyDescent="0.3">
      <c r="A677" t="s">
        <v>675</v>
      </c>
      <c r="B677" t="str" cm="1">
        <f t="array" ref="B677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redcedar"},A677)),0)),"")</f>
        <v>Western redcedar</v>
      </c>
      <c r="C677" t="str" cm="1">
        <f t="array" ref="C677">IFERROR(INDEX({"Ridgetop","Other"},MATCH(TRUE,ISNUMBER(SEARCH({"Ridgetop","Other"},A677)),0)),"")</f>
        <v>Ridgetop</v>
      </c>
      <c r="D677" t="str" cm="1">
        <f t="array" ref="D677">IFERROR(INDEX({"Small","Medium","Large"},MATCH(TRUE,ISNUMBER(SEARCH({"Small","Medium","Large"},A677)),0)),"")</f>
        <v>Medium</v>
      </c>
      <c r="E677" t="str">
        <f t="shared" si="10"/>
        <v>0.020</v>
      </c>
    </row>
    <row r="678" spans="1:5" x14ac:dyDescent="0.3">
      <c r="A678" t="s">
        <v>676</v>
      </c>
      <c r="B678" t="str" cm="1">
        <f t="array" ref="B678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redcedar"},A678)),0)),"")</f>
        <v>Western redcedar</v>
      </c>
      <c r="C678" t="str" cm="1">
        <f t="array" ref="C678">IFERROR(INDEX({"Ridgetop","Other"},MATCH(TRUE,ISNUMBER(SEARCH({"Ridgetop","Other"},A678)),0)),"")</f>
        <v>Ridgetop</v>
      </c>
      <c r="D678" t="str" cm="1">
        <f t="array" ref="D678">IFERROR(INDEX({"Small","Medium","Large"},MATCH(TRUE,ISNUMBER(SEARCH({"Small","Medium","Large"},A678)),0)),"")</f>
        <v>Large</v>
      </c>
      <c r="E678" t="str">
        <f t="shared" si="10"/>
        <v>0.016</v>
      </c>
    </row>
    <row r="679" spans="1:5" x14ac:dyDescent="0.3">
      <c r="A679" t="s">
        <v>677</v>
      </c>
      <c r="B679" t="str" cm="1">
        <f t="array" ref="B679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redcedar"},A679)),0)),"")</f>
        <v>Western redcedar</v>
      </c>
      <c r="C679" t="str" cm="1">
        <f t="array" ref="C679">IFERROR(INDEX({"Ridgetop","Other"},MATCH(TRUE,ISNUMBER(SEARCH({"Ridgetop","Other"},A679)),0)),"")</f>
        <v>Ridgetop</v>
      </c>
      <c r="D679" t="str" cm="1">
        <f t="array" ref="D679">IFERROR(INDEX({"Small","Medium","Large"},MATCH(TRUE,ISNUMBER(SEARCH({"Small","Medium","Large"},A679)),0)),"")</f>
        <v>Small</v>
      </c>
      <c r="E679" t="str">
        <f t="shared" si="10"/>
        <v>0.082</v>
      </c>
    </row>
    <row r="680" spans="1:5" x14ac:dyDescent="0.3">
      <c r="A680" t="s">
        <v>678</v>
      </c>
      <c r="B680" t="str" cm="1">
        <f t="array" ref="B680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redcedar"},A680)),0)),"")</f>
        <v>Western redcedar</v>
      </c>
      <c r="C680" t="str" cm="1">
        <f t="array" ref="C680">IFERROR(INDEX({"Ridgetop","Other"},MATCH(TRUE,ISNUMBER(SEARCH({"Ridgetop","Other"},A680)),0)),"")</f>
        <v>Ridgetop</v>
      </c>
      <c r="D680" t="str" cm="1">
        <f t="array" ref="D680">IFERROR(INDEX({"Small","Medium","Large"},MATCH(TRUE,ISNUMBER(SEARCH({"Small","Medium","Large"},A680)),0)),"")</f>
        <v>Medium</v>
      </c>
      <c r="E680" t="str">
        <f t="shared" si="10"/>
        <v>0.020</v>
      </c>
    </row>
    <row r="681" spans="1:5" x14ac:dyDescent="0.3">
      <c r="A681" t="s">
        <v>679</v>
      </c>
      <c r="B681" t="str" cm="1">
        <f t="array" ref="B681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redcedar"},A681)),0)),"")</f>
        <v>Western redcedar</v>
      </c>
      <c r="C681" t="str" cm="1">
        <f t="array" ref="C681">IFERROR(INDEX({"Ridgetop","Other"},MATCH(TRUE,ISNUMBER(SEARCH({"Ridgetop","Other"},A681)),0)),"")</f>
        <v>Ridgetop</v>
      </c>
      <c r="D681" t="str" cm="1">
        <f t="array" ref="D681">IFERROR(INDEX({"Small","Medium","Large"},MATCH(TRUE,ISNUMBER(SEARCH({"Small","Medium","Large"},A681)),0)),"")</f>
        <v>Large</v>
      </c>
      <c r="E681" t="str">
        <f t="shared" si="10"/>
        <v>0.016</v>
      </c>
    </row>
    <row r="682" spans="1:5" x14ac:dyDescent="0.3">
      <c r="A682" t="s">
        <v>680</v>
      </c>
      <c r="B682" t="str" cm="1">
        <f t="array" ref="B682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redcedar"},A682)),0)),"")</f>
        <v>Western redcedar</v>
      </c>
      <c r="C682" t="str" cm="1">
        <f t="array" ref="C682">IFERROR(INDEX({"Ridgetop","Other"},MATCH(TRUE,ISNUMBER(SEARCH({"Ridgetop","Other"},A682)),0)),"")</f>
        <v>Ridgetop</v>
      </c>
      <c r="D682" t="str" cm="1">
        <f t="array" ref="D682">IFERROR(INDEX({"Small","Medium","Large"},MATCH(TRUE,ISNUMBER(SEARCH({"Small","Medium","Large"},A682)),0)),"")</f>
        <v>Small</v>
      </c>
      <c r="E682" t="str">
        <f t="shared" si="10"/>
        <v>0.082</v>
      </c>
    </row>
    <row r="683" spans="1:5" x14ac:dyDescent="0.3">
      <c r="A683" t="s">
        <v>681</v>
      </c>
      <c r="B683" t="str" cm="1">
        <f t="array" ref="B683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redcedar"},A683)),0)),"")</f>
        <v>Western redcedar</v>
      </c>
      <c r="C683" t="str" cm="1">
        <f t="array" ref="C683">IFERROR(INDEX({"Ridgetop","Other"},MATCH(TRUE,ISNUMBER(SEARCH({"Ridgetop","Other"},A683)),0)),"")</f>
        <v>Ridgetop</v>
      </c>
      <c r="D683" t="str" cm="1">
        <f t="array" ref="D683">IFERROR(INDEX({"Small","Medium","Large"},MATCH(TRUE,ISNUMBER(SEARCH({"Small","Medium","Large"},A683)),0)),"")</f>
        <v>Medium</v>
      </c>
      <c r="E683" t="str">
        <f t="shared" si="10"/>
        <v>0.020</v>
      </c>
    </row>
    <row r="684" spans="1:5" x14ac:dyDescent="0.3">
      <c r="A684" t="s">
        <v>682</v>
      </c>
      <c r="B684" t="str" cm="1">
        <f t="array" ref="B684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redcedar"},A684)),0)),"")</f>
        <v>Western redcedar</v>
      </c>
      <c r="C684" t="str" cm="1">
        <f t="array" ref="C684">IFERROR(INDEX({"Ridgetop","Other"},MATCH(TRUE,ISNUMBER(SEARCH({"Ridgetop","Other"},A684)),0)),"")</f>
        <v>Ridgetop</v>
      </c>
      <c r="D684" t="str" cm="1">
        <f t="array" ref="D684">IFERROR(INDEX({"Small","Medium","Large"},MATCH(TRUE,ISNUMBER(SEARCH({"Small","Medium","Large"},A684)),0)),"")</f>
        <v>Large</v>
      </c>
      <c r="E684" t="str">
        <f t="shared" si="10"/>
        <v>0.016</v>
      </c>
    </row>
    <row r="685" spans="1:5" x14ac:dyDescent="0.3">
      <c r="A685" t="s">
        <v>683</v>
      </c>
      <c r="B685" t="str" cm="1">
        <f t="array" ref="B685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redcedar"},A685)),0)),"")</f>
        <v>Western redcedar</v>
      </c>
      <c r="C685" t="str" cm="1">
        <f t="array" ref="C685">IFERROR(INDEX({"Ridgetop","Other"},MATCH(TRUE,ISNUMBER(SEARCH({"Ridgetop","Other"},A685)),0)),"")</f>
        <v>Other</v>
      </c>
      <c r="D685" t="str" cm="1">
        <f t="array" ref="D685">IFERROR(INDEX({"Small","Medium","Large"},MATCH(TRUE,ISNUMBER(SEARCH({"Small","Medium","Large"},A685)),0)),"")</f>
        <v>Small</v>
      </c>
      <c r="E685" t="str">
        <f t="shared" si="10"/>
        <v>0.037</v>
      </c>
    </row>
    <row r="686" spans="1:5" x14ac:dyDescent="0.3">
      <c r="A686" t="s">
        <v>684</v>
      </c>
      <c r="B686" t="str" cm="1">
        <f t="array" ref="B686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redcedar"},A686)),0)),"")</f>
        <v>Western redcedar</v>
      </c>
      <c r="C686" t="str" cm="1">
        <f t="array" ref="C686">IFERROR(INDEX({"Ridgetop","Other"},MATCH(TRUE,ISNUMBER(SEARCH({"Ridgetop","Other"},A686)),0)),"")</f>
        <v>Other</v>
      </c>
      <c r="D686" t="str" cm="1">
        <f t="array" ref="D686">IFERROR(INDEX({"Small","Medium","Large"},MATCH(TRUE,ISNUMBER(SEARCH({"Small","Medium","Large"},A686)),0)),"")</f>
        <v>Medium</v>
      </c>
      <c r="E686" t="str">
        <f t="shared" si="10"/>
        <v>0.009</v>
      </c>
    </row>
    <row r="687" spans="1:5" x14ac:dyDescent="0.3">
      <c r="A687" t="s">
        <v>685</v>
      </c>
      <c r="B687" t="str" cm="1">
        <f t="array" ref="B687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redcedar"},A687)),0)),"")</f>
        <v>Western redcedar</v>
      </c>
      <c r="C687" t="str" cm="1">
        <f t="array" ref="C687">IFERROR(INDEX({"Ridgetop","Other"},MATCH(TRUE,ISNUMBER(SEARCH({"Ridgetop","Other"},A687)),0)),"")</f>
        <v>Other</v>
      </c>
      <c r="D687" t="str" cm="1">
        <f t="array" ref="D687">IFERROR(INDEX({"Small","Medium","Large"},MATCH(TRUE,ISNUMBER(SEARCH({"Small","Medium","Large"},A687)),0)),"")</f>
        <v>Large</v>
      </c>
      <c r="E687" t="str">
        <f t="shared" si="10"/>
        <v>0.007</v>
      </c>
    </row>
    <row r="688" spans="1:5" x14ac:dyDescent="0.3">
      <c r="A688" t="s">
        <v>686</v>
      </c>
      <c r="B688" t="str" cm="1">
        <f t="array" ref="B688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redcedar"},A688)),0)),"")</f>
        <v>Western redcedar</v>
      </c>
      <c r="C688" t="str" cm="1">
        <f t="array" ref="C688">IFERROR(INDEX({"Ridgetop","Other"},MATCH(TRUE,ISNUMBER(SEARCH({"Ridgetop","Other"},A688)),0)),"")</f>
        <v>Other</v>
      </c>
      <c r="D688" t="str" cm="1">
        <f t="array" ref="D688">IFERROR(INDEX({"Small","Medium","Large"},MATCH(TRUE,ISNUMBER(SEARCH({"Small","Medium","Large"},A688)),0)),"")</f>
        <v>Small</v>
      </c>
      <c r="E688" t="str">
        <f t="shared" si="10"/>
        <v>0.041</v>
      </c>
    </row>
    <row r="689" spans="1:5" x14ac:dyDescent="0.3">
      <c r="A689" t="s">
        <v>687</v>
      </c>
      <c r="B689" t="str" cm="1">
        <f t="array" ref="B689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redcedar"},A689)),0)),"")</f>
        <v>Western redcedar</v>
      </c>
      <c r="C689" t="str" cm="1">
        <f t="array" ref="C689">IFERROR(INDEX({"Ridgetop","Other"},MATCH(TRUE,ISNUMBER(SEARCH({"Ridgetop","Other"},A689)),0)),"")</f>
        <v>Other</v>
      </c>
      <c r="D689" t="str" cm="1">
        <f t="array" ref="D689">IFERROR(INDEX({"Small","Medium","Large"},MATCH(TRUE,ISNUMBER(SEARCH({"Small","Medium","Large"},A689)),0)),"")</f>
        <v>Medium</v>
      </c>
      <c r="E689" t="str">
        <f t="shared" si="10"/>
        <v>0.010</v>
      </c>
    </row>
    <row r="690" spans="1:5" x14ac:dyDescent="0.3">
      <c r="A690" t="s">
        <v>688</v>
      </c>
      <c r="B690" t="str" cm="1">
        <f t="array" ref="B690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redcedar"},A690)),0)),"")</f>
        <v>Western redcedar</v>
      </c>
      <c r="C690" t="str" cm="1">
        <f t="array" ref="C690">IFERROR(INDEX({"Ridgetop","Other"},MATCH(TRUE,ISNUMBER(SEARCH({"Ridgetop","Other"},A690)),0)),"")</f>
        <v>Other</v>
      </c>
      <c r="D690" t="str" cm="1">
        <f t="array" ref="D690">IFERROR(INDEX({"Small","Medium","Large"},MATCH(TRUE,ISNUMBER(SEARCH({"Small","Medium","Large"},A690)),0)),"")</f>
        <v>Large</v>
      </c>
      <c r="E690" t="str">
        <f t="shared" si="10"/>
        <v>0.008</v>
      </c>
    </row>
    <row r="691" spans="1:5" x14ac:dyDescent="0.3">
      <c r="A691" t="s">
        <v>689</v>
      </c>
      <c r="B691" t="str" cm="1">
        <f t="array" ref="B691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redcedar"},A691)),0)),"")</f>
        <v>Western redcedar</v>
      </c>
      <c r="C691" t="str" cm="1">
        <f t="array" ref="C691">IFERROR(INDEX({"Ridgetop","Other"},MATCH(TRUE,ISNUMBER(SEARCH({"Ridgetop","Other"},A691)),0)),"")</f>
        <v>Other</v>
      </c>
      <c r="D691" t="str" cm="1">
        <f t="array" ref="D691">IFERROR(INDEX({"Small","Medium","Large"},MATCH(TRUE,ISNUMBER(SEARCH({"Small","Medium","Large"},A691)),0)),"")</f>
        <v>Small</v>
      </c>
      <c r="E691" t="str">
        <f t="shared" si="10"/>
        <v>0.049</v>
      </c>
    </row>
    <row r="692" spans="1:5" x14ac:dyDescent="0.3">
      <c r="A692" t="s">
        <v>690</v>
      </c>
      <c r="B692" t="str" cm="1">
        <f t="array" ref="B692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redcedar"},A692)),0)),"")</f>
        <v>Western redcedar</v>
      </c>
      <c r="C692" t="str" cm="1">
        <f t="array" ref="C692">IFERROR(INDEX({"Ridgetop","Other"},MATCH(TRUE,ISNUMBER(SEARCH({"Ridgetop","Other"},A692)),0)),"")</f>
        <v>Other</v>
      </c>
      <c r="D692" t="str" cm="1">
        <f t="array" ref="D692">IFERROR(INDEX({"Small","Medium","Large"},MATCH(TRUE,ISNUMBER(SEARCH({"Small","Medium","Large"},A692)),0)),"")</f>
        <v>Medium</v>
      </c>
      <c r="E692" t="str">
        <f t="shared" si="10"/>
        <v>0.012</v>
      </c>
    </row>
    <row r="693" spans="1:5" x14ac:dyDescent="0.3">
      <c r="A693" t="s">
        <v>691</v>
      </c>
      <c r="B693" t="str" cm="1">
        <f t="array" ref="B693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redcedar"},A693)),0)),"")</f>
        <v>Western redcedar</v>
      </c>
      <c r="C693" t="str" cm="1">
        <f t="array" ref="C693">IFERROR(INDEX({"Ridgetop","Other"},MATCH(TRUE,ISNUMBER(SEARCH({"Ridgetop","Other"},A693)),0)),"")</f>
        <v>Other</v>
      </c>
      <c r="D693" t="str" cm="1">
        <f t="array" ref="D693">IFERROR(INDEX({"Small","Medium","Large"},MATCH(TRUE,ISNUMBER(SEARCH({"Small","Medium","Large"},A693)),0)),"")</f>
        <v>Large</v>
      </c>
      <c r="E693" t="str">
        <f t="shared" si="10"/>
        <v>0.010</v>
      </c>
    </row>
    <row r="694" spans="1:5" x14ac:dyDescent="0.3">
      <c r="A694" t="s">
        <v>692</v>
      </c>
      <c r="B694" t="str" cm="1">
        <f t="array" ref="B694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redcedar"},A694)),0)),"")</f>
        <v>Western redcedar</v>
      </c>
      <c r="C694" t="str" cm="1">
        <f t="array" ref="C694">IFERROR(INDEX({"Ridgetop","Other"},MATCH(TRUE,ISNUMBER(SEARCH({"Ridgetop","Other"},A694)),0)),"")</f>
        <v>Ridgetop</v>
      </c>
      <c r="D694" t="str" cm="1">
        <f t="array" ref="D694">IFERROR(INDEX({"Small","Medium","Large"},MATCH(TRUE,ISNUMBER(SEARCH({"Small","Medium","Large"},A694)),0)),"")</f>
        <v>Small</v>
      </c>
      <c r="E694" t="str">
        <f t="shared" si="10"/>
        <v>0.070</v>
      </c>
    </row>
    <row r="695" spans="1:5" x14ac:dyDescent="0.3">
      <c r="A695" t="s">
        <v>693</v>
      </c>
      <c r="B695" t="str" cm="1">
        <f t="array" ref="B695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redcedar"},A695)),0)),"")</f>
        <v>Western redcedar</v>
      </c>
      <c r="C695" t="str" cm="1">
        <f t="array" ref="C695">IFERROR(INDEX({"Ridgetop","Other"},MATCH(TRUE,ISNUMBER(SEARCH({"Ridgetop","Other"},A695)),0)),"")</f>
        <v>Ridgetop</v>
      </c>
      <c r="D695" t="str" cm="1">
        <f t="array" ref="D695">IFERROR(INDEX({"Small","Medium","Large"},MATCH(TRUE,ISNUMBER(SEARCH({"Small","Medium","Large"},A695)),0)),"")</f>
        <v>Medium</v>
      </c>
      <c r="E695" t="str">
        <f t="shared" si="10"/>
        <v>0.017</v>
      </c>
    </row>
    <row r="696" spans="1:5" x14ac:dyDescent="0.3">
      <c r="A696" t="s">
        <v>694</v>
      </c>
      <c r="B696" t="str" cm="1">
        <f t="array" ref="B696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redcedar"},A696)),0)),"")</f>
        <v>Western redcedar</v>
      </c>
      <c r="C696" t="str" cm="1">
        <f t="array" ref="C696">IFERROR(INDEX({"Ridgetop","Other"},MATCH(TRUE,ISNUMBER(SEARCH({"Ridgetop","Other"},A696)),0)),"")</f>
        <v>Ridgetop</v>
      </c>
      <c r="D696" t="str" cm="1">
        <f t="array" ref="D696">IFERROR(INDEX({"Small","Medium","Large"},MATCH(TRUE,ISNUMBER(SEARCH({"Small","Medium","Large"},A696)),0)),"")</f>
        <v>Large</v>
      </c>
      <c r="E696" t="str">
        <f t="shared" si="10"/>
        <v>0.014</v>
      </c>
    </row>
    <row r="697" spans="1:5" x14ac:dyDescent="0.3">
      <c r="A697" t="s">
        <v>695</v>
      </c>
      <c r="B697" t="str" cm="1">
        <f t="array" ref="B697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redcedar"},A697)),0)),"")</f>
        <v>Western redcedar</v>
      </c>
      <c r="C697" t="str" cm="1">
        <f t="array" ref="C697">IFERROR(INDEX({"Ridgetop","Other"},MATCH(TRUE,ISNUMBER(SEARCH({"Ridgetop","Other"},A697)),0)),"")</f>
        <v>Ridgetop</v>
      </c>
      <c r="D697" t="str" cm="1">
        <f t="array" ref="D697">IFERROR(INDEX({"Small","Medium","Large"},MATCH(TRUE,ISNUMBER(SEARCH({"Small","Medium","Large"},A697)),0)),"")</f>
        <v>Small</v>
      </c>
      <c r="E697" t="str">
        <f t="shared" si="10"/>
        <v>0.070</v>
      </c>
    </row>
    <row r="698" spans="1:5" x14ac:dyDescent="0.3">
      <c r="A698" t="s">
        <v>696</v>
      </c>
      <c r="B698" t="str" cm="1">
        <f t="array" ref="B698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redcedar"},A698)),0)),"")</f>
        <v>Western redcedar</v>
      </c>
      <c r="C698" t="str" cm="1">
        <f t="array" ref="C698">IFERROR(INDEX({"Ridgetop","Other"},MATCH(TRUE,ISNUMBER(SEARCH({"Ridgetop","Other"},A698)),0)),"")</f>
        <v>Ridgetop</v>
      </c>
      <c r="D698" t="str" cm="1">
        <f t="array" ref="D698">IFERROR(INDEX({"Small","Medium","Large"},MATCH(TRUE,ISNUMBER(SEARCH({"Small","Medium","Large"},A698)),0)),"")</f>
        <v>Medium</v>
      </c>
      <c r="E698" t="str">
        <f t="shared" si="10"/>
        <v>0.017</v>
      </c>
    </row>
    <row r="699" spans="1:5" x14ac:dyDescent="0.3">
      <c r="A699" t="s">
        <v>697</v>
      </c>
      <c r="B699" t="str" cm="1">
        <f t="array" ref="B699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redcedar"},A699)),0)),"")</f>
        <v>Western redcedar</v>
      </c>
      <c r="C699" t="str" cm="1">
        <f t="array" ref="C699">IFERROR(INDEX({"Ridgetop","Other"},MATCH(TRUE,ISNUMBER(SEARCH({"Ridgetop","Other"},A699)),0)),"")</f>
        <v>Ridgetop</v>
      </c>
      <c r="D699" t="str" cm="1">
        <f t="array" ref="D699">IFERROR(INDEX({"Small","Medium","Large"},MATCH(TRUE,ISNUMBER(SEARCH({"Small","Medium","Large"},A699)),0)),"")</f>
        <v>Large</v>
      </c>
      <c r="E699" t="str">
        <f t="shared" si="10"/>
        <v>0.014</v>
      </c>
    </row>
    <row r="700" spans="1:5" x14ac:dyDescent="0.3">
      <c r="A700" t="s">
        <v>698</v>
      </c>
      <c r="B700" t="str" cm="1">
        <f t="array" ref="B700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redcedar"},A700)),0)),"")</f>
        <v>Western redcedar</v>
      </c>
      <c r="C700" t="str" cm="1">
        <f t="array" ref="C700">IFERROR(INDEX({"Ridgetop","Other"},MATCH(TRUE,ISNUMBER(SEARCH({"Ridgetop","Other"},A700)),0)),"")</f>
        <v>Ridgetop</v>
      </c>
      <c r="D700" t="str" cm="1">
        <f t="array" ref="D700">IFERROR(INDEX({"Small","Medium","Large"},MATCH(TRUE,ISNUMBER(SEARCH({"Small","Medium","Large"},A700)),0)),"")</f>
        <v>Small</v>
      </c>
      <c r="E700" t="str">
        <f t="shared" si="10"/>
        <v>0.074</v>
      </c>
    </row>
    <row r="701" spans="1:5" x14ac:dyDescent="0.3">
      <c r="A701" t="s">
        <v>699</v>
      </c>
      <c r="B701" t="str" cm="1">
        <f t="array" ref="B701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redcedar"},A701)),0)),"")</f>
        <v>Western redcedar</v>
      </c>
      <c r="C701" t="str" cm="1">
        <f t="array" ref="C701">IFERROR(INDEX({"Ridgetop","Other"},MATCH(TRUE,ISNUMBER(SEARCH({"Ridgetop","Other"},A701)),0)),"")</f>
        <v>Ridgetop</v>
      </c>
      <c r="D701" t="str" cm="1">
        <f t="array" ref="D701">IFERROR(INDEX({"Small","Medium","Large"},MATCH(TRUE,ISNUMBER(SEARCH({"Small","Medium","Large"},A701)),0)),"")</f>
        <v>Medium</v>
      </c>
      <c r="E701" t="str">
        <f t="shared" si="10"/>
        <v>0.018</v>
      </c>
    </row>
    <row r="702" spans="1:5" x14ac:dyDescent="0.3">
      <c r="A702" t="s">
        <v>700</v>
      </c>
      <c r="B702" t="str" cm="1">
        <f t="array" ref="B702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redcedar"},A702)),0)),"")</f>
        <v>Western redcedar</v>
      </c>
      <c r="C702" t="str" cm="1">
        <f t="array" ref="C702">IFERROR(INDEX({"Ridgetop","Other"},MATCH(TRUE,ISNUMBER(SEARCH({"Ridgetop","Other"},A702)),0)),"")</f>
        <v>Ridgetop</v>
      </c>
      <c r="D702" t="str" cm="1">
        <f t="array" ref="D702">IFERROR(INDEX({"Small","Medium","Large"},MATCH(TRUE,ISNUMBER(SEARCH({"Small","Medium","Large"},A702)),0)),"")</f>
        <v>Large</v>
      </c>
      <c r="E702" t="str">
        <f t="shared" si="10"/>
        <v>0.014</v>
      </c>
    </row>
    <row r="703" spans="1:5" x14ac:dyDescent="0.3">
      <c r="A703" t="s">
        <v>701</v>
      </c>
      <c r="B703" t="str" cm="1">
        <f t="array" ref="B703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redcedar"},A703)),0)),"")</f>
        <v>Western redcedar</v>
      </c>
      <c r="C703" t="str" cm="1">
        <f t="array" ref="C703">IFERROR(INDEX({"Ridgetop","Other"},MATCH(TRUE,ISNUMBER(SEARCH({"Ridgetop","Other"},A703)),0)),"")</f>
        <v>Other</v>
      </c>
      <c r="D703" t="str" cm="1">
        <f t="array" ref="D703">IFERROR(INDEX({"Small","Medium","Large"},MATCH(TRUE,ISNUMBER(SEARCH({"Small","Medium","Large"},A703)),0)),"")</f>
        <v>Small</v>
      </c>
      <c r="E703" t="str">
        <f t="shared" si="10"/>
        <v>0.045</v>
      </c>
    </row>
    <row r="704" spans="1:5" x14ac:dyDescent="0.3">
      <c r="A704" t="s">
        <v>702</v>
      </c>
      <c r="B704" t="str" cm="1">
        <f t="array" ref="B704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redcedar"},A704)),0)),"")</f>
        <v>Western redcedar</v>
      </c>
      <c r="C704" t="str" cm="1">
        <f t="array" ref="C704">IFERROR(INDEX({"Ridgetop","Other"},MATCH(TRUE,ISNUMBER(SEARCH({"Ridgetop","Other"},A704)),0)),"")</f>
        <v>Other</v>
      </c>
      <c r="D704" t="str" cm="1">
        <f t="array" ref="D704">IFERROR(INDEX({"Small","Medium","Large"},MATCH(TRUE,ISNUMBER(SEARCH({"Small","Medium","Large"},A704)),0)),"")</f>
        <v>Medium</v>
      </c>
      <c r="E704" t="str">
        <f t="shared" si="10"/>
        <v>0.011</v>
      </c>
    </row>
    <row r="705" spans="1:5" x14ac:dyDescent="0.3">
      <c r="A705" t="s">
        <v>703</v>
      </c>
      <c r="B705" t="str" cm="1">
        <f t="array" ref="B705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redcedar"},A705)),0)),"")</f>
        <v>Western redcedar</v>
      </c>
      <c r="C705" t="str" cm="1">
        <f t="array" ref="C705">IFERROR(INDEX({"Ridgetop","Other"},MATCH(TRUE,ISNUMBER(SEARCH({"Ridgetop","Other"},A705)),0)),"")</f>
        <v>Other</v>
      </c>
      <c r="D705" t="str" cm="1">
        <f t="array" ref="D705">IFERROR(INDEX({"Small","Medium","Large"},MATCH(TRUE,ISNUMBER(SEARCH({"Small","Medium","Large"},A705)),0)),"")</f>
        <v>Large</v>
      </c>
      <c r="E705" t="str">
        <f t="shared" si="10"/>
        <v>0.009</v>
      </c>
    </row>
    <row r="706" spans="1:5" x14ac:dyDescent="0.3">
      <c r="A706" t="s">
        <v>704</v>
      </c>
      <c r="B706" t="str" cm="1">
        <f t="array" ref="B706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redcedar"},A706)),0)),"")</f>
        <v>Western redcedar</v>
      </c>
      <c r="C706" t="str" cm="1">
        <f t="array" ref="C706">IFERROR(INDEX({"Ridgetop","Other"},MATCH(TRUE,ISNUMBER(SEARCH({"Ridgetop","Other"},A706)),0)),"")</f>
        <v>Other</v>
      </c>
      <c r="D706" t="str" cm="1">
        <f t="array" ref="D706">IFERROR(INDEX({"Small","Medium","Large"},MATCH(TRUE,ISNUMBER(SEARCH({"Small","Medium","Large"},A706)),0)),"")</f>
        <v>Small</v>
      </c>
      <c r="E706" t="str">
        <f t="shared" si="10"/>
        <v>0.049</v>
      </c>
    </row>
    <row r="707" spans="1:5" x14ac:dyDescent="0.3">
      <c r="A707" t="s">
        <v>705</v>
      </c>
      <c r="B707" t="str" cm="1">
        <f t="array" ref="B707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redcedar"},A707)),0)),"")</f>
        <v>Western redcedar</v>
      </c>
      <c r="C707" t="str" cm="1">
        <f t="array" ref="C707">IFERROR(INDEX({"Ridgetop","Other"},MATCH(TRUE,ISNUMBER(SEARCH({"Ridgetop","Other"},A707)),0)),"")</f>
        <v>Other</v>
      </c>
      <c r="D707" t="str" cm="1">
        <f t="array" ref="D707">IFERROR(INDEX({"Small","Medium","Large"},MATCH(TRUE,ISNUMBER(SEARCH({"Small","Medium","Large"},A707)),0)),"")</f>
        <v>Medium</v>
      </c>
      <c r="E707" t="str">
        <f t="shared" ref="E707:E770" si="11">RIGHT(A707,LEN(A707)-FIND("@",SUBSTITUTE(A707," ","@",LEN(A707)-LEN(SUBSTITUTE(A707," ","")))))</f>
        <v>0.012</v>
      </c>
    </row>
    <row r="708" spans="1:5" x14ac:dyDescent="0.3">
      <c r="A708" t="s">
        <v>706</v>
      </c>
      <c r="B708" t="str" cm="1">
        <f t="array" ref="B708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redcedar"},A708)),0)),"")</f>
        <v>Western redcedar</v>
      </c>
      <c r="C708" t="str" cm="1">
        <f t="array" ref="C708">IFERROR(INDEX({"Ridgetop","Other"},MATCH(TRUE,ISNUMBER(SEARCH({"Ridgetop","Other"},A708)),0)),"")</f>
        <v>Other</v>
      </c>
      <c r="D708" t="str" cm="1">
        <f t="array" ref="D708">IFERROR(INDEX({"Small","Medium","Large"},MATCH(TRUE,ISNUMBER(SEARCH({"Small","Medium","Large"},A708)),0)),"")</f>
        <v>Large</v>
      </c>
      <c r="E708" t="str">
        <f t="shared" si="11"/>
        <v>0.010</v>
      </c>
    </row>
    <row r="709" spans="1:5" x14ac:dyDescent="0.3">
      <c r="A709" t="s">
        <v>707</v>
      </c>
      <c r="B709" t="str" cm="1">
        <f t="array" ref="B709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redcedar"},A709)),0)),"")</f>
        <v>Western redcedar</v>
      </c>
      <c r="C709" t="str" cm="1">
        <f t="array" ref="C709">IFERROR(INDEX({"Ridgetop","Other"},MATCH(TRUE,ISNUMBER(SEARCH({"Ridgetop","Other"},A709)),0)),"")</f>
        <v>Other</v>
      </c>
      <c r="D709" t="str" cm="1">
        <f t="array" ref="D709">IFERROR(INDEX({"Small","Medium","Large"},MATCH(TRUE,ISNUMBER(SEARCH({"Small","Medium","Large"},A709)),0)),"")</f>
        <v>Small</v>
      </c>
      <c r="E709" t="str">
        <f t="shared" si="11"/>
        <v>0.049</v>
      </c>
    </row>
    <row r="710" spans="1:5" x14ac:dyDescent="0.3">
      <c r="A710" t="s">
        <v>708</v>
      </c>
      <c r="B710" t="str" cm="1">
        <f t="array" ref="B710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redcedar"},A710)),0)),"")</f>
        <v>Western redcedar</v>
      </c>
      <c r="C710" t="str" cm="1">
        <f t="array" ref="C710">IFERROR(INDEX({"Ridgetop","Other"},MATCH(TRUE,ISNUMBER(SEARCH({"Ridgetop","Other"},A710)),0)),"")</f>
        <v>Other</v>
      </c>
      <c r="D710" t="str" cm="1">
        <f t="array" ref="D710">IFERROR(INDEX({"Small","Medium","Large"},MATCH(TRUE,ISNUMBER(SEARCH({"Small","Medium","Large"},A710)),0)),"")</f>
        <v>Medium</v>
      </c>
      <c r="E710" t="str">
        <f t="shared" si="11"/>
        <v>0.012</v>
      </c>
    </row>
    <row r="711" spans="1:5" x14ac:dyDescent="0.3">
      <c r="A711" t="s">
        <v>709</v>
      </c>
      <c r="B711" t="str" cm="1">
        <f t="array" ref="B711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redcedar"},A711)),0)),"")</f>
        <v>Western redcedar</v>
      </c>
      <c r="C711" t="str" cm="1">
        <f t="array" ref="C711">IFERROR(INDEX({"Ridgetop","Other"},MATCH(TRUE,ISNUMBER(SEARCH({"Ridgetop","Other"},A711)),0)),"")</f>
        <v>Other</v>
      </c>
      <c r="D711" t="str" cm="1">
        <f t="array" ref="D711">IFERROR(INDEX({"Small","Medium","Large"},MATCH(TRUE,ISNUMBER(SEARCH({"Small","Medium","Large"},A711)),0)),"")</f>
        <v>Large</v>
      </c>
      <c r="E711" t="str">
        <f t="shared" si="11"/>
        <v>0.010</v>
      </c>
    </row>
    <row r="712" spans="1:5" x14ac:dyDescent="0.3">
      <c r="A712" t="s">
        <v>710</v>
      </c>
      <c r="B712" t="str" cm="1">
        <f t="array" ref="B712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redcedar"},A712)),0)),"")</f>
        <v>Western redcedar</v>
      </c>
      <c r="C712" t="str" cm="1">
        <f t="array" ref="C712">IFERROR(INDEX({"Ridgetop","Other"},MATCH(TRUE,ISNUMBER(SEARCH({"Ridgetop","Other"},A712)),0)),"")</f>
        <v>Ridgetop</v>
      </c>
      <c r="D712" t="str" cm="1">
        <f t="array" ref="D712">IFERROR(INDEX({"Small","Medium","Large"},MATCH(TRUE,ISNUMBER(SEARCH({"Small","Medium","Large"},A712)),0)),"")</f>
        <v>Small</v>
      </c>
      <c r="E712" t="str">
        <f t="shared" si="11"/>
        <v>0.082</v>
      </c>
    </row>
    <row r="713" spans="1:5" x14ac:dyDescent="0.3">
      <c r="A713" t="s">
        <v>711</v>
      </c>
      <c r="B713" t="str" cm="1">
        <f t="array" ref="B713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redcedar"},A713)),0)),"")</f>
        <v>Western redcedar</v>
      </c>
      <c r="C713" t="str" cm="1">
        <f t="array" ref="C713">IFERROR(INDEX({"Ridgetop","Other"},MATCH(TRUE,ISNUMBER(SEARCH({"Ridgetop","Other"},A713)),0)),"")</f>
        <v>Ridgetop</v>
      </c>
      <c r="D713" t="str" cm="1">
        <f t="array" ref="D713">IFERROR(INDEX({"Small","Medium","Large"},MATCH(TRUE,ISNUMBER(SEARCH({"Small","Medium","Large"},A713)),0)),"")</f>
        <v>Medium</v>
      </c>
      <c r="E713" t="str">
        <f t="shared" si="11"/>
        <v>0.020</v>
      </c>
    </row>
    <row r="714" spans="1:5" x14ac:dyDescent="0.3">
      <c r="A714" t="s">
        <v>712</v>
      </c>
      <c r="B714" t="str" cm="1">
        <f t="array" ref="B714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redcedar"},A714)),0)),"")</f>
        <v>Western redcedar</v>
      </c>
      <c r="C714" t="str" cm="1">
        <f t="array" ref="C714">IFERROR(INDEX({"Ridgetop","Other"},MATCH(TRUE,ISNUMBER(SEARCH({"Ridgetop","Other"},A714)),0)),"")</f>
        <v>Ridgetop</v>
      </c>
      <c r="D714" t="str" cm="1">
        <f t="array" ref="D714">IFERROR(INDEX({"Small","Medium","Large"},MATCH(TRUE,ISNUMBER(SEARCH({"Small","Medium","Large"},A714)),0)),"")</f>
        <v>Large</v>
      </c>
      <c r="E714" t="str">
        <f t="shared" si="11"/>
        <v>0.016</v>
      </c>
    </row>
    <row r="715" spans="1:5" x14ac:dyDescent="0.3">
      <c r="A715" t="s">
        <v>713</v>
      </c>
      <c r="B715" t="str" cm="1">
        <f t="array" ref="B715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redcedar"},A715)),0)),"")</f>
        <v>Western redcedar</v>
      </c>
      <c r="C715" t="str" cm="1">
        <f t="array" ref="C715">IFERROR(INDEX({"Ridgetop","Other"},MATCH(TRUE,ISNUMBER(SEARCH({"Ridgetop","Other"},A715)),0)),"")</f>
        <v>Ridgetop</v>
      </c>
      <c r="D715" t="str" cm="1">
        <f t="array" ref="D715">IFERROR(INDEX({"Small","Medium","Large"},MATCH(TRUE,ISNUMBER(SEARCH({"Small","Medium","Large"},A715)),0)),"")</f>
        <v>Small</v>
      </c>
      <c r="E715" t="str">
        <f t="shared" si="11"/>
        <v>0.082</v>
      </c>
    </row>
    <row r="716" spans="1:5" x14ac:dyDescent="0.3">
      <c r="A716" t="s">
        <v>714</v>
      </c>
      <c r="B716" t="str" cm="1">
        <f t="array" ref="B716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redcedar"},A716)),0)),"")</f>
        <v>Western redcedar</v>
      </c>
      <c r="C716" t="str" cm="1">
        <f t="array" ref="C716">IFERROR(INDEX({"Ridgetop","Other"},MATCH(TRUE,ISNUMBER(SEARCH({"Ridgetop","Other"},A716)),0)),"")</f>
        <v>Ridgetop</v>
      </c>
      <c r="D716" t="str" cm="1">
        <f t="array" ref="D716">IFERROR(INDEX({"Small","Medium","Large"},MATCH(TRUE,ISNUMBER(SEARCH({"Small","Medium","Large"},A716)),0)),"")</f>
        <v>Medium</v>
      </c>
      <c r="E716" t="str">
        <f t="shared" si="11"/>
        <v>0.020</v>
      </c>
    </row>
    <row r="717" spans="1:5" x14ac:dyDescent="0.3">
      <c r="A717" t="s">
        <v>715</v>
      </c>
      <c r="B717" t="str" cm="1">
        <f t="array" ref="B717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redcedar"},A717)),0)),"")</f>
        <v>Western redcedar</v>
      </c>
      <c r="C717" t="str" cm="1">
        <f t="array" ref="C717">IFERROR(INDEX({"Ridgetop","Other"},MATCH(TRUE,ISNUMBER(SEARCH({"Ridgetop","Other"},A717)),0)),"")</f>
        <v>Ridgetop</v>
      </c>
      <c r="D717" t="str" cm="1">
        <f t="array" ref="D717">IFERROR(INDEX({"Small","Medium","Large"},MATCH(TRUE,ISNUMBER(SEARCH({"Small","Medium","Large"},A717)),0)),"")</f>
        <v>Large</v>
      </c>
      <c r="E717" t="str">
        <f t="shared" si="11"/>
        <v>0.016</v>
      </c>
    </row>
    <row r="718" spans="1:5" x14ac:dyDescent="0.3">
      <c r="A718" t="s">
        <v>716</v>
      </c>
      <c r="B718" t="str" cm="1">
        <f t="array" ref="B718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redcedar"},A718)),0)),"")</f>
        <v>Western redcedar</v>
      </c>
      <c r="C718" t="str" cm="1">
        <f t="array" ref="C718">IFERROR(INDEX({"Ridgetop","Other"},MATCH(TRUE,ISNUMBER(SEARCH({"Ridgetop","Other"},A718)),0)),"")</f>
        <v>Ridgetop</v>
      </c>
      <c r="D718" t="str" cm="1">
        <f t="array" ref="D718">IFERROR(INDEX({"Small","Medium","Large"},MATCH(TRUE,ISNUMBER(SEARCH({"Small","Medium","Large"},A718)),0)),"")</f>
        <v>Small</v>
      </c>
      <c r="E718" t="str">
        <f t="shared" si="11"/>
        <v>0.082</v>
      </c>
    </row>
    <row r="719" spans="1:5" x14ac:dyDescent="0.3">
      <c r="A719" t="s">
        <v>717</v>
      </c>
      <c r="B719" t="str" cm="1">
        <f t="array" ref="B719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redcedar"},A719)),0)),"")</f>
        <v>Western redcedar</v>
      </c>
      <c r="C719" t="str" cm="1">
        <f t="array" ref="C719">IFERROR(INDEX({"Ridgetop","Other"},MATCH(TRUE,ISNUMBER(SEARCH({"Ridgetop","Other"},A719)),0)),"")</f>
        <v>Ridgetop</v>
      </c>
      <c r="D719" t="str" cm="1">
        <f t="array" ref="D719">IFERROR(INDEX({"Small","Medium","Large"},MATCH(TRUE,ISNUMBER(SEARCH({"Small","Medium","Large"},A719)),0)),"")</f>
        <v>Medium</v>
      </c>
      <c r="E719" t="str">
        <f t="shared" si="11"/>
        <v>0.020</v>
      </c>
    </row>
    <row r="720" spans="1:5" x14ac:dyDescent="0.3">
      <c r="A720" t="s">
        <v>718</v>
      </c>
      <c r="B720" t="str" cm="1">
        <f t="array" ref="B720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redcedar"},A720)),0)),"")</f>
        <v>Western redcedar</v>
      </c>
      <c r="C720" t="str" cm="1">
        <f t="array" ref="C720">IFERROR(INDEX({"Ridgetop","Other"},MATCH(TRUE,ISNUMBER(SEARCH({"Ridgetop","Other"},A720)),0)),"")</f>
        <v>Ridgetop</v>
      </c>
      <c r="D720" t="str" cm="1">
        <f t="array" ref="D720">IFERROR(INDEX({"Small","Medium","Large"},MATCH(TRUE,ISNUMBER(SEARCH({"Small","Medium","Large"},A720)),0)),"")</f>
        <v>Large</v>
      </c>
      <c r="E720" t="str">
        <f t="shared" si="11"/>
        <v>0.016</v>
      </c>
    </row>
    <row r="721" spans="1:5" x14ac:dyDescent="0.3">
      <c r="A721" t="s">
        <v>719</v>
      </c>
      <c r="B721" t="str" cm="1">
        <f t="array" ref="B721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redcedar"},A721)),0)),"")</f>
        <v>Western redcedar</v>
      </c>
      <c r="C721" t="str" cm="1">
        <f t="array" ref="C721">IFERROR(INDEX({"Ridgetop","Other"},MATCH(TRUE,ISNUMBER(SEARCH({"Ridgetop","Other"},A721)),0)),"")</f>
        <v>Other</v>
      </c>
      <c r="D721" t="str" cm="1">
        <f t="array" ref="D721">IFERROR(INDEX({"Small","Medium","Large"},MATCH(TRUE,ISNUMBER(SEARCH({"Small","Medium","Large"},A721)),0)),"")</f>
        <v>Small</v>
      </c>
      <c r="E721" t="str">
        <f t="shared" si="11"/>
        <v>0.040</v>
      </c>
    </row>
    <row r="722" spans="1:5" x14ac:dyDescent="0.3">
      <c r="A722" t="s">
        <v>720</v>
      </c>
      <c r="B722" t="str" cm="1">
        <f t="array" ref="B722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redcedar"},A722)),0)),"")</f>
        <v>Western redcedar</v>
      </c>
      <c r="C722" t="str" cm="1">
        <f t="array" ref="C722">IFERROR(INDEX({"Ridgetop","Other"},MATCH(TRUE,ISNUMBER(SEARCH({"Ridgetop","Other"},A722)),0)),"")</f>
        <v>Other</v>
      </c>
      <c r="D722" t="str" cm="1">
        <f t="array" ref="D722">IFERROR(INDEX({"Small","Medium","Large"},MATCH(TRUE,ISNUMBER(SEARCH({"Small","Medium","Large"},A722)),0)),"")</f>
        <v>Medium</v>
      </c>
      <c r="E722" t="str">
        <f t="shared" si="11"/>
        <v>0.010</v>
      </c>
    </row>
    <row r="723" spans="1:5" x14ac:dyDescent="0.3">
      <c r="A723" t="s">
        <v>721</v>
      </c>
      <c r="B723" t="str" cm="1">
        <f t="array" ref="B723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redcedar"},A723)),0)),"")</f>
        <v>Western redcedar</v>
      </c>
      <c r="C723" t="str" cm="1">
        <f t="array" ref="C723">IFERROR(INDEX({"Ridgetop","Other"},MATCH(TRUE,ISNUMBER(SEARCH({"Ridgetop","Other"},A723)),0)),"")</f>
        <v>Other</v>
      </c>
      <c r="D723" t="str" cm="1">
        <f t="array" ref="D723">IFERROR(INDEX({"Small","Medium","Large"},MATCH(TRUE,ISNUMBER(SEARCH({"Small","Medium","Large"},A723)),0)),"")</f>
        <v>Large</v>
      </c>
      <c r="E723" t="str">
        <f t="shared" si="11"/>
        <v>0.008</v>
      </c>
    </row>
    <row r="724" spans="1:5" x14ac:dyDescent="0.3">
      <c r="A724" t="s">
        <v>722</v>
      </c>
      <c r="B724" t="str" cm="1">
        <f t="array" ref="B724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redcedar"},A724)),0)),"")</f>
        <v>Western redcedar</v>
      </c>
      <c r="C724" t="str" cm="1">
        <f t="array" ref="C724">IFERROR(INDEX({"Ridgetop","Other"},MATCH(TRUE,ISNUMBER(SEARCH({"Ridgetop","Other"},A724)),0)),"")</f>
        <v>Other</v>
      </c>
      <c r="D724" t="str" cm="1">
        <f t="array" ref="D724">IFERROR(INDEX({"Small","Medium","Large"},MATCH(TRUE,ISNUMBER(SEARCH({"Small","Medium","Large"},A724)),0)),"")</f>
        <v>Small</v>
      </c>
      <c r="E724" t="str">
        <f t="shared" si="11"/>
        <v>0.045</v>
      </c>
    </row>
    <row r="725" spans="1:5" x14ac:dyDescent="0.3">
      <c r="A725" t="s">
        <v>723</v>
      </c>
      <c r="B725" t="str" cm="1">
        <f t="array" ref="B725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redcedar"},A725)),0)),"")</f>
        <v>Western redcedar</v>
      </c>
      <c r="C725" t="str" cm="1">
        <f t="array" ref="C725">IFERROR(INDEX({"Ridgetop","Other"},MATCH(TRUE,ISNUMBER(SEARCH({"Ridgetop","Other"},A725)),0)),"")</f>
        <v>Other</v>
      </c>
      <c r="D725" t="str" cm="1">
        <f t="array" ref="D725">IFERROR(INDEX({"Small","Medium","Large"},MATCH(TRUE,ISNUMBER(SEARCH({"Small","Medium","Large"},A725)),0)),"")</f>
        <v>Medium</v>
      </c>
      <c r="E725" t="str">
        <f t="shared" si="11"/>
        <v>0.011</v>
      </c>
    </row>
    <row r="726" spans="1:5" x14ac:dyDescent="0.3">
      <c r="A726" t="s">
        <v>724</v>
      </c>
      <c r="B726" t="str" cm="1">
        <f t="array" ref="B726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redcedar"},A726)),0)),"")</f>
        <v>Western redcedar</v>
      </c>
      <c r="C726" t="str" cm="1">
        <f t="array" ref="C726">IFERROR(INDEX({"Ridgetop","Other"},MATCH(TRUE,ISNUMBER(SEARCH({"Ridgetop","Other"},A726)),0)),"")</f>
        <v>Other</v>
      </c>
      <c r="D726" t="str" cm="1">
        <f t="array" ref="D726">IFERROR(INDEX({"Small","Medium","Large"},MATCH(TRUE,ISNUMBER(SEARCH({"Small","Medium","Large"},A726)),0)),"")</f>
        <v>Large</v>
      </c>
      <c r="E726" t="str">
        <f t="shared" si="11"/>
        <v>0.009</v>
      </c>
    </row>
    <row r="727" spans="1:5" x14ac:dyDescent="0.3">
      <c r="A727" t="s">
        <v>725</v>
      </c>
      <c r="B727" t="str" cm="1">
        <f t="array" ref="B727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redcedar"},A727)),0)),"")</f>
        <v>Western redcedar</v>
      </c>
      <c r="C727" t="str" cm="1">
        <f t="array" ref="C727">IFERROR(INDEX({"Ridgetop","Other"},MATCH(TRUE,ISNUMBER(SEARCH({"Ridgetop","Other"},A727)),0)),"")</f>
        <v>Other</v>
      </c>
      <c r="D727" t="str" cm="1">
        <f t="array" ref="D727">IFERROR(INDEX({"Small","Medium","Large"},MATCH(TRUE,ISNUMBER(SEARCH({"Small","Medium","Large"},A727)),0)),"")</f>
        <v>Small</v>
      </c>
      <c r="E727" t="str">
        <f t="shared" si="11"/>
        <v>0.049</v>
      </c>
    </row>
    <row r="728" spans="1:5" x14ac:dyDescent="0.3">
      <c r="A728" t="s">
        <v>726</v>
      </c>
      <c r="B728" t="str" cm="1">
        <f t="array" ref="B728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redcedar"},A728)),0)),"")</f>
        <v>Western redcedar</v>
      </c>
      <c r="C728" t="str" cm="1">
        <f t="array" ref="C728">IFERROR(INDEX({"Ridgetop","Other"},MATCH(TRUE,ISNUMBER(SEARCH({"Ridgetop","Other"},A728)),0)),"")</f>
        <v>Other</v>
      </c>
      <c r="D728" t="str" cm="1">
        <f t="array" ref="D728">IFERROR(INDEX({"Small","Medium","Large"},MATCH(TRUE,ISNUMBER(SEARCH({"Small","Medium","Large"},A728)),0)),"")</f>
        <v>Medium</v>
      </c>
      <c r="E728" t="str">
        <f t="shared" si="11"/>
        <v>0.012</v>
      </c>
    </row>
    <row r="729" spans="1:5" x14ac:dyDescent="0.3">
      <c r="A729" t="s">
        <v>727</v>
      </c>
      <c r="B729" t="str" cm="1">
        <f t="array" ref="B729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redcedar"},A729)),0)),"")</f>
        <v>Western redcedar</v>
      </c>
      <c r="C729" t="str" cm="1">
        <f t="array" ref="C729">IFERROR(INDEX({"Ridgetop","Other"},MATCH(TRUE,ISNUMBER(SEARCH({"Ridgetop","Other"},A729)),0)),"")</f>
        <v>Other</v>
      </c>
      <c r="D729" t="str" cm="1">
        <f t="array" ref="D729">IFERROR(INDEX({"Small","Medium","Large"},MATCH(TRUE,ISNUMBER(SEARCH({"Small","Medium","Large"},A729)),0)),"")</f>
        <v>Large</v>
      </c>
      <c r="E729" t="str">
        <f t="shared" si="11"/>
        <v>0.010</v>
      </c>
    </row>
    <row r="730" spans="1:5" x14ac:dyDescent="0.3">
      <c r="A730" t="s">
        <v>728</v>
      </c>
      <c r="B730" t="str" cm="1">
        <f t="array" ref="B730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redcedar"},A730)),0)),"")</f>
        <v>Western redcedar</v>
      </c>
      <c r="C730" t="str" cm="1">
        <f t="array" ref="C730">IFERROR(INDEX({"Ridgetop","Other"},MATCH(TRUE,ISNUMBER(SEARCH({"Ridgetop","Other"},A730)),0)),"")</f>
        <v>Ridgetop</v>
      </c>
      <c r="D730" t="str" cm="1">
        <f t="array" ref="D730">IFERROR(INDEX({"Small","Medium","Large"},MATCH(TRUE,ISNUMBER(SEARCH({"Small","Medium","Large"},A730)),0)),"")</f>
        <v>Small</v>
      </c>
      <c r="E730" t="str">
        <f t="shared" si="11"/>
        <v>0.076</v>
      </c>
    </row>
    <row r="731" spans="1:5" x14ac:dyDescent="0.3">
      <c r="A731" t="s">
        <v>729</v>
      </c>
      <c r="B731" t="str" cm="1">
        <f t="array" ref="B731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redcedar"},A731)),0)),"")</f>
        <v>Western redcedar</v>
      </c>
      <c r="C731" t="str" cm="1">
        <f t="array" ref="C731">IFERROR(INDEX({"Ridgetop","Other"},MATCH(TRUE,ISNUMBER(SEARCH({"Ridgetop","Other"},A731)),0)),"")</f>
        <v>Ridgetop</v>
      </c>
      <c r="D731" t="str" cm="1">
        <f t="array" ref="D731">IFERROR(INDEX({"Small","Medium","Large"},MATCH(TRUE,ISNUMBER(SEARCH({"Small","Medium","Large"},A731)),0)),"")</f>
        <v>Medium</v>
      </c>
      <c r="E731" t="str">
        <f t="shared" si="11"/>
        <v>0.019</v>
      </c>
    </row>
    <row r="732" spans="1:5" x14ac:dyDescent="0.3">
      <c r="A732" t="s">
        <v>730</v>
      </c>
      <c r="B732" t="str" cm="1">
        <f t="array" ref="B732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redcedar"},A732)),0)),"")</f>
        <v>Western redcedar</v>
      </c>
      <c r="C732" t="str" cm="1">
        <f t="array" ref="C732">IFERROR(INDEX({"Ridgetop","Other"},MATCH(TRUE,ISNUMBER(SEARCH({"Ridgetop","Other"},A732)),0)),"")</f>
        <v>Ridgetop</v>
      </c>
      <c r="D732" t="str" cm="1">
        <f t="array" ref="D732">IFERROR(INDEX({"Small","Medium","Large"},MATCH(TRUE,ISNUMBER(SEARCH({"Small","Medium","Large"},A732)),0)),"")</f>
        <v>Large</v>
      </c>
      <c r="E732" t="str">
        <f t="shared" si="11"/>
        <v>0.015</v>
      </c>
    </row>
    <row r="733" spans="1:5" x14ac:dyDescent="0.3">
      <c r="A733" t="s">
        <v>731</v>
      </c>
      <c r="B733" t="str" cm="1">
        <f t="array" ref="B733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redcedar"},A733)),0)),"")</f>
        <v>Western redcedar</v>
      </c>
      <c r="C733" t="str" cm="1">
        <f t="array" ref="C733">IFERROR(INDEX({"Ridgetop","Other"},MATCH(TRUE,ISNUMBER(SEARCH({"Ridgetop","Other"},A733)),0)),"")</f>
        <v>Ridgetop</v>
      </c>
      <c r="D733" t="str" cm="1">
        <f t="array" ref="D733">IFERROR(INDEX({"Small","Medium","Large"},MATCH(TRUE,ISNUMBER(SEARCH({"Small","Medium","Large"},A733)),0)),"")</f>
        <v>Small</v>
      </c>
      <c r="E733" t="str">
        <f t="shared" si="11"/>
        <v>0.076</v>
      </c>
    </row>
    <row r="734" spans="1:5" x14ac:dyDescent="0.3">
      <c r="A734" t="s">
        <v>732</v>
      </c>
      <c r="B734" t="str" cm="1">
        <f t="array" ref="B734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redcedar"},A734)),0)),"")</f>
        <v>Western redcedar</v>
      </c>
      <c r="C734" t="str" cm="1">
        <f t="array" ref="C734">IFERROR(INDEX({"Ridgetop","Other"},MATCH(TRUE,ISNUMBER(SEARCH({"Ridgetop","Other"},A734)),0)),"")</f>
        <v>Ridgetop</v>
      </c>
      <c r="D734" t="str" cm="1">
        <f t="array" ref="D734">IFERROR(INDEX({"Small","Medium","Large"},MATCH(TRUE,ISNUMBER(SEARCH({"Small","Medium","Large"},A734)),0)),"")</f>
        <v>Medium</v>
      </c>
      <c r="E734" t="str">
        <f t="shared" si="11"/>
        <v>0.019</v>
      </c>
    </row>
    <row r="735" spans="1:5" x14ac:dyDescent="0.3">
      <c r="A735" t="s">
        <v>733</v>
      </c>
      <c r="B735" t="str" cm="1">
        <f t="array" ref="B735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redcedar"},A735)),0)),"")</f>
        <v>Western redcedar</v>
      </c>
      <c r="C735" t="str" cm="1">
        <f t="array" ref="C735">IFERROR(INDEX({"Ridgetop","Other"},MATCH(TRUE,ISNUMBER(SEARCH({"Ridgetop","Other"},A735)),0)),"")</f>
        <v>Ridgetop</v>
      </c>
      <c r="D735" t="str" cm="1">
        <f t="array" ref="D735">IFERROR(INDEX({"Small","Medium","Large"},MATCH(TRUE,ISNUMBER(SEARCH({"Small","Medium","Large"},A735)),0)),"")</f>
        <v>Large</v>
      </c>
      <c r="E735" t="str">
        <f t="shared" si="11"/>
        <v>0.015</v>
      </c>
    </row>
    <row r="736" spans="1:5" x14ac:dyDescent="0.3">
      <c r="A736" t="s">
        <v>734</v>
      </c>
      <c r="B736" t="str" cm="1">
        <f t="array" ref="B736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redcedar"},A736)),0)),"")</f>
        <v>Western redcedar</v>
      </c>
      <c r="C736" t="str" cm="1">
        <f t="array" ref="C736">IFERROR(INDEX({"Ridgetop","Other"},MATCH(TRUE,ISNUMBER(SEARCH({"Ridgetop","Other"},A736)),0)),"")</f>
        <v>Ridgetop</v>
      </c>
      <c r="D736" t="str" cm="1">
        <f t="array" ref="D736">IFERROR(INDEX({"Small","Medium","Large"},MATCH(TRUE,ISNUMBER(SEARCH({"Small","Medium","Large"},A736)),0)),"")</f>
        <v>Small</v>
      </c>
      <c r="E736" t="str">
        <f t="shared" si="11"/>
        <v>0.078</v>
      </c>
    </row>
    <row r="737" spans="1:5" x14ac:dyDescent="0.3">
      <c r="A737" t="s">
        <v>735</v>
      </c>
      <c r="B737" t="str" cm="1">
        <f t="array" ref="B737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redcedar"},A737)),0)),"")</f>
        <v>Western redcedar</v>
      </c>
      <c r="C737" t="str" cm="1">
        <f t="array" ref="C737">IFERROR(INDEX({"Ridgetop","Other"},MATCH(TRUE,ISNUMBER(SEARCH({"Ridgetop","Other"},A737)),0)),"")</f>
        <v>Ridgetop</v>
      </c>
      <c r="D737" t="str" cm="1">
        <f t="array" ref="D737">IFERROR(INDEX({"Small","Medium","Large"},MATCH(TRUE,ISNUMBER(SEARCH({"Small","Medium","Large"},A737)),0)),"")</f>
        <v>Medium</v>
      </c>
      <c r="E737" t="str">
        <f t="shared" si="11"/>
        <v>0.019</v>
      </c>
    </row>
    <row r="738" spans="1:5" x14ac:dyDescent="0.3">
      <c r="A738" t="s">
        <v>736</v>
      </c>
      <c r="B738" t="str" cm="1">
        <f t="array" ref="B738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redcedar"},A738)),0)),"")</f>
        <v>Western redcedar</v>
      </c>
      <c r="C738" t="str" cm="1">
        <f t="array" ref="C738">IFERROR(INDEX({"Ridgetop","Other"},MATCH(TRUE,ISNUMBER(SEARCH({"Ridgetop","Other"},A738)),0)),"")</f>
        <v>Ridgetop</v>
      </c>
      <c r="D738" t="str" cm="1">
        <f t="array" ref="D738">IFERROR(INDEX({"Small","Medium","Large"},MATCH(TRUE,ISNUMBER(SEARCH({"Small","Medium","Large"},A738)),0)),"")</f>
        <v>Large</v>
      </c>
      <c r="E738" t="str">
        <f t="shared" si="11"/>
        <v>0.015</v>
      </c>
    </row>
    <row r="739" spans="1:5" x14ac:dyDescent="0.3">
      <c r="A739" t="s">
        <v>737</v>
      </c>
      <c r="B739" t="str" cm="1">
        <f t="array" ref="B739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redcedar"},A739)),0)),"")</f>
        <v>Western redcedar</v>
      </c>
      <c r="C739" t="str" cm="1">
        <f t="array" ref="C739">IFERROR(INDEX({"Ridgetop","Other"},MATCH(TRUE,ISNUMBER(SEARCH({"Ridgetop","Other"},A739)),0)),"")</f>
        <v>Other</v>
      </c>
      <c r="D739" t="str" cm="1">
        <f t="array" ref="D739">IFERROR(INDEX({"Small","Medium","Large"},MATCH(TRUE,ISNUMBER(SEARCH({"Small","Medium","Large"},A739)),0)),"")</f>
        <v>Small</v>
      </c>
      <c r="E739" t="str">
        <f t="shared" si="11"/>
        <v>0.045</v>
      </c>
    </row>
    <row r="740" spans="1:5" x14ac:dyDescent="0.3">
      <c r="A740" t="s">
        <v>738</v>
      </c>
      <c r="B740" t="str" cm="1">
        <f t="array" ref="B740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redcedar"},A740)),0)),"")</f>
        <v>Western redcedar</v>
      </c>
      <c r="C740" t="str" cm="1">
        <f t="array" ref="C740">IFERROR(INDEX({"Ridgetop","Other"},MATCH(TRUE,ISNUMBER(SEARCH({"Ridgetop","Other"},A740)),0)),"")</f>
        <v>Other</v>
      </c>
      <c r="D740" t="str" cm="1">
        <f t="array" ref="D740">IFERROR(INDEX({"Small","Medium","Large"},MATCH(TRUE,ISNUMBER(SEARCH({"Small","Medium","Large"},A740)),0)),"")</f>
        <v>Medium</v>
      </c>
      <c r="E740" t="str">
        <f t="shared" si="11"/>
        <v>0.011</v>
      </c>
    </row>
    <row r="741" spans="1:5" x14ac:dyDescent="0.3">
      <c r="A741" t="s">
        <v>739</v>
      </c>
      <c r="B741" t="str" cm="1">
        <f t="array" ref="B741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redcedar"},A741)),0)),"")</f>
        <v>Western redcedar</v>
      </c>
      <c r="C741" t="str" cm="1">
        <f t="array" ref="C741">IFERROR(INDEX({"Ridgetop","Other"},MATCH(TRUE,ISNUMBER(SEARCH({"Ridgetop","Other"},A741)),0)),"")</f>
        <v>Other</v>
      </c>
      <c r="D741" t="str" cm="1">
        <f t="array" ref="D741">IFERROR(INDEX({"Small","Medium","Large"},MATCH(TRUE,ISNUMBER(SEARCH({"Small","Medium","Large"},A741)),0)),"")</f>
        <v>Large</v>
      </c>
      <c r="E741" t="str">
        <f t="shared" si="11"/>
        <v>0.009</v>
      </c>
    </row>
    <row r="742" spans="1:5" x14ac:dyDescent="0.3">
      <c r="A742" t="s">
        <v>740</v>
      </c>
      <c r="B742" t="str" cm="1">
        <f t="array" ref="B742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redcedar"},A742)),0)),"")</f>
        <v>Western redcedar</v>
      </c>
      <c r="C742" t="str" cm="1">
        <f t="array" ref="C742">IFERROR(INDEX({"Ridgetop","Other"},MATCH(TRUE,ISNUMBER(SEARCH({"Ridgetop","Other"},A742)),0)),"")</f>
        <v>Other</v>
      </c>
      <c r="D742" t="str" cm="1">
        <f t="array" ref="D742">IFERROR(INDEX({"Small","Medium","Large"},MATCH(TRUE,ISNUMBER(SEARCH({"Small","Medium","Large"},A742)),0)),"")</f>
        <v>Small</v>
      </c>
      <c r="E742" t="str">
        <f t="shared" si="11"/>
        <v>0.049</v>
      </c>
    </row>
    <row r="743" spans="1:5" x14ac:dyDescent="0.3">
      <c r="A743" t="s">
        <v>741</v>
      </c>
      <c r="B743" t="str" cm="1">
        <f t="array" ref="B743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redcedar"},A743)),0)),"")</f>
        <v>Western redcedar</v>
      </c>
      <c r="C743" t="str" cm="1">
        <f t="array" ref="C743">IFERROR(INDEX({"Ridgetop","Other"},MATCH(TRUE,ISNUMBER(SEARCH({"Ridgetop","Other"},A743)),0)),"")</f>
        <v>Other</v>
      </c>
      <c r="D743" t="str" cm="1">
        <f t="array" ref="D743">IFERROR(INDEX({"Small","Medium","Large"},MATCH(TRUE,ISNUMBER(SEARCH({"Small","Medium","Large"},A743)),0)),"")</f>
        <v>Medium</v>
      </c>
      <c r="E743" t="str">
        <f t="shared" si="11"/>
        <v>0.012</v>
      </c>
    </row>
    <row r="744" spans="1:5" x14ac:dyDescent="0.3">
      <c r="A744" t="s">
        <v>742</v>
      </c>
      <c r="B744" t="str" cm="1">
        <f t="array" ref="B744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redcedar"},A744)),0)),"")</f>
        <v>Western redcedar</v>
      </c>
      <c r="C744" t="str" cm="1">
        <f t="array" ref="C744">IFERROR(INDEX({"Ridgetop","Other"},MATCH(TRUE,ISNUMBER(SEARCH({"Ridgetop","Other"},A744)),0)),"")</f>
        <v>Other</v>
      </c>
      <c r="D744" t="str" cm="1">
        <f t="array" ref="D744">IFERROR(INDEX({"Small","Medium","Large"},MATCH(TRUE,ISNUMBER(SEARCH({"Small","Medium","Large"},A744)),0)),"")</f>
        <v>Large</v>
      </c>
      <c r="E744" t="str">
        <f t="shared" si="11"/>
        <v>0.010</v>
      </c>
    </row>
    <row r="745" spans="1:5" x14ac:dyDescent="0.3">
      <c r="A745" t="s">
        <v>743</v>
      </c>
      <c r="B745" t="str" cm="1">
        <f t="array" ref="B745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redcedar"},A745)),0)),"")</f>
        <v>Western redcedar</v>
      </c>
      <c r="C745" t="str" cm="1">
        <f t="array" ref="C745">IFERROR(INDEX({"Ridgetop","Other"},MATCH(TRUE,ISNUMBER(SEARCH({"Ridgetop","Other"},A745)),0)),"")</f>
        <v>Other</v>
      </c>
      <c r="D745" t="str" cm="1">
        <f t="array" ref="D745">IFERROR(INDEX({"Small","Medium","Large"},MATCH(TRUE,ISNUMBER(SEARCH({"Small","Medium","Large"},A745)),0)),"")</f>
        <v>Small</v>
      </c>
      <c r="E745" t="str">
        <f t="shared" si="11"/>
        <v>0.049</v>
      </c>
    </row>
    <row r="746" spans="1:5" x14ac:dyDescent="0.3">
      <c r="A746" t="s">
        <v>744</v>
      </c>
      <c r="B746" t="str" cm="1">
        <f t="array" ref="B746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redcedar"},A746)),0)),"")</f>
        <v>Western redcedar</v>
      </c>
      <c r="C746" t="str" cm="1">
        <f t="array" ref="C746">IFERROR(INDEX({"Ridgetop","Other"},MATCH(TRUE,ISNUMBER(SEARCH({"Ridgetop","Other"},A746)),0)),"")</f>
        <v>Other</v>
      </c>
      <c r="D746" t="str" cm="1">
        <f t="array" ref="D746">IFERROR(INDEX({"Small","Medium","Large"},MATCH(TRUE,ISNUMBER(SEARCH({"Small","Medium","Large"},A746)),0)),"")</f>
        <v>Medium</v>
      </c>
      <c r="E746" t="str">
        <f t="shared" si="11"/>
        <v>0.012</v>
      </c>
    </row>
    <row r="747" spans="1:5" x14ac:dyDescent="0.3">
      <c r="A747" t="s">
        <v>745</v>
      </c>
      <c r="B747" t="str" cm="1">
        <f t="array" ref="B747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redcedar"},A747)),0)),"")</f>
        <v>Western redcedar</v>
      </c>
      <c r="C747" t="str" cm="1">
        <f t="array" ref="C747">IFERROR(INDEX({"Ridgetop","Other"},MATCH(TRUE,ISNUMBER(SEARCH({"Ridgetop","Other"},A747)),0)),"")</f>
        <v>Other</v>
      </c>
      <c r="D747" t="str" cm="1">
        <f t="array" ref="D747">IFERROR(INDEX({"Small","Medium","Large"},MATCH(TRUE,ISNUMBER(SEARCH({"Small","Medium","Large"},A747)),0)),"")</f>
        <v>Large</v>
      </c>
      <c r="E747" t="str">
        <f t="shared" si="11"/>
        <v>0.010</v>
      </c>
    </row>
    <row r="748" spans="1:5" x14ac:dyDescent="0.3">
      <c r="A748" t="s">
        <v>746</v>
      </c>
      <c r="B748" t="str" cm="1">
        <f t="array" ref="B748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redcedar"},A748)),0)),"")</f>
        <v>Western redcedar</v>
      </c>
      <c r="C748" t="str" cm="1">
        <f t="array" ref="C748">IFERROR(INDEX({"Ridgetop","Other"},MATCH(TRUE,ISNUMBER(SEARCH({"Ridgetop","Other"},A748)),0)),"")</f>
        <v>Ridgetop</v>
      </c>
      <c r="D748" t="str" cm="1">
        <f t="array" ref="D748">IFERROR(INDEX({"Small","Medium","Large"},MATCH(TRUE,ISNUMBER(SEARCH({"Small","Medium","Large"},A748)),0)),"")</f>
        <v>Small</v>
      </c>
      <c r="E748" t="str">
        <f t="shared" si="11"/>
        <v>0.082</v>
      </c>
    </row>
    <row r="749" spans="1:5" x14ac:dyDescent="0.3">
      <c r="A749" t="s">
        <v>747</v>
      </c>
      <c r="B749" t="str" cm="1">
        <f t="array" ref="B749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redcedar"},A749)),0)),"")</f>
        <v>Western redcedar</v>
      </c>
      <c r="C749" t="str" cm="1">
        <f t="array" ref="C749">IFERROR(INDEX({"Ridgetop","Other"},MATCH(TRUE,ISNUMBER(SEARCH({"Ridgetop","Other"},A749)),0)),"")</f>
        <v>Ridgetop</v>
      </c>
      <c r="D749" t="str" cm="1">
        <f t="array" ref="D749">IFERROR(INDEX({"Small","Medium","Large"},MATCH(TRUE,ISNUMBER(SEARCH({"Small","Medium","Large"},A749)),0)),"")</f>
        <v>Medium</v>
      </c>
      <c r="E749" t="str">
        <f t="shared" si="11"/>
        <v>0.020</v>
      </c>
    </row>
    <row r="750" spans="1:5" x14ac:dyDescent="0.3">
      <c r="A750" t="s">
        <v>748</v>
      </c>
      <c r="B750" t="str" cm="1">
        <f t="array" ref="B750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redcedar"},A750)),0)),"")</f>
        <v>Western redcedar</v>
      </c>
      <c r="C750" t="str" cm="1">
        <f t="array" ref="C750">IFERROR(INDEX({"Ridgetop","Other"},MATCH(TRUE,ISNUMBER(SEARCH({"Ridgetop","Other"},A750)),0)),"")</f>
        <v>Ridgetop</v>
      </c>
      <c r="D750" t="str" cm="1">
        <f t="array" ref="D750">IFERROR(INDEX({"Small","Medium","Large"},MATCH(TRUE,ISNUMBER(SEARCH({"Small","Medium","Large"},A750)),0)),"")</f>
        <v>Large</v>
      </c>
      <c r="E750" t="str">
        <f t="shared" si="11"/>
        <v>0.016</v>
      </c>
    </row>
    <row r="751" spans="1:5" x14ac:dyDescent="0.3">
      <c r="A751" t="s">
        <v>749</v>
      </c>
      <c r="B751" t="str" cm="1">
        <f t="array" ref="B751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redcedar"},A751)),0)),"")</f>
        <v>Western redcedar</v>
      </c>
      <c r="C751" t="str" cm="1">
        <f t="array" ref="C751">IFERROR(INDEX({"Ridgetop","Other"},MATCH(TRUE,ISNUMBER(SEARCH({"Ridgetop","Other"},A751)),0)),"")</f>
        <v>Ridgetop</v>
      </c>
      <c r="D751" t="str" cm="1">
        <f t="array" ref="D751">IFERROR(INDEX({"Small","Medium","Large"},MATCH(TRUE,ISNUMBER(SEARCH({"Small","Medium","Large"},A751)),0)),"")</f>
        <v>Small</v>
      </c>
      <c r="E751" t="str">
        <f t="shared" si="11"/>
        <v>0.082</v>
      </c>
    </row>
    <row r="752" spans="1:5" x14ac:dyDescent="0.3">
      <c r="A752" t="s">
        <v>750</v>
      </c>
      <c r="B752" t="str" cm="1">
        <f t="array" ref="B752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redcedar"},A752)),0)),"")</f>
        <v>Western redcedar</v>
      </c>
      <c r="C752" t="str" cm="1">
        <f t="array" ref="C752">IFERROR(INDEX({"Ridgetop","Other"},MATCH(TRUE,ISNUMBER(SEARCH({"Ridgetop","Other"},A752)),0)),"")</f>
        <v>Ridgetop</v>
      </c>
      <c r="D752" t="str" cm="1">
        <f t="array" ref="D752">IFERROR(INDEX({"Small","Medium","Large"},MATCH(TRUE,ISNUMBER(SEARCH({"Small","Medium","Large"},A752)),0)),"")</f>
        <v>Medium</v>
      </c>
      <c r="E752" t="str">
        <f t="shared" si="11"/>
        <v>0.020</v>
      </c>
    </row>
    <row r="753" spans="1:5" x14ac:dyDescent="0.3">
      <c r="A753" t="s">
        <v>751</v>
      </c>
      <c r="B753" t="str" cm="1">
        <f t="array" ref="B753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redcedar"},A753)),0)),"")</f>
        <v>Western redcedar</v>
      </c>
      <c r="C753" t="str" cm="1">
        <f t="array" ref="C753">IFERROR(INDEX({"Ridgetop","Other"},MATCH(TRUE,ISNUMBER(SEARCH({"Ridgetop","Other"},A753)),0)),"")</f>
        <v>Ridgetop</v>
      </c>
      <c r="D753" t="str" cm="1">
        <f t="array" ref="D753">IFERROR(INDEX({"Small","Medium","Large"},MATCH(TRUE,ISNUMBER(SEARCH({"Small","Medium","Large"},A753)),0)),"")</f>
        <v>Large</v>
      </c>
      <c r="E753" t="str">
        <f t="shared" si="11"/>
        <v>0.016</v>
      </c>
    </row>
    <row r="754" spans="1:5" x14ac:dyDescent="0.3">
      <c r="A754" t="s">
        <v>752</v>
      </c>
      <c r="B754" t="str" cm="1">
        <f t="array" ref="B754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redcedar"},A754)),0)),"")</f>
        <v>Western redcedar</v>
      </c>
      <c r="C754" t="str" cm="1">
        <f t="array" ref="C754">IFERROR(INDEX({"Ridgetop","Other"},MATCH(TRUE,ISNUMBER(SEARCH({"Ridgetop","Other"},A754)),0)),"")</f>
        <v>Ridgetop</v>
      </c>
      <c r="D754" t="str" cm="1">
        <f t="array" ref="D754">IFERROR(INDEX({"Small","Medium","Large"},MATCH(TRUE,ISNUMBER(SEARCH({"Small","Medium","Large"},A754)),0)),"")</f>
        <v>Small</v>
      </c>
      <c r="E754" t="str">
        <f t="shared" si="11"/>
        <v>0.082</v>
      </c>
    </row>
    <row r="755" spans="1:5" x14ac:dyDescent="0.3">
      <c r="A755" t="s">
        <v>753</v>
      </c>
      <c r="B755" t="str" cm="1">
        <f t="array" ref="B755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redcedar"},A755)),0)),"")</f>
        <v>Western redcedar</v>
      </c>
      <c r="C755" t="str" cm="1">
        <f t="array" ref="C755">IFERROR(INDEX({"Ridgetop","Other"},MATCH(TRUE,ISNUMBER(SEARCH({"Ridgetop","Other"},A755)),0)),"")</f>
        <v>Ridgetop</v>
      </c>
      <c r="D755" t="str" cm="1">
        <f t="array" ref="D755">IFERROR(INDEX({"Small","Medium","Large"},MATCH(TRUE,ISNUMBER(SEARCH({"Small","Medium","Large"},A755)),0)),"")</f>
        <v>Medium</v>
      </c>
      <c r="E755" t="str">
        <f t="shared" si="11"/>
        <v>0.020</v>
      </c>
    </row>
    <row r="756" spans="1:5" x14ac:dyDescent="0.3">
      <c r="A756" t="s">
        <v>754</v>
      </c>
      <c r="B756" t="str" cm="1">
        <f t="array" ref="B756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redcedar"},A756)),0)),"")</f>
        <v>Western redcedar</v>
      </c>
      <c r="C756" t="str" cm="1">
        <f t="array" ref="C756">IFERROR(INDEX({"Ridgetop","Other"},MATCH(TRUE,ISNUMBER(SEARCH({"Ridgetop","Other"},A756)),0)),"")</f>
        <v>Ridgetop</v>
      </c>
      <c r="D756" t="str" cm="1">
        <f t="array" ref="D756">IFERROR(INDEX({"Small","Medium","Large"},MATCH(TRUE,ISNUMBER(SEARCH({"Small","Medium","Large"},A756)),0)),"")</f>
        <v>Large</v>
      </c>
      <c r="E756" t="str">
        <f t="shared" si="11"/>
        <v>0.016</v>
      </c>
    </row>
    <row r="757" spans="1:5" x14ac:dyDescent="0.3">
      <c r="A757" t="s">
        <v>755</v>
      </c>
      <c r="B757" t="str" cm="1">
        <f t="array" ref="B757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redcedar"},A757)),0)),"")</f>
        <v>Pacific madrone</v>
      </c>
      <c r="C757" t="str" cm="1">
        <f t="array" ref="C757">IFERROR(INDEX({"Ridgetop","Other"},MATCH(TRUE,ISNUMBER(SEARCH({"Ridgetop","Other"},A757)),0)),"")</f>
        <v>Other</v>
      </c>
      <c r="D757" t="str" cm="1">
        <f t="array" ref="D757">IFERROR(INDEX({"Small","Medium","Large"},MATCH(TRUE,ISNUMBER(SEARCH({"Small","Medium","Large"},A757)),0)),"")</f>
        <v>Small</v>
      </c>
      <c r="E757" t="str">
        <f t="shared" si="11"/>
        <v>0.067</v>
      </c>
    </row>
    <row r="758" spans="1:5" x14ac:dyDescent="0.3">
      <c r="A758" t="s">
        <v>756</v>
      </c>
      <c r="B758" t="str" cm="1">
        <f t="array" ref="B758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redcedar"},A758)),0)),"")</f>
        <v>Pacific madrone</v>
      </c>
      <c r="C758" t="str" cm="1">
        <f t="array" ref="C758">IFERROR(INDEX({"Ridgetop","Other"},MATCH(TRUE,ISNUMBER(SEARCH({"Ridgetop","Other"},A758)),0)),"")</f>
        <v>Other</v>
      </c>
      <c r="D758" t="str" cm="1">
        <f t="array" ref="D758">IFERROR(INDEX({"Small","Medium","Large"},MATCH(TRUE,ISNUMBER(SEARCH({"Small","Medium","Large"},A758)),0)),"")</f>
        <v>Medium</v>
      </c>
      <c r="E758" t="str">
        <f t="shared" si="11"/>
        <v>0.066</v>
      </c>
    </row>
    <row r="759" spans="1:5" x14ac:dyDescent="0.3">
      <c r="A759" t="s">
        <v>757</v>
      </c>
      <c r="B759" t="str" cm="1">
        <f t="array" ref="B759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redcedar"},A759)),0)),"")</f>
        <v>Pacific madrone</v>
      </c>
      <c r="C759" t="str" cm="1">
        <f t="array" ref="C759">IFERROR(INDEX({"Ridgetop","Other"},MATCH(TRUE,ISNUMBER(SEARCH({"Ridgetop","Other"},A759)),0)),"")</f>
        <v>Other</v>
      </c>
      <c r="D759" t="str" cm="1">
        <f t="array" ref="D759">IFERROR(INDEX({"Small","Medium","Large"},MATCH(TRUE,ISNUMBER(SEARCH({"Small","Medium","Large"},A759)),0)),"")</f>
        <v>Large</v>
      </c>
      <c r="E759" t="str">
        <f t="shared" si="11"/>
        <v>0.066</v>
      </c>
    </row>
    <row r="760" spans="1:5" x14ac:dyDescent="0.3">
      <c r="A760" t="s">
        <v>758</v>
      </c>
      <c r="B760" t="str" cm="1">
        <f t="array" ref="B760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redcedar"},A760)),0)),"")</f>
        <v>Pacific madrone</v>
      </c>
      <c r="C760" t="str" cm="1">
        <f t="array" ref="C760">IFERROR(INDEX({"Ridgetop","Other"},MATCH(TRUE,ISNUMBER(SEARCH({"Ridgetop","Other"},A760)),0)),"")</f>
        <v>Other</v>
      </c>
      <c r="D760" t="str" cm="1">
        <f t="array" ref="D760">IFERROR(INDEX({"Small","Medium","Large"},MATCH(TRUE,ISNUMBER(SEARCH({"Small","Medium","Large"},A760)),0)),"")</f>
        <v>Small</v>
      </c>
      <c r="E760" t="str">
        <f t="shared" si="11"/>
        <v>0.075</v>
      </c>
    </row>
    <row r="761" spans="1:5" x14ac:dyDescent="0.3">
      <c r="A761" t="s">
        <v>759</v>
      </c>
      <c r="B761" t="str" cm="1">
        <f t="array" ref="B761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redcedar"},A761)),0)),"")</f>
        <v>Pacific madrone</v>
      </c>
      <c r="C761" t="str" cm="1">
        <f t="array" ref="C761">IFERROR(INDEX({"Ridgetop","Other"},MATCH(TRUE,ISNUMBER(SEARCH({"Ridgetop","Other"},A761)),0)),"")</f>
        <v>Other</v>
      </c>
      <c r="D761" t="str" cm="1">
        <f t="array" ref="D761">IFERROR(INDEX({"Small","Medium","Large"},MATCH(TRUE,ISNUMBER(SEARCH({"Small","Medium","Large"},A761)),0)),"")</f>
        <v>Medium</v>
      </c>
      <c r="E761" t="str">
        <f t="shared" si="11"/>
        <v>0.073</v>
      </c>
    </row>
    <row r="762" spans="1:5" x14ac:dyDescent="0.3">
      <c r="A762" t="s">
        <v>760</v>
      </c>
      <c r="B762" t="str" cm="1">
        <f t="array" ref="B762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redcedar"},A762)),0)),"")</f>
        <v>Pacific madrone</v>
      </c>
      <c r="C762" t="str" cm="1">
        <f t="array" ref="C762">IFERROR(INDEX({"Ridgetop","Other"},MATCH(TRUE,ISNUMBER(SEARCH({"Ridgetop","Other"},A762)),0)),"")</f>
        <v>Other</v>
      </c>
      <c r="D762" t="str" cm="1">
        <f t="array" ref="D762">IFERROR(INDEX({"Small","Medium","Large"},MATCH(TRUE,ISNUMBER(SEARCH({"Small","Medium","Large"},A762)),0)),"")</f>
        <v>Large</v>
      </c>
      <c r="E762" t="str">
        <f t="shared" si="11"/>
        <v>0.073</v>
      </c>
    </row>
    <row r="763" spans="1:5" x14ac:dyDescent="0.3">
      <c r="A763" t="s">
        <v>761</v>
      </c>
      <c r="B763" t="str" cm="1">
        <f t="array" ref="B763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redcedar"},A763)),0)),"")</f>
        <v>Pacific madrone</v>
      </c>
      <c r="C763" t="str" cm="1">
        <f t="array" ref="C763">IFERROR(INDEX({"Ridgetop","Other"},MATCH(TRUE,ISNUMBER(SEARCH({"Ridgetop","Other"},A763)),0)),"")</f>
        <v>Other</v>
      </c>
      <c r="D763" t="str" cm="1">
        <f t="array" ref="D763">IFERROR(INDEX({"Small","Medium","Large"},MATCH(TRUE,ISNUMBER(SEARCH({"Small","Medium","Large"},A763)),0)),"")</f>
        <v>Small</v>
      </c>
      <c r="E763" t="str">
        <f t="shared" si="11"/>
        <v>0.092</v>
      </c>
    </row>
    <row r="764" spans="1:5" x14ac:dyDescent="0.3">
      <c r="A764" t="s">
        <v>762</v>
      </c>
      <c r="B764" t="str" cm="1">
        <f t="array" ref="B764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redcedar"},A764)),0)),"")</f>
        <v>Pacific madrone</v>
      </c>
      <c r="C764" t="str" cm="1">
        <f t="array" ref="C764">IFERROR(INDEX({"Ridgetop","Other"},MATCH(TRUE,ISNUMBER(SEARCH({"Ridgetop","Other"},A764)),0)),"")</f>
        <v>Other</v>
      </c>
      <c r="D764" t="str" cm="1">
        <f t="array" ref="D764">IFERROR(INDEX({"Small","Medium","Large"},MATCH(TRUE,ISNUMBER(SEARCH({"Small","Medium","Large"},A764)),0)),"")</f>
        <v>Medium</v>
      </c>
      <c r="E764" t="str">
        <f t="shared" si="11"/>
        <v>0.090</v>
      </c>
    </row>
    <row r="765" spans="1:5" x14ac:dyDescent="0.3">
      <c r="A765" t="s">
        <v>763</v>
      </c>
      <c r="B765" t="str" cm="1">
        <f t="array" ref="B765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redcedar"},A765)),0)),"")</f>
        <v>Pacific madrone</v>
      </c>
      <c r="C765" t="str" cm="1">
        <f t="array" ref="C765">IFERROR(INDEX({"Ridgetop","Other"},MATCH(TRUE,ISNUMBER(SEARCH({"Ridgetop","Other"},A765)),0)),"")</f>
        <v>Other</v>
      </c>
      <c r="D765" t="str" cm="1">
        <f t="array" ref="D765">IFERROR(INDEX({"Small","Medium","Large"},MATCH(TRUE,ISNUMBER(SEARCH({"Small","Medium","Large"},A765)),0)),"")</f>
        <v>Large</v>
      </c>
      <c r="E765" t="str">
        <f t="shared" si="11"/>
        <v>0.090</v>
      </c>
    </row>
    <row r="766" spans="1:5" x14ac:dyDescent="0.3">
      <c r="A766" t="s">
        <v>764</v>
      </c>
      <c r="B766" t="str" cm="1">
        <f t="array" ref="B766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redcedar"},A766)),0)),"")</f>
        <v>Pacific madrone</v>
      </c>
      <c r="C766" t="str" cm="1">
        <f t="array" ref="C766">IFERROR(INDEX({"Ridgetop","Other"},MATCH(TRUE,ISNUMBER(SEARCH({"Ridgetop","Other"},A766)),0)),"")</f>
        <v>Ridgetop</v>
      </c>
      <c r="D766" t="str" cm="1">
        <f t="array" ref="D766">IFERROR(INDEX({"Small","Medium","Large"},MATCH(TRUE,ISNUMBER(SEARCH({"Small","Medium","Large"},A766)),0)),"")</f>
        <v>Small</v>
      </c>
      <c r="E766" t="str">
        <f t="shared" si="11"/>
        <v>0.119</v>
      </c>
    </row>
    <row r="767" spans="1:5" x14ac:dyDescent="0.3">
      <c r="A767" t="s">
        <v>765</v>
      </c>
      <c r="B767" t="str" cm="1">
        <f t="array" ref="B767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redcedar"},A767)),0)),"")</f>
        <v>Pacific madrone</v>
      </c>
      <c r="C767" t="str" cm="1">
        <f t="array" ref="C767">IFERROR(INDEX({"Ridgetop","Other"},MATCH(TRUE,ISNUMBER(SEARCH({"Ridgetop","Other"},A767)),0)),"")</f>
        <v>Ridgetop</v>
      </c>
      <c r="D767" t="str" cm="1">
        <f t="array" ref="D767">IFERROR(INDEX({"Small","Medium","Large"},MATCH(TRUE,ISNUMBER(SEARCH({"Small","Medium","Large"},A767)),0)),"")</f>
        <v>Medium</v>
      </c>
      <c r="E767" t="str">
        <f t="shared" si="11"/>
        <v>0.116</v>
      </c>
    </row>
    <row r="768" spans="1:5" x14ac:dyDescent="0.3">
      <c r="A768" t="s">
        <v>766</v>
      </c>
      <c r="B768" t="str" cm="1">
        <f t="array" ref="B768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redcedar"},A768)),0)),"")</f>
        <v>Pacific madrone</v>
      </c>
      <c r="C768" t="str" cm="1">
        <f t="array" ref="C768">IFERROR(INDEX({"Ridgetop","Other"},MATCH(TRUE,ISNUMBER(SEARCH({"Ridgetop","Other"},A768)),0)),"")</f>
        <v>Ridgetop</v>
      </c>
      <c r="D768" t="str" cm="1">
        <f t="array" ref="D768">IFERROR(INDEX({"Small","Medium","Large"},MATCH(TRUE,ISNUMBER(SEARCH({"Small","Medium","Large"},A768)),0)),"")</f>
        <v>Large</v>
      </c>
      <c r="E768" t="str">
        <f t="shared" si="11"/>
        <v>0.116</v>
      </c>
    </row>
    <row r="769" spans="1:5" x14ac:dyDescent="0.3">
      <c r="A769" t="s">
        <v>767</v>
      </c>
      <c r="B769" t="str" cm="1">
        <f t="array" ref="B769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redcedar"},A769)),0)),"")</f>
        <v>Pacific madrone</v>
      </c>
      <c r="C769" t="str" cm="1">
        <f t="array" ref="C769">IFERROR(INDEX({"Ridgetop","Other"},MATCH(TRUE,ISNUMBER(SEARCH({"Ridgetop","Other"},A769)),0)),"")</f>
        <v>Ridgetop</v>
      </c>
      <c r="D769" t="str" cm="1">
        <f t="array" ref="D769">IFERROR(INDEX({"Small","Medium","Large"},MATCH(TRUE,ISNUMBER(SEARCH({"Small","Medium","Large"},A769)),0)),"")</f>
        <v>Small</v>
      </c>
      <c r="E769" t="str">
        <f t="shared" si="11"/>
        <v>0.123</v>
      </c>
    </row>
    <row r="770" spans="1:5" x14ac:dyDescent="0.3">
      <c r="A770" t="s">
        <v>768</v>
      </c>
      <c r="B770" t="str" cm="1">
        <f t="array" ref="B770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redcedar"},A770)),0)),"")</f>
        <v>Pacific madrone</v>
      </c>
      <c r="C770" t="str" cm="1">
        <f t="array" ref="C770">IFERROR(INDEX({"Ridgetop","Other"},MATCH(TRUE,ISNUMBER(SEARCH({"Ridgetop","Other"},A770)),0)),"")</f>
        <v>Ridgetop</v>
      </c>
      <c r="D770" t="str" cm="1">
        <f t="array" ref="D770">IFERROR(INDEX({"Small","Medium","Large"},MATCH(TRUE,ISNUMBER(SEARCH({"Small","Medium","Large"},A770)),0)),"")</f>
        <v>Medium</v>
      </c>
      <c r="E770" t="str">
        <f t="shared" si="11"/>
        <v>0.120</v>
      </c>
    </row>
    <row r="771" spans="1:5" x14ac:dyDescent="0.3">
      <c r="A771" t="s">
        <v>769</v>
      </c>
      <c r="B771" t="str" cm="1">
        <f t="array" ref="B771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redcedar"},A771)),0)),"")</f>
        <v>Pacific madrone</v>
      </c>
      <c r="C771" t="str" cm="1">
        <f t="array" ref="C771">IFERROR(INDEX({"Ridgetop","Other"},MATCH(TRUE,ISNUMBER(SEARCH({"Ridgetop","Other"},A771)),0)),"")</f>
        <v>Ridgetop</v>
      </c>
      <c r="D771" t="str" cm="1">
        <f t="array" ref="D771">IFERROR(INDEX({"Small","Medium","Large"},MATCH(TRUE,ISNUMBER(SEARCH({"Small","Medium","Large"},A771)),0)),"")</f>
        <v>Large</v>
      </c>
      <c r="E771" t="str">
        <f t="shared" ref="E771:E834" si="12">RIGHT(A771,LEN(A771)-FIND("@",SUBSTITUTE(A771," ","@",LEN(A771)-LEN(SUBSTITUTE(A771," ","")))))</f>
        <v>0.120</v>
      </c>
    </row>
    <row r="772" spans="1:5" x14ac:dyDescent="0.3">
      <c r="A772" t="s">
        <v>770</v>
      </c>
      <c r="B772" t="str" cm="1">
        <f t="array" ref="B772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redcedar"},A772)),0)),"")</f>
        <v>Pacific madrone</v>
      </c>
      <c r="C772" t="str" cm="1">
        <f t="array" ref="C772">IFERROR(INDEX({"Ridgetop","Other"},MATCH(TRUE,ISNUMBER(SEARCH({"Ridgetop","Other"},A772)),0)),"")</f>
        <v>Ridgetop</v>
      </c>
      <c r="D772" t="str" cm="1">
        <f t="array" ref="D772">IFERROR(INDEX({"Small","Medium","Large"},MATCH(TRUE,ISNUMBER(SEARCH({"Small","Medium","Large"},A772)),0)),"")</f>
        <v>Small</v>
      </c>
      <c r="E772" t="str">
        <f t="shared" si="12"/>
        <v>0.131</v>
      </c>
    </row>
    <row r="773" spans="1:5" x14ac:dyDescent="0.3">
      <c r="A773" t="s">
        <v>771</v>
      </c>
      <c r="B773" t="str" cm="1">
        <f t="array" ref="B773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redcedar"},A773)),0)),"")</f>
        <v>Pacific madrone</v>
      </c>
      <c r="C773" t="str" cm="1">
        <f t="array" ref="C773">IFERROR(INDEX({"Ridgetop","Other"},MATCH(TRUE,ISNUMBER(SEARCH({"Ridgetop","Other"},A773)),0)),"")</f>
        <v>Ridgetop</v>
      </c>
      <c r="D773" t="str" cm="1">
        <f t="array" ref="D773">IFERROR(INDEX({"Small","Medium","Large"},MATCH(TRUE,ISNUMBER(SEARCH({"Small","Medium","Large"},A773)),0)),"")</f>
        <v>Medium</v>
      </c>
      <c r="E773" t="str">
        <f t="shared" si="12"/>
        <v>0.128</v>
      </c>
    </row>
    <row r="774" spans="1:5" x14ac:dyDescent="0.3">
      <c r="A774" t="s">
        <v>772</v>
      </c>
      <c r="B774" t="str" cm="1">
        <f t="array" ref="B774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redcedar"},A774)),0)),"")</f>
        <v>Pacific madrone</v>
      </c>
      <c r="C774" t="str" cm="1">
        <f t="array" ref="C774">IFERROR(INDEX({"Ridgetop","Other"},MATCH(TRUE,ISNUMBER(SEARCH({"Ridgetop","Other"},A774)),0)),"")</f>
        <v>Ridgetop</v>
      </c>
      <c r="D774" t="str" cm="1">
        <f t="array" ref="D774">IFERROR(INDEX({"Small","Medium","Large"},MATCH(TRUE,ISNUMBER(SEARCH({"Small","Medium","Large"},A774)),0)),"")</f>
        <v>Large</v>
      </c>
      <c r="E774" t="str">
        <f t="shared" si="12"/>
        <v>0.128</v>
      </c>
    </row>
    <row r="775" spans="1:5" x14ac:dyDescent="0.3">
      <c r="A775" t="s">
        <v>773</v>
      </c>
      <c r="B775" t="str" cm="1">
        <f t="array" ref="B775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redcedar"},A775)),0)),"")</f>
        <v>Pacific madrone</v>
      </c>
      <c r="C775" t="str" cm="1">
        <f t="array" ref="C775">IFERROR(INDEX({"Ridgetop","Other"},MATCH(TRUE,ISNUMBER(SEARCH({"Ridgetop","Other"},A775)),0)),"")</f>
        <v>Other</v>
      </c>
      <c r="D775" t="str" cm="1">
        <f t="array" ref="D775">IFERROR(INDEX({"Small","Medium","Large"},MATCH(TRUE,ISNUMBER(SEARCH({"Small","Medium","Large"},A775)),0)),"")</f>
        <v>Small</v>
      </c>
      <c r="E775" t="str">
        <f t="shared" si="12"/>
        <v>0.085</v>
      </c>
    </row>
    <row r="776" spans="1:5" x14ac:dyDescent="0.3">
      <c r="A776" t="s">
        <v>774</v>
      </c>
      <c r="B776" t="str" cm="1">
        <f t="array" ref="B776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redcedar"},A776)),0)),"")</f>
        <v>Pacific madrone</v>
      </c>
      <c r="C776" t="str" cm="1">
        <f t="array" ref="C776">IFERROR(INDEX({"Ridgetop","Other"},MATCH(TRUE,ISNUMBER(SEARCH({"Ridgetop","Other"},A776)),0)),"")</f>
        <v>Other</v>
      </c>
      <c r="D776" t="str" cm="1">
        <f t="array" ref="D776">IFERROR(INDEX({"Small","Medium","Large"},MATCH(TRUE,ISNUMBER(SEARCH({"Small","Medium","Large"},A776)),0)),"")</f>
        <v>Medium</v>
      </c>
      <c r="E776" t="str">
        <f t="shared" si="12"/>
        <v>0.083</v>
      </c>
    </row>
    <row r="777" spans="1:5" x14ac:dyDescent="0.3">
      <c r="A777" t="s">
        <v>775</v>
      </c>
      <c r="B777" t="str" cm="1">
        <f t="array" ref="B777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redcedar"},A777)),0)),"")</f>
        <v>Pacific madrone</v>
      </c>
      <c r="C777" t="str" cm="1">
        <f t="array" ref="C777">IFERROR(INDEX({"Ridgetop","Other"},MATCH(TRUE,ISNUMBER(SEARCH({"Ridgetop","Other"},A777)),0)),"")</f>
        <v>Other</v>
      </c>
      <c r="D777" t="str" cm="1">
        <f t="array" ref="D777">IFERROR(INDEX({"Small","Medium","Large"},MATCH(TRUE,ISNUMBER(SEARCH({"Small","Medium","Large"},A777)),0)),"")</f>
        <v>Large</v>
      </c>
      <c r="E777" t="str">
        <f t="shared" si="12"/>
        <v>0.083</v>
      </c>
    </row>
    <row r="778" spans="1:5" x14ac:dyDescent="0.3">
      <c r="A778" t="s">
        <v>776</v>
      </c>
      <c r="B778" t="str" cm="1">
        <f t="array" ref="B778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redcedar"},A778)),0)),"")</f>
        <v>Pacific madrone</v>
      </c>
      <c r="C778" t="str" cm="1">
        <f t="array" ref="C778">IFERROR(INDEX({"Ridgetop","Other"},MATCH(TRUE,ISNUMBER(SEARCH({"Ridgetop","Other"},A778)),0)),"")</f>
        <v>Other</v>
      </c>
      <c r="D778" t="str" cm="1">
        <f t="array" ref="D778">IFERROR(INDEX({"Small","Medium","Large"},MATCH(TRUE,ISNUMBER(SEARCH({"Small","Medium","Large"},A778)),0)),"")</f>
        <v>Small</v>
      </c>
      <c r="E778" t="str">
        <f t="shared" si="12"/>
        <v>0.092</v>
      </c>
    </row>
    <row r="779" spans="1:5" x14ac:dyDescent="0.3">
      <c r="A779" t="s">
        <v>777</v>
      </c>
      <c r="B779" t="str" cm="1">
        <f t="array" ref="B779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redcedar"},A779)),0)),"")</f>
        <v>Pacific madrone</v>
      </c>
      <c r="C779" t="str" cm="1">
        <f t="array" ref="C779">IFERROR(INDEX({"Ridgetop","Other"},MATCH(TRUE,ISNUMBER(SEARCH({"Ridgetop","Other"},A779)),0)),"")</f>
        <v>Other</v>
      </c>
      <c r="D779" t="str" cm="1">
        <f t="array" ref="D779">IFERROR(INDEX({"Small","Medium","Large"},MATCH(TRUE,ISNUMBER(SEARCH({"Small","Medium","Large"},A779)),0)),"")</f>
        <v>Medium</v>
      </c>
      <c r="E779" t="str">
        <f t="shared" si="12"/>
        <v>0.090</v>
      </c>
    </row>
    <row r="780" spans="1:5" x14ac:dyDescent="0.3">
      <c r="A780" t="s">
        <v>778</v>
      </c>
      <c r="B780" t="str" cm="1">
        <f t="array" ref="B780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redcedar"},A780)),0)),"")</f>
        <v>Pacific madrone</v>
      </c>
      <c r="C780" t="str" cm="1">
        <f t="array" ref="C780">IFERROR(INDEX({"Ridgetop","Other"},MATCH(TRUE,ISNUMBER(SEARCH({"Ridgetop","Other"},A780)),0)),"")</f>
        <v>Other</v>
      </c>
      <c r="D780" t="str" cm="1">
        <f t="array" ref="D780">IFERROR(INDEX({"Small","Medium","Large"},MATCH(TRUE,ISNUMBER(SEARCH({"Small","Medium","Large"},A780)),0)),"")</f>
        <v>Large</v>
      </c>
      <c r="E780" t="str">
        <f t="shared" si="12"/>
        <v>0.090</v>
      </c>
    </row>
    <row r="781" spans="1:5" x14ac:dyDescent="0.3">
      <c r="A781" t="s">
        <v>779</v>
      </c>
      <c r="B781" t="str" cm="1">
        <f t="array" ref="B781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redcedar"},A781)),0)),"")</f>
        <v>Pacific madrone</v>
      </c>
      <c r="C781" t="str" cm="1">
        <f t="array" ref="C781">IFERROR(INDEX({"Ridgetop","Other"},MATCH(TRUE,ISNUMBER(SEARCH({"Ridgetop","Other"},A781)),0)),"")</f>
        <v>Other</v>
      </c>
      <c r="D781" t="str" cm="1">
        <f t="array" ref="D781">IFERROR(INDEX({"Small","Medium","Large"},MATCH(TRUE,ISNUMBER(SEARCH({"Small","Medium","Large"},A781)),0)),"")</f>
        <v>Small</v>
      </c>
      <c r="E781" t="str">
        <f t="shared" si="12"/>
        <v>0.092</v>
      </c>
    </row>
    <row r="782" spans="1:5" x14ac:dyDescent="0.3">
      <c r="A782" t="s">
        <v>780</v>
      </c>
      <c r="B782" t="str" cm="1">
        <f t="array" ref="B782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redcedar"},A782)),0)),"")</f>
        <v>Pacific madrone</v>
      </c>
      <c r="C782" t="str" cm="1">
        <f t="array" ref="C782">IFERROR(INDEX({"Ridgetop","Other"},MATCH(TRUE,ISNUMBER(SEARCH({"Ridgetop","Other"},A782)),0)),"")</f>
        <v>Other</v>
      </c>
      <c r="D782" t="str" cm="1">
        <f t="array" ref="D782">IFERROR(INDEX({"Small","Medium","Large"},MATCH(TRUE,ISNUMBER(SEARCH({"Small","Medium","Large"},A782)),0)),"")</f>
        <v>Medium</v>
      </c>
      <c r="E782" t="str">
        <f t="shared" si="12"/>
        <v>0.090</v>
      </c>
    </row>
    <row r="783" spans="1:5" x14ac:dyDescent="0.3">
      <c r="A783" t="s">
        <v>781</v>
      </c>
      <c r="B783" t="str" cm="1">
        <f t="array" ref="B783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redcedar"},A783)),0)),"")</f>
        <v>Pacific madrone</v>
      </c>
      <c r="C783" t="str" cm="1">
        <f t="array" ref="C783">IFERROR(INDEX({"Ridgetop","Other"},MATCH(TRUE,ISNUMBER(SEARCH({"Ridgetop","Other"},A783)),0)),"")</f>
        <v>Other</v>
      </c>
      <c r="D783" t="str" cm="1">
        <f t="array" ref="D783">IFERROR(INDEX({"Small","Medium","Large"},MATCH(TRUE,ISNUMBER(SEARCH({"Small","Medium","Large"},A783)),0)),"")</f>
        <v>Large</v>
      </c>
      <c r="E783" t="str">
        <f t="shared" si="12"/>
        <v>0.090</v>
      </c>
    </row>
    <row r="784" spans="1:5" x14ac:dyDescent="0.3">
      <c r="A784" t="s">
        <v>782</v>
      </c>
      <c r="B784" t="str" cm="1">
        <f t="array" ref="B784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redcedar"},A784)),0)),"")</f>
        <v>Pacific madrone</v>
      </c>
      <c r="C784" t="str" cm="1">
        <f t="array" ref="C784">IFERROR(INDEX({"Ridgetop","Other"},MATCH(TRUE,ISNUMBER(SEARCH({"Ridgetop","Other"},A784)),0)),"")</f>
        <v>Ridgetop</v>
      </c>
      <c r="D784" t="str" cm="1">
        <f t="array" ref="D784">IFERROR(INDEX({"Small","Medium","Large"},MATCH(TRUE,ISNUMBER(SEARCH({"Small","Medium","Large"},A784)),0)),"")</f>
        <v>Small</v>
      </c>
      <c r="E784" t="str">
        <f t="shared" si="12"/>
        <v>0.154</v>
      </c>
    </row>
    <row r="785" spans="1:5" x14ac:dyDescent="0.3">
      <c r="A785" t="s">
        <v>783</v>
      </c>
      <c r="B785" t="str" cm="1">
        <f t="array" ref="B785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redcedar"},A785)),0)),"")</f>
        <v>Pacific madrone</v>
      </c>
      <c r="C785" t="str" cm="1">
        <f t="array" ref="C785">IFERROR(INDEX({"Ridgetop","Other"},MATCH(TRUE,ISNUMBER(SEARCH({"Ridgetop","Other"},A785)),0)),"")</f>
        <v>Ridgetop</v>
      </c>
      <c r="D785" t="str" cm="1">
        <f t="array" ref="D785">IFERROR(INDEX({"Small","Medium","Large"},MATCH(TRUE,ISNUMBER(SEARCH({"Small","Medium","Large"},A785)),0)),"")</f>
        <v>Medium</v>
      </c>
      <c r="E785" t="str">
        <f t="shared" si="12"/>
        <v>0.150</v>
      </c>
    </row>
    <row r="786" spans="1:5" x14ac:dyDescent="0.3">
      <c r="A786" t="s">
        <v>784</v>
      </c>
      <c r="B786" t="str" cm="1">
        <f t="array" ref="B786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redcedar"},A786)),0)),"")</f>
        <v>Pacific madrone</v>
      </c>
      <c r="C786" t="str" cm="1">
        <f t="array" ref="C786">IFERROR(INDEX({"Ridgetop","Other"},MATCH(TRUE,ISNUMBER(SEARCH({"Ridgetop","Other"},A786)),0)),"")</f>
        <v>Ridgetop</v>
      </c>
      <c r="D786" t="str" cm="1">
        <f t="array" ref="D786">IFERROR(INDEX({"Small","Medium","Large"},MATCH(TRUE,ISNUMBER(SEARCH({"Small","Medium","Large"},A786)),0)),"")</f>
        <v>Large</v>
      </c>
      <c r="E786" t="str">
        <f t="shared" si="12"/>
        <v>0.150</v>
      </c>
    </row>
    <row r="787" spans="1:5" x14ac:dyDescent="0.3">
      <c r="A787" t="s">
        <v>785</v>
      </c>
      <c r="B787" t="str" cm="1">
        <f t="array" ref="B787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redcedar"},A787)),0)),"")</f>
        <v>Pacific madrone</v>
      </c>
      <c r="C787" t="str" cm="1">
        <f t="array" ref="C787">IFERROR(INDEX({"Ridgetop","Other"},MATCH(TRUE,ISNUMBER(SEARCH({"Ridgetop","Other"},A787)),0)),"")</f>
        <v>Ridgetop</v>
      </c>
      <c r="D787" t="str" cm="1">
        <f t="array" ref="D787">IFERROR(INDEX({"Small","Medium","Large"},MATCH(TRUE,ISNUMBER(SEARCH({"Small","Medium","Large"},A787)),0)),"")</f>
        <v>Small</v>
      </c>
      <c r="E787" t="str">
        <f t="shared" si="12"/>
        <v>0.154</v>
      </c>
    </row>
    <row r="788" spans="1:5" x14ac:dyDescent="0.3">
      <c r="A788" t="s">
        <v>786</v>
      </c>
      <c r="B788" t="str" cm="1">
        <f t="array" ref="B788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redcedar"},A788)),0)),"")</f>
        <v>Pacific madrone</v>
      </c>
      <c r="C788" t="str" cm="1">
        <f t="array" ref="C788">IFERROR(INDEX({"Ridgetop","Other"},MATCH(TRUE,ISNUMBER(SEARCH({"Ridgetop","Other"},A788)),0)),"")</f>
        <v>Ridgetop</v>
      </c>
      <c r="D788" t="str" cm="1">
        <f t="array" ref="D788">IFERROR(INDEX({"Small","Medium","Large"},MATCH(TRUE,ISNUMBER(SEARCH({"Small","Medium","Large"},A788)),0)),"")</f>
        <v>Medium</v>
      </c>
      <c r="E788" t="str">
        <f t="shared" si="12"/>
        <v>0.150</v>
      </c>
    </row>
    <row r="789" spans="1:5" x14ac:dyDescent="0.3">
      <c r="A789" t="s">
        <v>787</v>
      </c>
      <c r="B789" t="str" cm="1">
        <f t="array" ref="B789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redcedar"},A789)),0)),"")</f>
        <v>Pacific madrone</v>
      </c>
      <c r="C789" t="str" cm="1">
        <f t="array" ref="C789">IFERROR(INDEX({"Ridgetop","Other"},MATCH(TRUE,ISNUMBER(SEARCH({"Ridgetop","Other"},A789)),0)),"")</f>
        <v>Ridgetop</v>
      </c>
      <c r="D789" t="str" cm="1">
        <f t="array" ref="D789">IFERROR(INDEX({"Small","Medium","Large"},MATCH(TRUE,ISNUMBER(SEARCH({"Small","Medium","Large"},A789)),0)),"")</f>
        <v>Large</v>
      </c>
      <c r="E789" t="str">
        <f t="shared" si="12"/>
        <v>0.150</v>
      </c>
    </row>
    <row r="790" spans="1:5" x14ac:dyDescent="0.3">
      <c r="A790" t="s">
        <v>788</v>
      </c>
      <c r="B790" t="str" cm="1">
        <f t="array" ref="B790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redcedar"},A790)),0)),"")</f>
        <v>Pacific madrone</v>
      </c>
      <c r="C790" t="str" cm="1">
        <f t="array" ref="C790">IFERROR(INDEX({"Ridgetop","Other"},MATCH(TRUE,ISNUMBER(SEARCH({"Ridgetop","Other"},A790)),0)),"")</f>
        <v>Ridgetop</v>
      </c>
      <c r="D790" t="str" cm="1">
        <f t="array" ref="D790">IFERROR(INDEX({"Small","Medium","Large"},MATCH(TRUE,ISNUMBER(SEARCH({"Small","Medium","Large"},A790)),0)),"")</f>
        <v>Small</v>
      </c>
      <c r="E790" t="str">
        <f t="shared" si="12"/>
        <v>0.154</v>
      </c>
    </row>
    <row r="791" spans="1:5" x14ac:dyDescent="0.3">
      <c r="A791" t="s">
        <v>789</v>
      </c>
      <c r="B791" t="str" cm="1">
        <f t="array" ref="B791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redcedar"},A791)),0)),"")</f>
        <v>Pacific madrone</v>
      </c>
      <c r="C791" t="str" cm="1">
        <f t="array" ref="C791">IFERROR(INDEX({"Ridgetop","Other"},MATCH(TRUE,ISNUMBER(SEARCH({"Ridgetop","Other"},A791)),0)),"")</f>
        <v>Ridgetop</v>
      </c>
      <c r="D791" t="str" cm="1">
        <f t="array" ref="D791">IFERROR(INDEX({"Small","Medium","Large"},MATCH(TRUE,ISNUMBER(SEARCH({"Small","Medium","Large"},A791)),0)),"")</f>
        <v>Medium</v>
      </c>
      <c r="E791" t="str">
        <f t="shared" si="12"/>
        <v>0.150</v>
      </c>
    </row>
    <row r="792" spans="1:5" x14ac:dyDescent="0.3">
      <c r="A792" t="s">
        <v>790</v>
      </c>
      <c r="B792" t="str" cm="1">
        <f t="array" ref="B792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redcedar"},A792)),0)),"")</f>
        <v>Pacific madrone</v>
      </c>
      <c r="C792" t="str" cm="1">
        <f t="array" ref="C792">IFERROR(INDEX({"Ridgetop","Other"},MATCH(TRUE,ISNUMBER(SEARCH({"Ridgetop","Other"},A792)),0)),"")</f>
        <v>Ridgetop</v>
      </c>
      <c r="D792" t="str" cm="1">
        <f t="array" ref="D792">IFERROR(INDEX({"Small","Medium","Large"},MATCH(TRUE,ISNUMBER(SEARCH({"Small","Medium","Large"},A792)),0)),"")</f>
        <v>Large</v>
      </c>
      <c r="E792" t="str">
        <f t="shared" si="12"/>
        <v>0.150</v>
      </c>
    </row>
    <row r="793" spans="1:5" x14ac:dyDescent="0.3">
      <c r="A793" t="s">
        <v>791</v>
      </c>
      <c r="B793" t="str" cm="1">
        <f t="array" ref="B793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redcedar"},A793)),0)),"")</f>
        <v>Pacific madrone</v>
      </c>
      <c r="C793" t="str" cm="1">
        <f t="array" ref="C793">IFERROR(INDEX({"Ridgetop","Other"},MATCH(TRUE,ISNUMBER(SEARCH({"Ridgetop","Other"},A793)),0)),"")</f>
        <v>Other</v>
      </c>
      <c r="D793" t="str" cm="1">
        <f t="array" ref="D793">IFERROR(INDEX({"Small","Medium","Large"},MATCH(TRUE,ISNUMBER(SEARCH({"Small","Medium","Large"},A793)),0)),"")</f>
        <v>Small</v>
      </c>
      <c r="E793" t="str">
        <f t="shared" si="12"/>
        <v>0.069</v>
      </c>
    </row>
    <row r="794" spans="1:5" x14ac:dyDescent="0.3">
      <c r="A794" t="s">
        <v>792</v>
      </c>
      <c r="B794" t="str" cm="1">
        <f t="array" ref="B794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redcedar"},A794)),0)),"")</f>
        <v>Pacific madrone</v>
      </c>
      <c r="C794" t="str" cm="1">
        <f t="array" ref="C794">IFERROR(INDEX({"Ridgetop","Other"},MATCH(TRUE,ISNUMBER(SEARCH({"Ridgetop","Other"},A794)),0)),"")</f>
        <v>Other</v>
      </c>
      <c r="D794" t="str" cm="1">
        <f t="array" ref="D794">IFERROR(INDEX({"Small","Medium","Large"},MATCH(TRUE,ISNUMBER(SEARCH({"Small","Medium","Large"},A794)),0)),"")</f>
        <v>Medium</v>
      </c>
      <c r="E794" t="str">
        <f t="shared" si="12"/>
        <v>0.068</v>
      </c>
    </row>
    <row r="795" spans="1:5" x14ac:dyDescent="0.3">
      <c r="A795" t="s">
        <v>793</v>
      </c>
      <c r="B795" t="str" cm="1">
        <f t="array" ref="B795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redcedar"},A795)),0)),"")</f>
        <v>Pacific madrone</v>
      </c>
      <c r="C795" t="str" cm="1">
        <f t="array" ref="C795">IFERROR(INDEX({"Ridgetop","Other"},MATCH(TRUE,ISNUMBER(SEARCH({"Ridgetop","Other"},A795)),0)),"")</f>
        <v>Other</v>
      </c>
      <c r="D795" t="str" cm="1">
        <f t="array" ref="D795">IFERROR(INDEX({"Small","Medium","Large"},MATCH(TRUE,ISNUMBER(SEARCH({"Small","Medium","Large"},A795)),0)),"")</f>
        <v>Large</v>
      </c>
      <c r="E795" t="str">
        <f t="shared" si="12"/>
        <v>0.068</v>
      </c>
    </row>
    <row r="796" spans="1:5" x14ac:dyDescent="0.3">
      <c r="A796" t="s">
        <v>794</v>
      </c>
      <c r="B796" t="str" cm="1">
        <f t="array" ref="B796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redcedar"},A796)),0)),"")</f>
        <v>Pacific madrone</v>
      </c>
      <c r="C796" t="str" cm="1">
        <f t="array" ref="C796">IFERROR(INDEX({"Ridgetop","Other"},MATCH(TRUE,ISNUMBER(SEARCH({"Ridgetop","Other"},A796)),0)),"")</f>
        <v>Other</v>
      </c>
      <c r="D796" t="str" cm="1">
        <f t="array" ref="D796">IFERROR(INDEX({"Small","Medium","Large"},MATCH(TRUE,ISNUMBER(SEARCH({"Small","Medium","Large"},A796)),0)),"")</f>
        <v>Small</v>
      </c>
      <c r="E796" t="str">
        <f t="shared" si="12"/>
        <v>0.077</v>
      </c>
    </row>
    <row r="797" spans="1:5" x14ac:dyDescent="0.3">
      <c r="A797" t="s">
        <v>795</v>
      </c>
      <c r="B797" t="str" cm="1">
        <f t="array" ref="B797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redcedar"},A797)),0)),"")</f>
        <v>Pacific madrone</v>
      </c>
      <c r="C797" t="str" cm="1">
        <f t="array" ref="C797">IFERROR(INDEX({"Ridgetop","Other"},MATCH(TRUE,ISNUMBER(SEARCH({"Ridgetop","Other"},A797)),0)),"")</f>
        <v>Other</v>
      </c>
      <c r="D797" t="str" cm="1">
        <f t="array" ref="D797">IFERROR(INDEX({"Small","Medium","Large"},MATCH(TRUE,ISNUMBER(SEARCH({"Small","Medium","Large"},A797)),0)),"")</f>
        <v>Medium</v>
      </c>
      <c r="E797" t="str">
        <f t="shared" si="12"/>
        <v>0.075</v>
      </c>
    </row>
    <row r="798" spans="1:5" x14ac:dyDescent="0.3">
      <c r="A798" t="s">
        <v>796</v>
      </c>
      <c r="B798" t="str" cm="1">
        <f t="array" ref="B798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redcedar"},A798)),0)),"")</f>
        <v>Pacific madrone</v>
      </c>
      <c r="C798" t="str" cm="1">
        <f t="array" ref="C798">IFERROR(INDEX({"Ridgetop","Other"},MATCH(TRUE,ISNUMBER(SEARCH({"Ridgetop","Other"},A798)),0)),"")</f>
        <v>Other</v>
      </c>
      <c r="D798" t="str" cm="1">
        <f t="array" ref="D798">IFERROR(INDEX({"Small","Medium","Large"},MATCH(TRUE,ISNUMBER(SEARCH({"Small","Medium","Large"},A798)),0)),"")</f>
        <v>Large</v>
      </c>
      <c r="E798" t="str">
        <f t="shared" si="12"/>
        <v>0.075</v>
      </c>
    </row>
    <row r="799" spans="1:5" x14ac:dyDescent="0.3">
      <c r="A799" t="s">
        <v>797</v>
      </c>
      <c r="B799" t="str" cm="1">
        <f t="array" ref="B799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redcedar"},A799)),0)),"")</f>
        <v>Pacific madrone</v>
      </c>
      <c r="C799" t="str" cm="1">
        <f t="array" ref="C799">IFERROR(INDEX({"Ridgetop","Other"},MATCH(TRUE,ISNUMBER(SEARCH({"Ridgetop","Other"},A799)),0)),"")</f>
        <v>Other</v>
      </c>
      <c r="D799" t="str" cm="1">
        <f t="array" ref="D799">IFERROR(INDEX({"Small","Medium","Large"},MATCH(TRUE,ISNUMBER(SEARCH({"Small","Medium","Large"},A799)),0)),"")</f>
        <v>Small</v>
      </c>
      <c r="E799" t="str">
        <f t="shared" si="12"/>
        <v>0.092</v>
      </c>
    </row>
    <row r="800" spans="1:5" x14ac:dyDescent="0.3">
      <c r="A800" t="s">
        <v>798</v>
      </c>
      <c r="B800" t="str" cm="1">
        <f t="array" ref="B800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redcedar"},A800)),0)),"")</f>
        <v>Pacific madrone</v>
      </c>
      <c r="C800" t="str" cm="1">
        <f t="array" ref="C800">IFERROR(INDEX({"Ridgetop","Other"},MATCH(TRUE,ISNUMBER(SEARCH({"Ridgetop","Other"},A800)),0)),"")</f>
        <v>Other</v>
      </c>
      <c r="D800" t="str" cm="1">
        <f t="array" ref="D800">IFERROR(INDEX({"Small","Medium","Large"},MATCH(TRUE,ISNUMBER(SEARCH({"Small","Medium","Large"},A800)),0)),"")</f>
        <v>Medium</v>
      </c>
      <c r="E800" t="str">
        <f t="shared" si="12"/>
        <v>0.090</v>
      </c>
    </row>
    <row r="801" spans="1:5" x14ac:dyDescent="0.3">
      <c r="A801" t="s">
        <v>799</v>
      </c>
      <c r="B801" t="str" cm="1">
        <f t="array" ref="B801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redcedar"},A801)),0)),"")</f>
        <v>Pacific madrone</v>
      </c>
      <c r="C801" t="str" cm="1">
        <f t="array" ref="C801">IFERROR(INDEX({"Ridgetop","Other"},MATCH(TRUE,ISNUMBER(SEARCH({"Ridgetop","Other"},A801)),0)),"")</f>
        <v>Other</v>
      </c>
      <c r="D801" t="str" cm="1">
        <f t="array" ref="D801">IFERROR(INDEX({"Small","Medium","Large"},MATCH(TRUE,ISNUMBER(SEARCH({"Small","Medium","Large"},A801)),0)),"")</f>
        <v>Large</v>
      </c>
      <c r="E801" t="str">
        <f t="shared" si="12"/>
        <v>0.090</v>
      </c>
    </row>
    <row r="802" spans="1:5" x14ac:dyDescent="0.3">
      <c r="A802" t="s">
        <v>800</v>
      </c>
      <c r="B802" t="str" cm="1">
        <f t="array" ref="B802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redcedar"},A802)),0)),"")</f>
        <v>Pacific madrone</v>
      </c>
      <c r="C802" t="str" cm="1">
        <f t="array" ref="C802">IFERROR(INDEX({"Ridgetop","Other"},MATCH(TRUE,ISNUMBER(SEARCH({"Ridgetop","Other"},A802)),0)),"")</f>
        <v>Ridgetop</v>
      </c>
      <c r="D802" t="str" cm="1">
        <f t="array" ref="D802">IFERROR(INDEX({"Small","Medium","Large"},MATCH(TRUE,ISNUMBER(SEARCH({"Small","Medium","Large"},A802)),0)),"")</f>
        <v>Small</v>
      </c>
      <c r="E802" t="str">
        <f t="shared" si="12"/>
        <v>0.131</v>
      </c>
    </row>
    <row r="803" spans="1:5" x14ac:dyDescent="0.3">
      <c r="A803" t="s">
        <v>801</v>
      </c>
      <c r="B803" t="str" cm="1">
        <f t="array" ref="B803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redcedar"},A803)),0)),"")</f>
        <v>Pacific madrone</v>
      </c>
      <c r="C803" t="str" cm="1">
        <f t="array" ref="C803">IFERROR(INDEX({"Ridgetop","Other"},MATCH(TRUE,ISNUMBER(SEARCH({"Ridgetop","Other"},A803)),0)),"")</f>
        <v>Ridgetop</v>
      </c>
      <c r="D803" t="str" cm="1">
        <f t="array" ref="D803">IFERROR(INDEX({"Small","Medium","Large"},MATCH(TRUE,ISNUMBER(SEARCH({"Small","Medium","Large"},A803)),0)),"")</f>
        <v>Medium</v>
      </c>
      <c r="E803" t="str">
        <f t="shared" si="12"/>
        <v>0.128</v>
      </c>
    </row>
    <row r="804" spans="1:5" x14ac:dyDescent="0.3">
      <c r="A804" t="s">
        <v>802</v>
      </c>
      <c r="B804" t="str" cm="1">
        <f t="array" ref="B804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redcedar"},A804)),0)),"")</f>
        <v>Pacific madrone</v>
      </c>
      <c r="C804" t="str" cm="1">
        <f t="array" ref="C804">IFERROR(INDEX({"Ridgetop","Other"},MATCH(TRUE,ISNUMBER(SEARCH({"Ridgetop","Other"},A804)),0)),"")</f>
        <v>Ridgetop</v>
      </c>
      <c r="D804" t="str" cm="1">
        <f t="array" ref="D804">IFERROR(INDEX({"Small","Medium","Large"},MATCH(TRUE,ISNUMBER(SEARCH({"Small","Medium","Large"},A804)),0)),"")</f>
        <v>Large</v>
      </c>
      <c r="E804" t="str">
        <f t="shared" si="12"/>
        <v>0.128</v>
      </c>
    </row>
    <row r="805" spans="1:5" x14ac:dyDescent="0.3">
      <c r="A805" t="s">
        <v>803</v>
      </c>
      <c r="B805" t="str" cm="1">
        <f t="array" ref="B805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redcedar"},A805)),0)),"")</f>
        <v>Pacific madrone</v>
      </c>
      <c r="C805" t="str" cm="1">
        <f t="array" ref="C805">IFERROR(INDEX({"Ridgetop","Other"},MATCH(TRUE,ISNUMBER(SEARCH({"Ridgetop","Other"},A805)),0)),"")</f>
        <v>Ridgetop</v>
      </c>
      <c r="D805" t="str" cm="1">
        <f t="array" ref="D805">IFERROR(INDEX({"Small","Medium","Large"},MATCH(TRUE,ISNUMBER(SEARCH({"Small","Medium","Large"},A805)),0)),"")</f>
        <v>Small</v>
      </c>
      <c r="E805" t="str">
        <f t="shared" si="12"/>
        <v>0.131</v>
      </c>
    </row>
    <row r="806" spans="1:5" x14ac:dyDescent="0.3">
      <c r="A806" t="s">
        <v>804</v>
      </c>
      <c r="B806" t="str" cm="1">
        <f t="array" ref="B806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redcedar"},A806)),0)),"")</f>
        <v>Pacific madrone</v>
      </c>
      <c r="C806" t="str" cm="1">
        <f t="array" ref="C806">IFERROR(INDEX({"Ridgetop","Other"},MATCH(TRUE,ISNUMBER(SEARCH({"Ridgetop","Other"},A806)),0)),"")</f>
        <v>Ridgetop</v>
      </c>
      <c r="D806" t="str" cm="1">
        <f t="array" ref="D806">IFERROR(INDEX({"Small","Medium","Large"},MATCH(TRUE,ISNUMBER(SEARCH({"Small","Medium","Large"},A806)),0)),"")</f>
        <v>Medium</v>
      </c>
      <c r="E806" t="str">
        <f t="shared" si="12"/>
        <v>0.128</v>
      </c>
    </row>
    <row r="807" spans="1:5" x14ac:dyDescent="0.3">
      <c r="A807" t="s">
        <v>805</v>
      </c>
      <c r="B807" t="str" cm="1">
        <f t="array" ref="B807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redcedar"},A807)),0)),"")</f>
        <v>Pacific madrone</v>
      </c>
      <c r="C807" t="str" cm="1">
        <f t="array" ref="C807">IFERROR(INDEX({"Ridgetop","Other"},MATCH(TRUE,ISNUMBER(SEARCH({"Ridgetop","Other"},A807)),0)),"")</f>
        <v>Ridgetop</v>
      </c>
      <c r="D807" t="str" cm="1">
        <f t="array" ref="D807">IFERROR(INDEX({"Small","Medium","Large"},MATCH(TRUE,ISNUMBER(SEARCH({"Small","Medium","Large"},A807)),0)),"")</f>
        <v>Large</v>
      </c>
      <c r="E807" t="str">
        <f t="shared" si="12"/>
        <v>0.128</v>
      </c>
    </row>
    <row r="808" spans="1:5" x14ac:dyDescent="0.3">
      <c r="A808" t="s">
        <v>806</v>
      </c>
      <c r="B808" t="str" cm="1">
        <f t="array" ref="B808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redcedar"},A808)),0)),"")</f>
        <v>Pacific madrone</v>
      </c>
      <c r="C808" t="str" cm="1">
        <f t="array" ref="C808">IFERROR(INDEX({"Ridgetop","Other"},MATCH(TRUE,ISNUMBER(SEARCH({"Ridgetop","Other"},A808)),0)),"")</f>
        <v>Ridgetop</v>
      </c>
      <c r="D808" t="str" cm="1">
        <f t="array" ref="D808">IFERROR(INDEX({"Small","Medium","Large"},MATCH(TRUE,ISNUMBER(SEARCH({"Small","Medium","Large"},A808)),0)),"")</f>
        <v>Small</v>
      </c>
      <c r="E808" t="str">
        <f t="shared" si="12"/>
        <v>0.139</v>
      </c>
    </row>
    <row r="809" spans="1:5" x14ac:dyDescent="0.3">
      <c r="A809" t="s">
        <v>807</v>
      </c>
      <c r="B809" t="str" cm="1">
        <f t="array" ref="B809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redcedar"},A809)),0)),"")</f>
        <v>Pacific madrone</v>
      </c>
      <c r="C809" t="str" cm="1">
        <f t="array" ref="C809">IFERROR(INDEX({"Ridgetop","Other"},MATCH(TRUE,ISNUMBER(SEARCH({"Ridgetop","Other"},A809)),0)),"")</f>
        <v>Ridgetop</v>
      </c>
      <c r="D809" t="str" cm="1">
        <f t="array" ref="D809">IFERROR(INDEX({"Small","Medium","Large"},MATCH(TRUE,ISNUMBER(SEARCH({"Small","Medium","Large"},A809)),0)),"")</f>
        <v>Medium</v>
      </c>
      <c r="E809" t="str">
        <f t="shared" si="12"/>
        <v>0.135</v>
      </c>
    </row>
    <row r="810" spans="1:5" x14ac:dyDescent="0.3">
      <c r="A810" t="s">
        <v>808</v>
      </c>
      <c r="B810" t="str" cm="1">
        <f t="array" ref="B810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redcedar"},A810)),0)),"")</f>
        <v>Pacific madrone</v>
      </c>
      <c r="C810" t="str" cm="1">
        <f t="array" ref="C810">IFERROR(INDEX({"Ridgetop","Other"},MATCH(TRUE,ISNUMBER(SEARCH({"Ridgetop","Other"},A810)),0)),"")</f>
        <v>Ridgetop</v>
      </c>
      <c r="D810" t="str" cm="1">
        <f t="array" ref="D810">IFERROR(INDEX({"Small","Medium","Large"},MATCH(TRUE,ISNUMBER(SEARCH({"Small","Medium","Large"},A810)),0)),"")</f>
        <v>Large</v>
      </c>
      <c r="E810" t="str">
        <f t="shared" si="12"/>
        <v>0.135</v>
      </c>
    </row>
    <row r="811" spans="1:5" x14ac:dyDescent="0.3">
      <c r="A811" t="s">
        <v>809</v>
      </c>
      <c r="B811" t="str" cm="1">
        <f t="array" ref="B811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redcedar"},A811)),0)),"")</f>
        <v>Pacific madrone</v>
      </c>
      <c r="C811" t="str" cm="1">
        <f t="array" ref="C811">IFERROR(INDEX({"Ridgetop","Other"},MATCH(TRUE,ISNUMBER(SEARCH({"Ridgetop","Other"},A811)),0)),"")</f>
        <v>Other</v>
      </c>
      <c r="D811" t="str" cm="1">
        <f t="array" ref="D811">IFERROR(INDEX({"Small","Medium","Large"},MATCH(TRUE,ISNUMBER(SEARCH({"Small","Medium","Large"},A811)),0)),"")</f>
        <v>Small</v>
      </c>
      <c r="E811" t="str">
        <f t="shared" si="12"/>
        <v>0.085</v>
      </c>
    </row>
    <row r="812" spans="1:5" x14ac:dyDescent="0.3">
      <c r="A812" t="s">
        <v>810</v>
      </c>
      <c r="B812" t="str" cm="1">
        <f t="array" ref="B812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redcedar"},A812)),0)),"")</f>
        <v>Pacific madrone</v>
      </c>
      <c r="C812" t="str" cm="1">
        <f t="array" ref="C812">IFERROR(INDEX({"Ridgetop","Other"},MATCH(TRUE,ISNUMBER(SEARCH({"Ridgetop","Other"},A812)),0)),"")</f>
        <v>Other</v>
      </c>
      <c r="D812" t="str" cm="1">
        <f t="array" ref="D812">IFERROR(INDEX({"Small","Medium","Large"},MATCH(TRUE,ISNUMBER(SEARCH({"Small","Medium","Large"},A812)),0)),"")</f>
        <v>Medium</v>
      </c>
      <c r="E812" t="str">
        <f t="shared" si="12"/>
        <v>0.083</v>
      </c>
    </row>
    <row r="813" spans="1:5" x14ac:dyDescent="0.3">
      <c r="A813" t="s">
        <v>811</v>
      </c>
      <c r="B813" t="str" cm="1">
        <f t="array" ref="B813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redcedar"},A813)),0)),"")</f>
        <v>Pacific madrone</v>
      </c>
      <c r="C813" t="str" cm="1">
        <f t="array" ref="C813">IFERROR(INDEX({"Ridgetop","Other"},MATCH(TRUE,ISNUMBER(SEARCH({"Ridgetop","Other"},A813)),0)),"")</f>
        <v>Other</v>
      </c>
      <c r="D813" t="str" cm="1">
        <f t="array" ref="D813">IFERROR(INDEX({"Small","Medium","Large"},MATCH(TRUE,ISNUMBER(SEARCH({"Small","Medium","Large"},A813)),0)),"")</f>
        <v>Large</v>
      </c>
      <c r="E813" t="str">
        <f t="shared" si="12"/>
        <v>0.083</v>
      </c>
    </row>
    <row r="814" spans="1:5" x14ac:dyDescent="0.3">
      <c r="A814" t="s">
        <v>812</v>
      </c>
      <c r="B814" t="str" cm="1">
        <f t="array" ref="B814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redcedar"},A814)),0)),"")</f>
        <v>Pacific madrone</v>
      </c>
      <c r="C814" t="str" cm="1">
        <f t="array" ref="C814">IFERROR(INDEX({"Ridgetop","Other"},MATCH(TRUE,ISNUMBER(SEARCH({"Ridgetop","Other"},A814)),0)),"")</f>
        <v>Other</v>
      </c>
      <c r="D814" t="str" cm="1">
        <f t="array" ref="D814">IFERROR(INDEX({"Small","Medium","Large"},MATCH(TRUE,ISNUMBER(SEARCH({"Small","Medium","Large"},A814)),0)),"")</f>
        <v>Small</v>
      </c>
      <c r="E814" t="str">
        <f t="shared" si="12"/>
        <v>0.092</v>
      </c>
    </row>
    <row r="815" spans="1:5" x14ac:dyDescent="0.3">
      <c r="A815" t="s">
        <v>813</v>
      </c>
      <c r="B815" t="str" cm="1">
        <f t="array" ref="B815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redcedar"},A815)),0)),"")</f>
        <v>Pacific madrone</v>
      </c>
      <c r="C815" t="str" cm="1">
        <f t="array" ref="C815">IFERROR(INDEX({"Ridgetop","Other"},MATCH(TRUE,ISNUMBER(SEARCH({"Ridgetop","Other"},A815)),0)),"")</f>
        <v>Other</v>
      </c>
      <c r="D815" t="str" cm="1">
        <f t="array" ref="D815">IFERROR(INDEX({"Small","Medium","Large"},MATCH(TRUE,ISNUMBER(SEARCH({"Small","Medium","Large"},A815)),0)),"")</f>
        <v>Medium</v>
      </c>
      <c r="E815" t="str">
        <f t="shared" si="12"/>
        <v>0.090</v>
      </c>
    </row>
    <row r="816" spans="1:5" x14ac:dyDescent="0.3">
      <c r="A816" t="s">
        <v>814</v>
      </c>
      <c r="B816" t="str" cm="1">
        <f t="array" ref="B816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redcedar"},A816)),0)),"")</f>
        <v>Pacific madrone</v>
      </c>
      <c r="C816" t="str" cm="1">
        <f t="array" ref="C816">IFERROR(INDEX({"Ridgetop","Other"},MATCH(TRUE,ISNUMBER(SEARCH({"Ridgetop","Other"},A816)),0)),"")</f>
        <v>Other</v>
      </c>
      <c r="D816" t="str" cm="1">
        <f t="array" ref="D816">IFERROR(INDEX({"Small","Medium","Large"},MATCH(TRUE,ISNUMBER(SEARCH({"Small","Medium","Large"},A816)),0)),"")</f>
        <v>Large</v>
      </c>
      <c r="E816" t="str">
        <f t="shared" si="12"/>
        <v>0.090</v>
      </c>
    </row>
    <row r="817" spans="1:5" x14ac:dyDescent="0.3">
      <c r="A817" t="s">
        <v>815</v>
      </c>
      <c r="B817" t="str" cm="1">
        <f t="array" ref="B817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redcedar"},A817)),0)),"")</f>
        <v>Pacific madrone</v>
      </c>
      <c r="C817" t="str" cm="1">
        <f t="array" ref="C817">IFERROR(INDEX({"Ridgetop","Other"},MATCH(TRUE,ISNUMBER(SEARCH({"Ridgetop","Other"},A817)),0)),"")</f>
        <v>Other</v>
      </c>
      <c r="D817" t="str" cm="1">
        <f t="array" ref="D817">IFERROR(INDEX({"Small","Medium","Large"},MATCH(TRUE,ISNUMBER(SEARCH({"Small","Medium","Large"},A817)),0)),"")</f>
        <v>Small</v>
      </c>
      <c r="E817" t="str">
        <f t="shared" si="12"/>
        <v>0.092</v>
      </c>
    </row>
    <row r="818" spans="1:5" x14ac:dyDescent="0.3">
      <c r="A818" t="s">
        <v>816</v>
      </c>
      <c r="B818" t="str" cm="1">
        <f t="array" ref="B818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redcedar"},A818)),0)),"")</f>
        <v>Pacific madrone</v>
      </c>
      <c r="C818" t="str" cm="1">
        <f t="array" ref="C818">IFERROR(INDEX({"Ridgetop","Other"},MATCH(TRUE,ISNUMBER(SEARCH({"Ridgetop","Other"},A818)),0)),"")</f>
        <v>Other</v>
      </c>
      <c r="D818" t="str" cm="1">
        <f t="array" ref="D818">IFERROR(INDEX({"Small","Medium","Large"},MATCH(TRUE,ISNUMBER(SEARCH({"Small","Medium","Large"},A818)),0)),"")</f>
        <v>Medium</v>
      </c>
      <c r="E818" t="str">
        <f t="shared" si="12"/>
        <v>0.090</v>
      </c>
    </row>
    <row r="819" spans="1:5" x14ac:dyDescent="0.3">
      <c r="A819" t="s">
        <v>817</v>
      </c>
      <c r="B819" t="str" cm="1">
        <f t="array" ref="B819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redcedar"},A819)),0)),"")</f>
        <v>Pacific madrone</v>
      </c>
      <c r="C819" t="str" cm="1">
        <f t="array" ref="C819">IFERROR(INDEX({"Ridgetop","Other"},MATCH(TRUE,ISNUMBER(SEARCH({"Ridgetop","Other"},A819)),0)),"")</f>
        <v>Other</v>
      </c>
      <c r="D819" t="str" cm="1">
        <f t="array" ref="D819">IFERROR(INDEX({"Small","Medium","Large"},MATCH(TRUE,ISNUMBER(SEARCH({"Small","Medium","Large"},A819)),0)),"")</f>
        <v>Large</v>
      </c>
      <c r="E819" t="str">
        <f t="shared" si="12"/>
        <v>0.090</v>
      </c>
    </row>
    <row r="820" spans="1:5" x14ac:dyDescent="0.3">
      <c r="A820" t="s">
        <v>818</v>
      </c>
      <c r="B820" t="str" cm="1">
        <f t="array" ref="B820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redcedar"},A820)),0)),"")</f>
        <v>Pacific madrone</v>
      </c>
      <c r="C820" t="str" cm="1">
        <f t="array" ref="C820">IFERROR(INDEX({"Ridgetop","Other"},MATCH(TRUE,ISNUMBER(SEARCH({"Ridgetop","Other"},A820)),0)),"")</f>
        <v>Ridgetop</v>
      </c>
      <c r="D820" t="str" cm="1">
        <f t="array" ref="D820">IFERROR(INDEX({"Small","Medium","Large"},MATCH(TRUE,ISNUMBER(SEARCH({"Small","Medium","Large"},A820)),0)),"")</f>
        <v>Small</v>
      </c>
      <c r="E820" t="str">
        <f t="shared" si="12"/>
        <v>0.154</v>
      </c>
    </row>
    <row r="821" spans="1:5" x14ac:dyDescent="0.3">
      <c r="A821" t="s">
        <v>819</v>
      </c>
      <c r="B821" t="str" cm="1">
        <f t="array" ref="B821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redcedar"},A821)),0)),"")</f>
        <v>Pacific madrone</v>
      </c>
      <c r="C821" t="str" cm="1">
        <f t="array" ref="C821">IFERROR(INDEX({"Ridgetop","Other"},MATCH(TRUE,ISNUMBER(SEARCH({"Ridgetop","Other"},A821)),0)),"")</f>
        <v>Ridgetop</v>
      </c>
      <c r="D821" t="str" cm="1">
        <f t="array" ref="D821">IFERROR(INDEX({"Small","Medium","Large"},MATCH(TRUE,ISNUMBER(SEARCH({"Small","Medium","Large"},A821)),0)),"")</f>
        <v>Medium</v>
      </c>
      <c r="E821" t="str">
        <f t="shared" si="12"/>
        <v>0.150</v>
      </c>
    </row>
    <row r="822" spans="1:5" x14ac:dyDescent="0.3">
      <c r="A822" t="s">
        <v>820</v>
      </c>
      <c r="B822" t="str" cm="1">
        <f t="array" ref="B822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redcedar"},A822)),0)),"")</f>
        <v>Pacific madrone</v>
      </c>
      <c r="C822" t="str" cm="1">
        <f t="array" ref="C822">IFERROR(INDEX({"Ridgetop","Other"},MATCH(TRUE,ISNUMBER(SEARCH({"Ridgetop","Other"},A822)),0)),"")</f>
        <v>Ridgetop</v>
      </c>
      <c r="D822" t="str" cm="1">
        <f t="array" ref="D822">IFERROR(INDEX({"Small","Medium","Large"},MATCH(TRUE,ISNUMBER(SEARCH({"Small","Medium","Large"},A822)),0)),"")</f>
        <v>Large</v>
      </c>
      <c r="E822" t="str">
        <f t="shared" si="12"/>
        <v>0.150</v>
      </c>
    </row>
    <row r="823" spans="1:5" x14ac:dyDescent="0.3">
      <c r="A823" t="s">
        <v>821</v>
      </c>
      <c r="B823" t="str" cm="1">
        <f t="array" ref="B823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redcedar"},A823)),0)),"")</f>
        <v>Pacific madrone</v>
      </c>
      <c r="C823" t="str" cm="1">
        <f t="array" ref="C823">IFERROR(INDEX({"Ridgetop","Other"},MATCH(TRUE,ISNUMBER(SEARCH({"Ridgetop","Other"},A823)),0)),"")</f>
        <v>Ridgetop</v>
      </c>
      <c r="D823" t="str" cm="1">
        <f t="array" ref="D823">IFERROR(INDEX({"Small","Medium","Large"},MATCH(TRUE,ISNUMBER(SEARCH({"Small","Medium","Large"},A823)),0)),"")</f>
        <v>Small</v>
      </c>
      <c r="E823" t="str">
        <f t="shared" si="12"/>
        <v>0.154</v>
      </c>
    </row>
    <row r="824" spans="1:5" x14ac:dyDescent="0.3">
      <c r="A824" t="s">
        <v>822</v>
      </c>
      <c r="B824" t="str" cm="1">
        <f t="array" ref="B824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redcedar"},A824)),0)),"")</f>
        <v>Pacific madrone</v>
      </c>
      <c r="C824" t="str" cm="1">
        <f t="array" ref="C824">IFERROR(INDEX({"Ridgetop","Other"},MATCH(TRUE,ISNUMBER(SEARCH({"Ridgetop","Other"},A824)),0)),"")</f>
        <v>Ridgetop</v>
      </c>
      <c r="D824" t="str" cm="1">
        <f t="array" ref="D824">IFERROR(INDEX({"Small","Medium","Large"},MATCH(TRUE,ISNUMBER(SEARCH({"Small","Medium","Large"},A824)),0)),"")</f>
        <v>Medium</v>
      </c>
      <c r="E824" t="str">
        <f t="shared" si="12"/>
        <v>0.150</v>
      </c>
    </row>
    <row r="825" spans="1:5" x14ac:dyDescent="0.3">
      <c r="A825" t="s">
        <v>823</v>
      </c>
      <c r="B825" t="str" cm="1">
        <f t="array" ref="B825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redcedar"},A825)),0)),"")</f>
        <v>Pacific madrone</v>
      </c>
      <c r="C825" t="str" cm="1">
        <f t="array" ref="C825">IFERROR(INDEX({"Ridgetop","Other"},MATCH(TRUE,ISNUMBER(SEARCH({"Ridgetop","Other"},A825)),0)),"")</f>
        <v>Ridgetop</v>
      </c>
      <c r="D825" t="str" cm="1">
        <f t="array" ref="D825">IFERROR(INDEX({"Small","Medium","Large"},MATCH(TRUE,ISNUMBER(SEARCH({"Small","Medium","Large"},A825)),0)),"")</f>
        <v>Large</v>
      </c>
      <c r="E825" t="str">
        <f t="shared" si="12"/>
        <v>0.150</v>
      </c>
    </row>
    <row r="826" spans="1:5" x14ac:dyDescent="0.3">
      <c r="A826" t="s">
        <v>824</v>
      </c>
      <c r="B826" t="str" cm="1">
        <f t="array" ref="B826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redcedar"},A826)),0)),"")</f>
        <v>Pacific madrone</v>
      </c>
      <c r="C826" t="str" cm="1">
        <f t="array" ref="C826">IFERROR(INDEX({"Ridgetop","Other"},MATCH(TRUE,ISNUMBER(SEARCH({"Ridgetop","Other"},A826)),0)),"")</f>
        <v>Ridgetop</v>
      </c>
      <c r="D826" t="str" cm="1">
        <f t="array" ref="D826">IFERROR(INDEX({"Small","Medium","Large"},MATCH(TRUE,ISNUMBER(SEARCH({"Small","Medium","Large"},A826)),0)),"")</f>
        <v>Small</v>
      </c>
      <c r="E826" t="str">
        <f t="shared" si="12"/>
        <v>0.154</v>
      </c>
    </row>
    <row r="827" spans="1:5" x14ac:dyDescent="0.3">
      <c r="A827" t="s">
        <v>825</v>
      </c>
      <c r="B827" t="str" cm="1">
        <f t="array" ref="B827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redcedar"},A827)),0)),"")</f>
        <v>Pacific madrone</v>
      </c>
      <c r="C827" t="str" cm="1">
        <f t="array" ref="C827">IFERROR(INDEX({"Ridgetop","Other"},MATCH(TRUE,ISNUMBER(SEARCH({"Ridgetop","Other"},A827)),0)),"")</f>
        <v>Ridgetop</v>
      </c>
      <c r="D827" t="str" cm="1">
        <f t="array" ref="D827">IFERROR(INDEX({"Small","Medium","Large"},MATCH(TRUE,ISNUMBER(SEARCH({"Small","Medium","Large"},A827)),0)),"")</f>
        <v>Medium</v>
      </c>
      <c r="E827" t="str">
        <f t="shared" si="12"/>
        <v>0.150</v>
      </c>
    </row>
    <row r="828" spans="1:5" x14ac:dyDescent="0.3">
      <c r="A828" t="s">
        <v>826</v>
      </c>
      <c r="B828" t="str" cm="1">
        <f t="array" ref="B828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redcedar"},A828)),0)),"")</f>
        <v>Pacific madrone</v>
      </c>
      <c r="C828" t="str" cm="1">
        <f t="array" ref="C828">IFERROR(INDEX({"Ridgetop","Other"},MATCH(TRUE,ISNUMBER(SEARCH({"Ridgetop","Other"},A828)),0)),"")</f>
        <v>Ridgetop</v>
      </c>
      <c r="D828" t="str" cm="1">
        <f t="array" ref="D828">IFERROR(INDEX({"Small","Medium","Large"},MATCH(TRUE,ISNUMBER(SEARCH({"Small","Medium","Large"},A828)),0)),"")</f>
        <v>Large</v>
      </c>
      <c r="E828" t="str">
        <f t="shared" si="12"/>
        <v>0.150</v>
      </c>
    </row>
    <row r="829" spans="1:5" x14ac:dyDescent="0.3">
      <c r="A829" t="s">
        <v>827</v>
      </c>
      <c r="B829" t="str" cm="1">
        <f t="array" ref="B829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redcedar"},A829)),0)),"")</f>
        <v>Pacific madrone</v>
      </c>
      <c r="C829" t="str" cm="1">
        <f t="array" ref="C829">IFERROR(INDEX({"Ridgetop","Other"},MATCH(TRUE,ISNUMBER(SEARCH({"Ridgetop","Other"},A829)),0)),"")</f>
        <v>Other</v>
      </c>
      <c r="D829" t="str" cm="1">
        <f t="array" ref="D829">IFERROR(INDEX({"Small","Medium","Large"},MATCH(TRUE,ISNUMBER(SEARCH({"Small","Medium","Large"},A829)),0)),"")</f>
        <v>Small</v>
      </c>
      <c r="E829" t="str">
        <f t="shared" si="12"/>
        <v>0.075</v>
      </c>
    </row>
    <row r="830" spans="1:5" x14ac:dyDescent="0.3">
      <c r="A830" t="s">
        <v>828</v>
      </c>
      <c r="B830" t="str" cm="1">
        <f t="array" ref="B830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redcedar"},A830)),0)),"")</f>
        <v>Pacific madrone</v>
      </c>
      <c r="C830" t="str" cm="1">
        <f t="array" ref="C830">IFERROR(INDEX({"Ridgetop","Other"},MATCH(TRUE,ISNUMBER(SEARCH({"Ridgetop","Other"},A830)),0)),"")</f>
        <v>Other</v>
      </c>
      <c r="D830" t="str" cm="1">
        <f t="array" ref="D830">IFERROR(INDEX({"Small","Medium","Large"},MATCH(TRUE,ISNUMBER(SEARCH({"Small","Medium","Large"},A830)),0)),"")</f>
        <v>Medium</v>
      </c>
      <c r="E830" t="str">
        <f t="shared" si="12"/>
        <v>0.073</v>
      </c>
    </row>
    <row r="831" spans="1:5" x14ac:dyDescent="0.3">
      <c r="A831" t="s">
        <v>829</v>
      </c>
      <c r="B831" t="str" cm="1">
        <f t="array" ref="B831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redcedar"},A831)),0)),"")</f>
        <v>Pacific madrone</v>
      </c>
      <c r="C831" t="str" cm="1">
        <f t="array" ref="C831">IFERROR(INDEX({"Ridgetop","Other"},MATCH(TRUE,ISNUMBER(SEARCH({"Ridgetop","Other"},A831)),0)),"")</f>
        <v>Other</v>
      </c>
      <c r="D831" t="str" cm="1">
        <f t="array" ref="D831">IFERROR(INDEX({"Small","Medium","Large"},MATCH(TRUE,ISNUMBER(SEARCH({"Small","Medium","Large"},A831)),0)),"")</f>
        <v>Large</v>
      </c>
      <c r="E831" t="str">
        <f t="shared" si="12"/>
        <v>0.073</v>
      </c>
    </row>
    <row r="832" spans="1:5" x14ac:dyDescent="0.3">
      <c r="A832" t="s">
        <v>830</v>
      </c>
      <c r="B832" t="str" cm="1">
        <f t="array" ref="B832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redcedar"},A832)),0)),"")</f>
        <v>Pacific madrone</v>
      </c>
      <c r="C832" t="str" cm="1">
        <f t="array" ref="C832">IFERROR(INDEX({"Ridgetop","Other"},MATCH(TRUE,ISNUMBER(SEARCH({"Ridgetop","Other"},A832)),0)),"")</f>
        <v>Other</v>
      </c>
      <c r="D832" t="str" cm="1">
        <f t="array" ref="D832">IFERROR(INDEX({"Small","Medium","Large"},MATCH(TRUE,ISNUMBER(SEARCH({"Small","Medium","Large"},A832)),0)),"")</f>
        <v>Small</v>
      </c>
      <c r="E832" t="str">
        <f t="shared" si="12"/>
        <v>0.085</v>
      </c>
    </row>
    <row r="833" spans="1:5" x14ac:dyDescent="0.3">
      <c r="A833" t="s">
        <v>831</v>
      </c>
      <c r="B833" t="str" cm="1">
        <f t="array" ref="B833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redcedar"},A833)),0)),"")</f>
        <v>Pacific madrone</v>
      </c>
      <c r="C833" t="str" cm="1">
        <f t="array" ref="C833">IFERROR(INDEX({"Ridgetop","Other"},MATCH(TRUE,ISNUMBER(SEARCH({"Ridgetop","Other"},A833)),0)),"")</f>
        <v>Other</v>
      </c>
      <c r="D833" t="str" cm="1">
        <f t="array" ref="D833">IFERROR(INDEX({"Small","Medium","Large"},MATCH(TRUE,ISNUMBER(SEARCH({"Small","Medium","Large"},A833)),0)),"")</f>
        <v>Medium</v>
      </c>
      <c r="E833" t="str">
        <f t="shared" si="12"/>
        <v>0.083</v>
      </c>
    </row>
    <row r="834" spans="1:5" x14ac:dyDescent="0.3">
      <c r="A834" t="s">
        <v>832</v>
      </c>
      <c r="B834" t="str" cm="1">
        <f t="array" ref="B834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redcedar"},A834)),0)),"")</f>
        <v>Pacific madrone</v>
      </c>
      <c r="C834" t="str" cm="1">
        <f t="array" ref="C834">IFERROR(INDEX({"Ridgetop","Other"},MATCH(TRUE,ISNUMBER(SEARCH({"Ridgetop","Other"},A834)),0)),"")</f>
        <v>Other</v>
      </c>
      <c r="D834" t="str" cm="1">
        <f t="array" ref="D834">IFERROR(INDEX({"Small","Medium","Large"},MATCH(TRUE,ISNUMBER(SEARCH({"Small","Medium","Large"},A834)),0)),"")</f>
        <v>Large</v>
      </c>
      <c r="E834" t="str">
        <f t="shared" si="12"/>
        <v>0.083</v>
      </c>
    </row>
    <row r="835" spans="1:5" x14ac:dyDescent="0.3">
      <c r="A835" t="s">
        <v>833</v>
      </c>
      <c r="B835" t="str" cm="1">
        <f t="array" ref="B835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redcedar"},A835)),0)),"")</f>
        <v>Pacific madrone</v>
      </c>
      <c r="C835" t="str" cm="1">
        <f t="array" ref="C835">IFERROR(INDEX({"Ridgetop","Other"},MATCH(TRUE,ISNUMBER(SEARCH({"Ridgetop","Other"},A835)),0)),"")</f>
        <v>Other</v>
      </c>
      <c r="D835" t="str" cm="1">
        <f t="array" ref="D835">IFERROR(INDEX({"Small","Medium","Large"},MATCH(TRUE,ISNUMBER(SEARCH({"Small","Medium","Large"},A835)),0)),"")</f>
        <v>Small</v>
      </c>
      <c r="E835" t="str">
        <f t="shared" ref="E835:E898" si="13">RIGHT(A835,LEN(A835)-FIND("@",SUBSTITUTE(A835," ","@",LEN(A835)-LEN(SUBSTITUTE(A835," ","")))))</f>
        <v>0.092</v>
      </c>
    </row>
    <row r="836" spans="1:5" x14ac:dyDescent="0.3">
      <c r="A836" t="s">
        <v>834</v>
      </c>
      <c r="B836" t="str" cm="1">
        <f t="array" ref="B836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redcedar"},A836)),0)),"")</f>
        <v>Pacific madrone</v>
      </c>
      <c r="C836" t="str" cm="1">
        <f t="array" ref="C836">IFERROR(INDEX({"Ridgetop","Other"},MATCH(TRUE,ISNUMBER(SEARCH({"Ridgetop","Other"},A836)),0)),"")</f>
        <v>Other</v>
      </c>
      <c r="D836" t="str" cm="1">
        <f t="array" ref="D836">IFERROR(INDEX({"Small","Medium","Large"},MATCH(TRUE,ISNUMBER(SEARCH({"Small","Medium","Large"},A836)),0)),"")</f>
        <v>Medium</v>
      </c>
      <c r="E836" t="str">
        <f t="shared" si="13"/>
        <v>0.090</v>
      </c>
    </row>
    <row r="837" spans="1:5" x14ac:dyDescent="0.3">
      <c r="A837" t="s">
        <v>835</v>
      </c>
      <c r="B837" t="str" cm="1">
        <f t="array" ref="B837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redcedar"},A837)),0)),"")</f>
        <v>Pacific madrone</v>
      </c>
      <c r="C837" t="str" cm="1">
        <f t="array" ref="C837">IFERROR(INDEX({"Ridgetop","Other"},MATCH(TRUE,ISNUMBER(SEARCH({"Ridgetop","Other"},A837)),0)),"")</f>
        <v>Other</v>
      </c>
      <c r="D837" t="str" cm="1">
        <f t="array" ref="D837">IFERROR(INDEX({"Small","Medium","Large"},MATCH(TRUE,ISNUMBER(SEARCH({"Small","Medium","Large"},A837)),0)),"")</f>
        <v>Large</v>
      </c>
      <c r="E837" t="str">
        <f t="shared" si="13"/>
        <v>0.090</v>
      </c>
    </row>
    <row r="838" spans="1:5" x14ac:dyDescent="0.3">
      <c r="A838" t="s">
        <v>836</v>
      </c>
      <c r="B838" t="str" cm="1">
        <f t="array" ref="B838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redcedar"},A838)),0)),"")</f>
        <v>Pacific madrone</v>
      </c>
      <c r="C838" t="str" cm="1">
        <f t="array" ref="C838">IFERROR(INDEX({"Ridgetop","Other"},MATCH(TRUE,ISNUMBER(SEARCH({"Ridgetop","Other"},A838)),0)),"")</f>
        <v>Ridgetop</v>
      </c>
      <c r="D838" t="str" cm="1">
        <f t="array" ref="D838">IFERROR(INDEX({"Small","Medium","Large"},MATCH(TRUE,ISNUMBER(SEARCH({"Small","Medium","Large"},A838)),0)),"")</f>
        <v>Small</v>
      </c>
      <c r="E838" t="str">
        <f t="shared" si="13"/>
        <v>0.142</v>
      </c>
    </row>
    <row r="839" spans="1:5" x14ac:dyDescent="0.3">
      <c r="A839" t="s">
        <v>837</v>
      </c>
      <c r="B839" t="str" cm="1">
        <f t="array" ref="B839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redcedar"},A839)),0)),"")</f>
        <v>Pacific madrone</v>
      </c>
      <c r="C839" t="str" cm="1">
        <f t="array" ref="C839">IFERROR(INDEX({"Ridgetop","Other"},MATCH(TRUE,ISNUMBER(SEARCH({"Ridgetop","Other"},A839)),0)),"")</f>
        <v>Ridgetop</v>
      </c>
      <c r="D839" t="str" cm="1">
        <f t="array" ref="D839">IFERROR(INDEX({"Small","Medium","Large"},MATCH(TRUE,ISNUMBER(SEARCH({"Small","Medium","Large"},A839)),0)),"")</f>
        <v>Medium</v>
      </c>
      <c r="E839" t="str">
        <f t="shared" si="13"/>
        <v>0.139</v>
      </c>
    </row>
    <row r="840" spans="1:5" x14ac:dyDescent="0.3">
      <c r="A840" t="s">
        <v>838</v>
      </c>
      <c r="B840" t="str" cm="1">
        <f t="array" ref="B840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redcedar"},A840)),0)),"")</f>
        <v>Pacific madrone</v>
      </c>
      <c r="C840" t="str" cm="1">
        <f t="array" ref="C840">IFERROR(INDEX({"Ridgetop","Other"},MATCH(TRUE,ISNUMBER(SEARCH({"Ridgetop","Other"},A840)),0)),"")</f>
        <v>Ridgetop</v>
      </c>
      <c r="D840" t="str" cm="1">
        <f t="array" ref="D840">IFERROR(INDEX({"Small","Medium","Large"},MATCH(TRUE,ISNUMBER(SEARCH({"Small","Medium","Large"},A840)),0)),"")</f>
        <v>Large</v>
      </c>
      <c r="E840" t="str">
        <f t="shared" si="13"/>
        <v>0.139</v>
      </c>
    </row>
    <row r="841" spans="1:5" x14ac:dyDescent="0.3">
      <c r="A841" t="s">
        <v>839</v>
      </c>
      <c r="B841" t="str" cm="1">
        <f t="array" ref="B841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redcedar"},A841)),0)),"")</f>
        <v>Pacific madrone</v>
      </c>
      <c r="C841" t="str" cm="1">
        <f t="array" ref="C841">IFERROR(INDEX({"Ridgetop","Other"},MATCH(TRUE,ISNUMBER(SEARCH({"Ridgetop","Other"},A841)),0)),"")</f>
        <v>Ridgetop</v>
      </c>
      <c r="D841" t="str" cm="1">
        <f t="array" ref="D841">IFERROR(INDEX({"Small","Medium","Large"},MATCH(TRUE,ISNUMBER(SEARCH({"Small","Medium","Large"},A841)),0)),"")</f>
        <v>Small</v>
      </c>
      <c r="E841" t="str">
        <f t="shared" si="13"/>
        <v>0.142</v>
      </c>
    </row>
    <row r="842" spans="1:5" x14ac:dyDescent="0.3">
      <c r="A842" t="s">
        <v>840</v>
      </c>
      <c r="B842" t="str" cm="1">
        <f t="array" ref="B842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redcedar"},A842)),0)),"")</f>
        <v>Pacific madrone</v>
      </c>
      <c r="C842" t="str" cm="1">
        <f t="array" ref="C842">IFERROR(INDEX({"Ridgetop","Other"},MATCH(TRUE,ISNUMBER(SEARCH({"Ridgetop","Other"},A842)),0)),"")</f>
        <v>Ridgetop</v>
      </c>
      <c r="D842" t="str" cm="1">
        <f t="array" ref="D842">IFERROR(INDEX({"Small","Medium","Large"},MATCH(TRUE,ISNUMBER(SEARCH({"Small","Medium","Large"},A842)),0)),"")</f>
        <v>Medium</v>
      </c>
      <c r="E842" t="str">
        <f t="shared" si="13"/>
        <v>0.139</v>
      </c>
    </row>
    <row r="843" spans="1:5" x14ac:dyDescent="0.3">
      <c r="A843" t="s">
        <v>841</v>
      </c>
      <c r="B843" t="str" cm="1">
        <f t="array" ref="B843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redcedar"},A843)),0)),"")</f>
        <v>Pacific madrone</v>
      </c>
      <c r="C843" t="str" cm="1">
        <f t="array" ref="C843">IFERROR(INDEX({"Ridgetop","Other"},MATCH(TRUE,ISNUMBER(SEARCH({"Ridgetop","Other"},A843)),0)),"")</f>
        <v>Ridgetop</v>
      </c>
      <c r="D843" t="str" cm="1">
        <f t="array" ref="D843">IFERROR(INDEX({"Small","Medium","Large"},MATCH(TRUE,ISNUMBER(SEARCH({"Small","Medium","Large"},A843)),0)),"")</f>
        <v>Large</v>
      </c>
      <c r="E843" t="str">
        <f t="shared" si="13"/>
        <v>0.139</v>
      </c>
    </row>
    <row r="844" spans="1:5" x14ac:dyDescent="0.3">
      <c r="A844" t="s">
        <v>842</v>
      </c>
      <c r="B844" t="str" cm="1">
        <f t="array" ref="B844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redcedar"},A844)),0)),"")</f>
        <v>Pacific madrone</v>
      </c>
      <c r="C844" t="str" cm="1">
        <f t="array" ref="C844">IFERROR(INDEX({"Ridgetop","Other"},MATCH(TRUE,ISNUMBER(SEARCH({"Ridgetop","Other"},A844)),0)),"")</f>
        <v>Ridgetop</v>
      </c>
      <c r="D844" t="str" cm="1">
        <f t="array" ref="D844">IFERROR(INDEX({"Small","Medium","Large"},MATCH(TRUE,ISNUMBER(SEARCH({"Small","Medium","Large"},A844)),0)),"")</f>
        <v>Small</v>
      </c>
      <c r="E844" t="str">
        <f t="shared" si="13"/>
        <v>0.146</v>
      </c>
    </row>
    <row r="845" spans="1:5" x14ac:dyDescent="0.3">
      <c r="A845" t="s">
        <v>843</v>
      </c>
      <c r="B845" t="str" cm="1">
        <f t="array" ref="B845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redcedar"},A845)),0)),"")</f>
        <v>Pacific madrone</v>
      </c>
      <c r="C845" t="str" cm="1">
        <f t="array" ref="C845">IFERROR(INDEX({"Ridgetop","Other"},MATCH(TRUE,ISNUMBER(SEARCH({"Ridgetop","Other"},A845)),0)),"")</f>
        <v>Ridgetop</v>
      </c>
      <c r="D845" t="str" cm="1">
        <f t="array" ref="D845">IFERROR(INDEX({"Small","Medium","Large"},MATCH(TRUE,ISNUMBER(SEARCH({"Small","Medium","Large"},A845)),0)),"")</f>
        <v>Medium</v>
      </c>
      <c r="E845" t="str">
        <f t="shared" si="13"/>
        <v>0.143</v>
      </c>
    </row>
    <row r="846" spans="1:5" x14ac:dyDescent="0.3">
      <c r="A846" t="s">
        <v>844</v>
      </c>
      <c r="B846" t="str" cm="1">
        <f t="array" ref="B846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redcedar"},A846)),0)),"")</f>
        <v>Pacific madrone</v>
      </c>
      <c r="C846" t="str" cm="1">
        <f t="array" ref="C846">IFERROR(INDEX({"Ridgetop","Other"},MATCH(TRUE,ISNUMBER(SEARCH({"Ridgetop","Other"},A846)),0)),"")</f>
        <v>Ridgetop</v>
      </c>
      <c r="D846" t="str" cm="1">
        <f t="array" ref="D846">IFERROR(INDEX({"Small","Medium","Large"},MATCH(TRUE,ISNUMBER(SEARCH({"Small","Medium","Large"},A846)),0)),"")</f>
        <v>Large</v>
      </c>
      <c r="E846" t="str">
        <f t="shared" si="13"/>
        <v>0.143</v>
      </c>
    </row>
    <row r="847" spans="1:5" x14ac:dyDescent="0.3">
      <c r="A847" t="s">
        <v>845</v>
      </c>
      <c r="B847" t="str" cm="1">
        <f t="array" ref="B847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redcedar"},A847)),0)),"")</f>
        <v>Pacific madrone</v>
      </c>
      <c r="C847" t="str" cm="1">
        <f t="array" ref="C847">IFERROR(INDEX({"Ridgetop","Other"},MATCH(TRUE,ISNUMBER(SEARCH({"Ridgetop","Other"},A847)),0)),"")</f>
        <v>Other</v>
      </c>
      <c r="D847" t="str" cm="1">
        <f t="array" ref="D847">IFERROR(INDEX({"Small","Medium","Large"},MATCH(TRUE,ISNUMBER(SEARCH({"Small","Medium","Large"},A847)),0)),"")</f>
        <v>Small</v>
      </c>
      <c r="E847" t="str">
        <f t="shared" si="13"/>
        <v>0.085</v>
      </c>
    </row>
    <row r="848" spans="1:5" x14ac:dyDescent="0.3">
      <c r="A848" t="s">
        <v>846</v>
      </c>
      <c r="B848" t="str" cm="1">
        <f t="array" ref="B848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redcedar"},A848)),0)),"")</f>
        <v>Pacific madrone</v>
      </c>
      <c r="C848" t="str" cm="1">
        <f t="array" ref="C848">IFERROR(INDEX({"Ridgetop","Other"},MATCH(TRUE,ISNUMBER(SEARCH({"Ridgetop","Other"},A848)),0)),"")</f>
        <v>Other</v>
      </c>
      <c r="D848" t="str" cm="1">
        <f t="array" ref="D848">IFERROR(INDEX({"Small","Medium","Large"},MATCH(TRUE,ISNUMBER(SEARCH({"Small","Medium","Large"},A848)),0)),"")</f>
        <v>Medium</v>
      </c>
      <c r="E848" t="str">
        <f t="shared" si="13"/>
        <v>0.083</v>
      </c>
    </row>
    <row r="849" spans="1:5" x14ac:dyDescent="0.3">
      <c r="A849" t="s">
        <v>847</v>
      </c>
      <c r="B849" t="str" cm="1">
        <f t="array" ref="B849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redcedar"},A849)),0)),"")</f>
        <v>Pacific madrone</v>
      </c>
      <c r="C849" t="str" cm="1">
        <f t="array" ref="C849">IFERROR(INDEX({"Ridgetop","Other"},MATCH(TRUE,ISNUMBER(SEARCH({"Ridgetop","Other"},A849)),0)),"")</f>
        <v>Other</v>
      </c>
      <c r="D849" t="str" cm="1">
        <f t="array" ref="D849">IFERROR(INDEX({"Small","Medium","Large"},MATCH(TRUE,ISNUMBER(SEARCH({"Small","Medium","Large"},A849)),0)),"")</f>
        <v>Large</v>
      </c>
      <c r="E849" t="str">
        <f t="shared" si="13"/>
        <v>0.083</v>
      </c>
    </row>
    <row r="850" spans="1:5" x14ac:dyDescent="0.3">
      <c r="A850" t="s">
        <v>848</v>
      </c>
      <c r="B850" t="str" cm="1">
        <f t="array" ref="B850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redcedar"},A850)),0)),"")</f>
        <v>Pacific madrone</v>
      </c>
      <c r="C850" t="str" cm="1">
        <f t="array" ref="C850">IFERROR(INDEX({"Ridgetop","Other"},MATCH(TRUE,ISNUMBER(SEARCH({"Ridgetop","Other"},A850)),0)),"")</f>
        <v>Other</v>
      </c>
      <c r="D850" t="str" cm="1">
        <f t="array" ref="D850">IFERROR(INDEX({"Small","Medium","Large"},MATCH(TRUE,ISNUMBER(SEARCH({"Small","Medium","Large"},A850)),0)),"")</f>
        <v>Small</v>
      </c>
      <c r="E850" t="str">
        <f t="shared" si="13"/>
        <v>0.092</v>
      </c>
    </row>
    <row r="851" spans="1:5" x14ac:dyDescent="0.3">
      <c r="A851" t="s">
        <v>849</v>
      </c>
      <c r="B851" t="str" cm="1">
        <f t="array" ref="B851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redcedar"},A851)),0)),"")</f>
        <v>Pacific madrone</v>
      </c>
      <c r="C851" t="str" cm="1">
        <f t="array" ref="C851">IFERROR(INDEX({"Ridgetop","Other"},MATCH(TRUE,ISNUMBER(SEARCH({"Ridgetop","Other"},A851)),0)),"")</f>
        <v>Other</v>
      </c>
      <c r="D851" t="str" cm="1">
        <f t="array" ref="D851">IFERROR(INDEX({"Small","Medium","Large"},MATCH(TRUE,ISNUMBER(SEARCH({"Small","Medium","Large"},A851)),0)),"")</f>
        <v>Medium</v>
      </c>
      <c r="E851" t="str">
        <f t="shared" si="13"/>
        <v>0.090</v>
      </c>
    </row>
    <row r="852" spans="1:5" x14ac:dyDescent="0.3">
      <c r="A852" t="s">
        <v>850</v>
      </c>
      <c r="B852" t="str" cm="1">
        <f t="array" ref="B852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redcedar"},A852)),0)),"")</f>
        <v>Pacific madrone</v>
      </c>
      <c r="C852" t="str" cm="1">
        <f t="array" ref="C852">IFERROR(INDEX({"Ridgetop","Other"},MATCH(TRUE,ISNUMBER(SEARCH({"Ridgetop","Other"},A852)),0)),"")</f>
        <v>Other</v>
      </c>
      <c r="D852" t="str" cm="1">
        <f t="array" ref="D852">IFERROR(INDEX({"Small","Medium","Large"},MATCH(TRUE,ISNUMBER(SEARCH({"Small","Medium","Large"},A852)),0)),"")</f>
        <v>Large</v>
      </c>
      <c r="E852" t="str">
        <f t="shared" si="13"/>
        <v>0.090</v>
      </c>
    </row>
    <row r="853" spans="1:5" x14ac:dyDescent="0.3">
      <c r="A853" t="s">
        <v>851</v>
      </c>
      <c r="B853" t="str" cm="1">
        <f t="array" ref="B853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redcedar"},A853)),0)),"")</f>
        <v>Pacific madrone</v>
      </c>
      <c r="C853" t="str" cm="1">
        <f t="array" ref="C853">IFERROR(INDEX({"Ridgetop","Other"},MATCH(TRUE,ISNUMBER(SEARCH({"Ridgetop","Other"},A853)),0)),"")</f>
        <v>Other</v>
      </c>
      <c r="D853" t="str" cm="1">
        <f t="array" ref="D853">IFERROR(INDEX({"Small","Medium","Large"},MATCH(TRUE,ISNUMBER(SEARCH({"Small","Medium","Large"},A853)),0)),"")</f>
        <v>Small</v>
      </c>
      <c r="E853" t="str">
        <f t="shared" si="13"/>
        <v>0.092</v>
      </c>
    </row>
    <row r="854" spans="1:5" x14ac:dyDescent="0.3">
      <c r="A854" t="s">
        <v>852</v>
      </c>
      <c r="B854" t="str" cm="1">
        <f t="array" ref="B854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redcedar"},A854)),0)),"")</f>
        <v>Pacific madrone</v>
      </c>
      <c r="C854" t="str" cm="1">
        <f t="array" ref="C854">IFERROR(INDEX({"Ridgetop","Other"},MATCH(TRUE,ISNUMBER(SEARCH({"Ridgetop","Other"},A854)),0)),"")</f>
        <v>Other</v>
      </c>
      <c r="D854" t="str" cm="1">
        <f t="array" ref="D854">IFERROR(INDEX({"Small","Medium","Large"},MATCH(TRUE,ISNUMBER(SEARCH({"Small","Medium","Large"},A854)),0)),"")</f>
        <v>Medium</v>
      </c>
      <c r="E854" t="str">
        <f t="shared" si="13"/>
        <v>0.090</v>
      </c>
    </row>
    <row r="855" spans="1:5" x14ac:dyDescent="0.3">
      <c r="A855" t="s">
        <v>853</v>
      </c>
      <c r="B855" t="str" cm="1">
        <f t="array" ref="B855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redcedar"},A855)),0)),"")</f>
        <v>Pacific madrone</v>
      </c>
      <c r="C855" t="str" cm="1">
        <f t="array" ref="C855">IFERROR(INDEX({"Ridgetop","Other"},MATCH(TRUE,ISNUMBER(SEARCH({"Ridgetop","Other"},A855)),0)),"")</f>
        <v>Other</v>
      </c>
      <c r="D855" t="str" cm="1">
        <f t="array" ref="D855">IFERROR(INDEX({"Small","Medium","Large"},MATCH(TRUE,ISNUMBER(SEARCH({"Small","Medium","Large"},A855)),0)),"")</f>
        <v>Large</v>
      </c>
      <c r="E855" t="str">
        <f t="shared" si="13"/>
        <v>0.090</v>
      </c>
    </row>
    <row r="856" spans="1:5" x14ac:dyDescent="0.3">
      <c r="A856" t="s">
        <v>854</v>
      </c>
      <c r="B856" t="str" cm="1">
        <f t="array" ref="B856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redcedar"},A856)),0)),"")</f>
        <v>Pacific madrone</v>
      </c>
      <c r="C856" t="str" cm="1">
        <f t="array" ref="C856">IFERROR(INDEX({"Ridgetop","Other"},MATCH(TRUE,ISNUMBER(SEARCH({"Ridgetop","Other"},A856)),0)),"")</f>
        <v>Ridgetop</v>
      </c>
      <c r="D856" t="str" cm="1">
        <f t="array" ref="D856">IFERROR(INDEX({"Small","Medium","Large"},MATCH(TRUE,ISNUMBER(SEARCH({"Small","Medium","Large"},A856)),0)),"")</f>
        <v>Small</v>
      </c>
      <c r="E856" t="str">
        <f t="shared" si="13"/>
        <v>0.154</v>
      </c>
    </row>
    <row r="857" spans="1:5" x14ac:dyDescent="0.3">
      <c r="A857" t="s">
        <v>855</v>
      </c>
      <c r="B857" t="str" cm="1">
        <f t="array" ref="B857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redcedar"},A857)),0)),"")</f>
        <v>Pacific madrone</v>
      </c>
      <c r="C857" t="str" cm="1">
        <f t="array" ref="C857">IFERROR(INDEX({"Ridgetop","Other"},MATCH(TRUE,ISNUMBER(SEARCH({"Ridgetop","Other"},A857)),0)),"")</f>
        <v>Ridgetop</v>
      </c>
      <c r="D857" t="str" cm="1">
        <f t="array" ref="D857">IFERROR(INDEX({"Small","Medium","Large"},MATCH(TRUE,ISNUMBER(SEARCH({"Small","Medium","Large"},A857)),0)),"")</f>
        <v>Medium</v>
      </c>
      <c r="E857" t="str">
        <f t="shared" si="13"/>
        <v>0.150</v>
      </c>
    </row>
    <row r="858" spans="1:5" x14ac:dyDescent="0.3">
      <c r="A858" t="s">
        <v>856</v>
      </c>
      <c r="B858" t="str" cm="1">
        <f t="array" ref="B858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redcedar"},A858)),0)),"")</f>
        <v>Pacific madrone</v>
      </c>
      <c r="C858" t="str" cm="1">
        <f t="array" ref="C858">IFERROR(INDEX({"Ridgetop","Other"},MATCH(TRUE,ISNUMBER(SEARCH({"Ridgetop","Other"},A858)),0)),"")</f>
        <v>Ridgetop</v>
      </c>
      <c r="D858" t="str" cm="1">
        <f t="array" ref="D858">IFERROR(INDEX({"Small","Medium","Large"},MATCH(TRUE,ISNUMBER(SEARCH({"Small","Medium","Large"},A858)),0)),"")</f>
        <v>Large</v>
      </c>
      <c r="E858" t="str">
        <f t="shared" si="13"/>
        <v>0.150</v>
      </c>
    </row>
    <row r="859" spans="1:5" x14ac:dyDescent="0.3">
      <c r="A859" t="s">
        <v>857</v>
      </c>
      <c r="B859" t="str" cm="1">
        <f t="array" ref="B859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redcedar"},A859)),0)),"")</f>
        <v>Pacific madrone</v>
      </c>
      <c r="C859" t="str" cm="1">
        <f t="array" ref="C859">IFERROR(INDEX({"Ridgetop","Other"},MATCH(TRUE,ISNUMBER(SEARCH({"Ridgetop","Other"},A859)),0)),"")</f>
        <v>Ridgetop</v>
      </c>
      <c r="D859" t="str" cm="1">
        <f t="array" ref="D859">IFERROR(INDEX({"Small","Medium","Large"},MATCH(TRUE,ISNUMBER(SEARCH({"Small","Medium","Large"},A859)),0)),"")</f>
        <v>Small</v>
      </c>
      <c r="E859" t="str">
        <f t="shared" si="13"/>
        <v>0.154</v>
      </c>
    </row>
    <row r="860" spans="1:5" x14ac:dyDescent="0.3">
      <c r="A860" t="s">
        <v>858</v>
      </c>
      <c r="B860" t="str" cm="1">
        <f t="array" ref="B860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redcedar"},A860)),0)),"")</f>
        <v>Pacific madrone</v>
      </c>
      <c r="C860" t="str" cm="1">
        <f t="array" ref="C860">IFERROR(INDEX({"Ridgetop","Other"},MATCH(TRUE,ISNUMBER(SEARCH({"Ridgetop","Other"},A860)),0)),"")</f>
        <v>Ridgetop</v>
      </c>
      <c r="D860" t="str" cm="1">
        <f t="array" ref="D860">IFERROR(INDEX({"Small","Medium","Large"},MATCH(TRUE,ISNUMBER(SEARCH({"Small","Medium","Large"},A860)),0)),"")</f>
        <v>Medium</v>
      </c>
      <c r="E860" t="str">
        <f t="shared" si="13"/>
        <v>0.150</v>
      </c>
    </row>
    <row r="861" spans="1:5" x14ac:dyDescent="0.3">
      <c r="A861" t="s">
        <v>859</v>
      </c>
      <c r="B861" t="str" cm="1">
        <f t="array" ref="B861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redcedar"},A861)),0)),"")</f>
        <v>Pacific madrone</v>
      </c>
      <c r="C861" t="str" cm="1">
        <f t="array" ref="C861">IFERROR(INDEX({"Ridgetop","Other"},MATCH(TRUE,ISNUMBER(SEARCH({"Ridgetop","Other"},A861)),0)),"")</f>
        <v>Ridgetop</v>
      </c>
      <c r="D861" t="str" cm="1">
        <f t="array" ref="D861">IFERROR(INDEX({"Small","Medium","Large"},MATCH(TRUE,ISNUMBER(SEARCH({"Small","Medium","Large"},A861)),0)),"")</f>
        <v>Large</v>
      </c>
      <c r="E861" t="str">
        <f t="shared" si="13"/>
        <v>0.150</v>
      </c>
    </row>
    <row r="862" spans="1:5" x14ac:dyDescent="0.3">
      <c r="A862" t="s">
        <v>860</v>
      </c>
      <c r="B862" t="str" cm="1">
        <f t="array" ref="B862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redcedar"},A862)),0)),"")</f>
        <v>Pacific madrone</v>
      </c>
      <c r="C862" t="str" cm="1">
        <f t="array" ref="C862">IFERROR(INDEX({"Ridgetop","Other"},MATCH(TRUE,ISNUMBER(SEARCH({"Ridgetop","Other"},A862)),0)),"")</f>
        <v>Ridgetop</v>
      </c>
      <c r="D862" t="str" cm="1">
        <f t="array" ref="D862">IFERROR(INDEX({"Small","Medium","Large"},MATCH(TRUE,ISNUMBER(SEARCH({"Small","Medium","Large"},A862)),0)),"")</f>
        <v>Small</v>
      </c>
      <c r="E862" t="str">
        <f t="shared" si="13"/>
        <v>0.154</v>
      </c>
    </row>
    <row r="863" spans="1:5" x14ac:dyDescent="0.3">
      <c r="A863" t="s">
        <v>861</v>
      </c>
      <c r="B863" t="str" cm="1">
        <f t="array" ref="B863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redcedar"},A863)),0)),"")</f>
        <v>Pacific madrone</v>
      </c>
      <c r="C863" t="str" cm="1">
        <f t="array" ref="C863">IFERROR(INDEX({"Ridgetop","Other"},MATCH(TRUE,ISNUMBER(SEARCH({"Ridgetop","Other"},A863)),0)),"")</f>
        <v>Ridgetop</v>
      </c>
      <c r="D863" t="str" cm="1">
        <f t="array" ref="D863">IFERROR(INDEX({"Small","Medium","Large"},MATCH(TRUE,ISNUMBER(SEARCH({"Small","Medium","Large"},A863)),0)),"")</f>
        <v>Medium</v>
      </c>
      <c r="E863" t="str">
        <f t="shared" si="13"/>
        <v>0.150</v>
      </c>
    </row>
    <row r="864" spans="1:5" x14ac:dyDescent="0.3">
      <c r="A864" t="s">
        <v>862</v>
      </c>
      <c r="B864" t="str" cm="1">
        <f t="array" ref="B864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redcedar"},A864)),0)),"")</f>
        <v>Pacific madrone</v>
      </c>
      <c r="C864" t="str" cm="1">
        <f t="array" ref="C864">IFERROR(INDEX({"Ridgetop","Other"},MATCH(TRUE,ISNUMBER(SEARCH({"Ridgetop","Other"},A864)),0)),"")</f>
        <v>Ridgetop</v>
      </c>
      <c r="D864" t="str" cm="1">
        <f t="array" ref="D864">IFERROR(INDEX({"Small","Medium","Large"},MATCH(TRUE,ISNUMBER(SEARCH({"Small","Medium","Large"},A864)),0)),"")</f>
        <v>Large</v>
      </c>
      <c r="E864" t="str">
        <f t="shared" si="13"/>
        <v>0.150</v>
      </c>
    </row>
    <row r="865" spans="1:5" x14ac:dyDescent="0.3">
      <c r="A865" t="s">
        <v>863</v>
      </c>
      <c r="B865" t="str" cm="1">
        <f t="array" ref="B865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redcedar"},A865)),0)),"")</f>
        <v>Lodgepole pine</v>
      </c>
      <c r="C865" t="str" cm="1">
        <f t="array" ref="C865">IFERROR(INDEX({"Ridgetop","Other"},MATCH(TRUE,ISNUMBER(SEARCH({"Ridgetop","Other"},A865)),0)),"")</f>
        <v>Other</v>
      </c>
      <c r="D865" t="str" cm="1">
        <f t="array" ref="D865">IFERROR(INDEX({"Small","Medium","Large"},MATCH(TRUE,ISNUMBER(SEARCH({"Small","Medium","Large"},A865)),0)),"")</f>
        <v>Small</v>
      </c>
      <c r="E865" t="str">
        <f t="shared" si="13"/>
        <v>0.076</v>
      </c>
    </row>
    <row r="866" spans="1:5" x14ac:dyDescent="0.3">
      <c r="A866" t="s">
        <v>864</v>
      </c>
      <c r="B866" t="str" cm="1">
        <f t="array" ref="B866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redcedar"},A866)),0)),"")</f>
        <v>Lodgepole pine</v>
      </c>
      <c r="C866" t="str" cm="1">
        <f t="array" ref="C866">IFERROR(INDEX({"Ridgetop","Other"},MATCH(TRUE,ISNUMBER(SEARCH({"Ridgetop","Other"},A866)),0)),"")</f>
        <v>Other</v>
      </c>
      <c r="D866" t="str" cm="1">
        <f t="array" ref="D866">IFERROR(INDEX({"Small","Medium","Large"},MATCH(TRUE,ISNUMBER(SEARCH({"Small","Medium","Large"},A866)),0)),"")</f>
        <v>Medium</v>
      </c>
      <c r="E866" t="str">
        <f t="shared" si="13"/>
        <v>0.069</v>
      </c>
    </row>
    <row r="867" spans="1:5" x14ac:dyDescent="0.3">
      <c r="A867" t="s">
        <v>865</v>
      </c>
      <c r="B867" t="str" cm="1">
        <f t="array" ref="B867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redcedar"},A867)),0)),"")</f>
        <v>Lodgepole pine</v>
      </c>
      <c r="C867" t="str" cm="1">
        <f t="array" ref="C867">IFERROR(INDEX({"Ridgetop","Other"},MATCH(TRUE,ISNUMBER(SEARCH({"Ridgetop","Other"},A867)),0)),"")</f>
        <v>Other</v>
      </c>
      <c r="D867" t="str" cm="1">
        <f t="array" ref="D867">IFERROR(INDEX({"Small","Medium","Large"},MATCH(TRUE,ISNUMBER(SEARCH({"Small","Medium","Large"},A867)),0)),"")</f>
        <v>Large</v>
      </c>
      <c r="E867" t="str">
        <f t="shared" si="13"/>
        <v>0.069</v>
      </c>
    </row>
    <row r="868" spans="1:5" x14ac:dyDescent="0.3">
      <c r="A868" t="s">
        <v>866</v>
      </c>
      <c r="B868" t="str" cm="1">
        <f t="array" ref="B868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redcedar"},A868)),0)),"")</f>
        <v>Lodgepole pine</v>
      </c>
      <c r="C868" t="str" cm="1">
        <f t="array" ref="C868">IFERROR(INDEX({"Ridgetop","Other"},MATCH(TRUE,ISNUMBER(SEARCH({"Ridgetop","Other"},A868)),0)),"")</f>
        <v>Other</v>
      </c>
      <c r="D868" t="str" cm="1">
        <f t="array" ref="D868">IFERROR(INDEX({"Small","Medium","Large"},MATCH(TRUE,ISNUMBER(SEARCH({"Small","Medium","Large"},A868)),0)),"")</f>
        <v>Small</v>
      </c>
      <c r="E868" t="str">
        <f t="shared" si="13"/>
        <v>0.085</v>
      </c>
    </row>
    <row r="869" spans="1:5" x14ac:dyDescent="0.3">
      <c r="A869" t="s">
        <v>867</v>
      </c>
      <c r="B869" t="str" cm="1">
        <f t="array" ref="B869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redcedar"},A869)),0)),"")</f>
        <v>Lodgepole pine</v>
      </c>
      <c r="C869" t="str" cm="1">
        <f t="array" ref="C869">IFERROR(INDEX({"Ridgetop","Other"},MATCH(TRUE,ISNUMBER(SEARCH({"Ridgetop","Other"},A869)),0)),"")</f>
        <v>Other</v>
      </c>
      <c r="D869" t="str" cm="1">
        <f t="array" ref="D869">IFERROR(INDEX({"Small","Medium","Large"},MATCH(TRUE,ISNUMBER(SEARCH({"Small","Medium","Large"},A869)),0)),"")</f>
        <v>Medium</v>
      </c>
      <c r="E869" t="str">
        <f t="shared" si="13"/>
        <v>0.077</v>
      </c>
    </row>
    <row r="870" spans="1:5" x14ac:dyDescent="0.3">
      <c r="A870" t="s">
        <v>868</v>
      </c>
      <c r="B870" t="str" cm="1">
        <f t="array" ref="B870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redcedar"},A870)),0)),"")</f>
        <v>Lodgepole pine</v>
      </c>
      <c r="C870" t="str" cm="1">
        <f t="array" ref="C870">IFERROR(INDEX({"Ridgetop","Other"},MATCH(TRUE,ISNUMBER(SEARCH({"Ridgetop","Other"},A870)),0)),"")</f>
        <v>Other</v>
      </c>
      <c r="D870" t="str" cm="1">
        <f t="array" ref="D870">IFERROR(INDEX({"Small","Medium","Large"},MATCH(TRUE,ISNUMBER(SEARCH({"Small","Medium","Large"},A870)),0)),"")</f>
        <v>Large</v>
      </c>
      <c r="E870" t="str">
        <f t="shared" si="13"/>
        <v>0.077</v>
      </c>
    </row>
    <row r="871" spans="1:5" x14ac:dyDescent="0.3">
      <c r="A871" t="s">
        <v>869</v>
      </c>
      <c r="B871" t="str" cm="1">
        <f t="array" ref="B871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redcedar"},A871)),0)),"")</f>
        <v>Lodgepole pine</v>
      </c>
      <c r="C871" t="str" cm="1">
        <f t="array" ref="C871">IFERROR(INDEX({"Ridgetop","Other"},MATCH(TRUE,ISNUMBER(SEARCH({"Ridgetop","Other"},A871)),0)),"")</f>
        <v>Other</v>
      </c>
      <c r="D871" t="str" cm="1">
        <f t="array" ref="D871">IFERROR(INDEX({"Small","Medium","Large"},MATCH(TRUE,ISNUMBER(SEARCH({"Small","Medium","Large"},A871)),0)),"")</f>
        <v>Small</v>
      </c>
      <c r="E871" t="str">
        <f t="shared" si="13"/>
        <v>0.104</v>
      </c>
    </row>
    <row r="872" spans="1:5" x14ac:dyDescent="0.3">
      <c r="A872" t="s">
        <v>870</v>
      </c>
      <c r="B872" t="str" cm="1">
        <f t="array" ref="B872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redcedar"},A872)),0)),"")</f>
        <v>Lodgepole pine</v>
      </c>
      <c r="C872" t="str" cm="1">
        <f t="array" ref="C872">IFERROR(INDEX({"Ridgetop","Other"},MATCH(TRUE,ISNUMBER(SEARCH({"Ridgetop","Other"},A872)),0)),"")</f>
        <v>Other</v>
      </c>
      <c r="D872" t="str" cm="1">
        <f t="array" ref="D872">IFERROR(INDEX({"Small","Medium","Large"},MATCH(TRUE,ISNUMBER(SEARCH({"Small","Medium","Large"},A872)),0)),"")</f>
        <v>Medium</v>
      </c>
      <c r="E872" t="str">
        <f t="shared" si="13"/>
        <v>0.095</v>
      </c>
    </row>
    <row r="873" spans="1:5" x14ac:dyDescent="0.3">
      <c r="A873" t="s">
        <v>871</v>
      </c>
      <c r="B873" t="str" cm="1">
        <f t="array" ref="B873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redcedar"},A873)),0)),"")</f>
        <v>Lodgepole pine</v>
      </c>
      <c r="C873" t="str" cm="1">
        <f t="array" ref="C873">IFERROR(INDEX({"Ridgetop","Other"},MATCH(TRUE,ISNUMBER(SEARCH({"Ridgetop","Other"},A873)),0)),"")</f>
        <v>Other</v>
      </c>
      <c r="D873" t="str" cm="1">
        <f t="array" ref="D873">IFERROR(INDEX({"Small","Medium","Large"},MATCH(TRUE,ISNUMBER(SEARCH({"Small","Medium","Large"},A873)),0)),"")</f>
        <v>Large</v>
      </c>
      <c r="E873" t="str">
        <f t="shared" si="13"/>
        <v>0.095</v>
      </c>
    </row>
    <row r="874" spans="1:5" x14ac:dyDescent="0.3">
      <c r="A874" t="s">
        <v>872</v>
      </c>
      <c r="B874" t="str" cm="1">
        <f t="array" ref="B874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redcedar"},A874)),0)),"")</f>
        <v>Lodgepole pine</v>
      </c>
      <c r="C874" t="str" cm="1">
        <f t="array" ref="C874">IFERROR(INDEX({"Ridgetop","Other"},MATCH(TRUE,ISNUMBER(SEARCH({"Ridgetop","Other"},A874)),0)),"")</f>
        <v>Ridgetop</v>
      </c>
      <c r="D874" t="str" cm="1">
        <f t="array" ref="D874">IFERROR(INDEX({"Small","Medium","Large"},MATCH(TRUE,ISNUMBER(SEARCH({"Small","Medium","Large"},A874)),0)),"")</f>
        <v>Small</v>
      </c>
      <c r="E874" t="str">
        <f t="shared" si="13"/>
        <v>0.135</v>
      </c>
    </row>
    <row r="875" spans="1:5" x14ac:dyDescent="0.3">
      <c r="A875" t="s">
        <v>873</v>
      </c>
      <c r="B875" t="str" cm="1">
        <f t="array" ref="B875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redcedar"},A875)),0)),"")</f>
        <v>Lodgepole pine</v>
      </c>
      <c r="C875" t="str" cm="1">
        <f t="array" ref="C875">IFERROR(INDEX({"Ridgetop","Other"},MATCH(TRUE,ISNUMBER(SEARCH({"Ridgetop","Other"},A875)),0)),"")</f>
        <v>Ridgetop</v>
      </c>
      <c r="D875" t="str" cm="1">
        <f t="array" ref="D875">IFERROR(INDEX({"Small","Medium","Large"},MATCH(TRUE,ISNUMBER(SEARCH({"Small","Medium","Large"},A875)),0)),"")</f>
        <v>Medium</v>
      </c>
      <c r="E875" t="str">
        <f t="shared" si="13"/>
        <v>0.122</v>
      </c>
    </row>
    <row r="876" spans="1:5" x14ac:dyDescent="0.3">
      <c r="A876" t="s">
        <v>874</v>
      </c>
      <c r="B876" t="str" cm="1">
        <f t="array" ref="B876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redcedar"},A876)),0)),"")</f>
        <v>Lodgepole pine</v>
      </c>
      <c r="C876" t="str" cm="1">
        <f t="array" ref="C876">IFERROR(INDEX({"Ridgetop","Other"},MATCH(TRUE,ISNUMBER(SEARCH({"Ridgetop","Other"},A876)),0)),"")</f>
        <v>Ridgetop</v>
      </c>
      <c r="D876" t="str" cm="1">
        <f t="array" ref="D876">IFERROR(INDEX({"Small","Medium","Large"},MATCH(TRUE,ISNUMBER(SEARCH({"Small","Medium","Large"},A876)),0)),"")</f>
        <v>Large</v>
      </c>
      <c r="E876" t="str">
        <f t="shared" si="13"/>
        <v>0.122</v>
      </c>
    </row>
    <row r="877" spans="1:5" x14ac:dyDescent="0.3">
      <c r="A877" t="s">
        <v>875</v>
      </c>
      <c r="B877" t="str" cm="1">
        <f t="array" ref="B877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redcedar"},A877)),0)),"")</f>
        <v>Lodgepole pine</v>
      </c>
      <c r="C877" t="str" cm="1">
        <f t="array" ref="C877">IFERROR(INDEX({"Ridgetop","Other"},MATCH(TRUE,ISNUMBER(SEARCH({"Ridgetop","Other"},A877)),0)),"")</f>
        <v>Ridgetop</v>
      </c>
      <c r="D877" t="str" cm="1">
        <f t="array" ref="D877">IFERROR(INDEX({"Small","Medium","Large"},MATCH(TRUE,ISNUMBER(SEARCH({"Small","Medium","Large"},A877)),0)),"")</f>
        <v>Small</v>
      </c>
      <c r="E877" t="str">
        <f t="shared" si="13"/>
        <v>0.139</v>
      </c>
    </row>
    <row r="878" spans="1:5" x14ac:dyDescent="0.3">
      <c r="A878" t="s">
        <v>876</v>
      </c>
      <c r="B878" t="str" cm="1">
        <f t="array" ref="B878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redcedar"},A878)),0)),"")</f>
        <v>Lodgepole pine</v>
      </c>
      <c r="C878" t="str" cm="1">
        <f t="array" ref="C878">IFERROR(INDEX({"Ridgetop","Other"},MATCH(TRUE,ISNUMBER(SEARCH({"Ridgetop","Other"},A878)),0)),"")</f>
        <v>Ridgetop</v>
      </c>
      <c r="D878" t="str" cm="1">
        <f t="array" ref="D878">IFERROR(INDEX({"Small","Medium","Large"},MATCH(TRUE,ISNUMBER(SEARCH({"Small","Medium","Large"},A878)),0)),"")</f>
        <v>Medium</v>
      </c>
      <c r="E878" t="str">
        <f t="shared" si="13"/>
        <v>0.126</v>
      </c>
    </row>
    <row r="879" spans="1:5" x14ac:dyDescent="0.3">
      <c r="A879" t="s">
        <v>877</v>
      </c>
      <c r="B879" t="str" cm="1">
        <f t="array" ref="B879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redcedar"},A879)),0)),"")</f>
        <v>Lodgepole pine</v>
      </c>
      <c r="C879" t="str" cm="1">
        <f t="array" ref="C879">IFERROR(INDEX({"Ridgetop","Other"},MATCH(TRUE,ISNUMBER(SEARCH({"Ridgetop","Other"},A879)),0)),"")</f>
        <v>Ridgetop</v>
      </c>
      <c r="D879" t="str" cm="1">
        <f t="array" ref="D879">IFERROR(INDEX({"Small","Medium","Large"},MATCH(TRUE,ISNUMBER(SEARCH({"Small","Medium","Large"},A879)),0)),"")</f>
        <v>Large</v>
      </c>
      <c r="E879" t="str">
        <f t="shared" si="13"/>
        <v>0.126</v>
      </c>
    </row>
    <row r="880" spans="1:5" x14ac:dyDescent="0.3">
      <c r="A880" t="s">
        <v>878</v>
      </c>
      <c r="B880" t="str" cm="1">
        <f t="array" ref="B880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redcedar"},A880)),0)),"")</f>
        <v>Lodgepole pine</v>
      </c>
      <c r="C880" t="str" cm="1">
        <f t="array" ref="C880">IFERROR(INDEX({"Ridgetop","Other"},MATCH(TRUE,ISNUMBER(SEARCH({"Ridgetop","Other"},A880)),0)),"")</f>
        <v>Ridgetop</v>
      </c>
      <c r="D880" t="str" cm="1">
        <f t="array" ref="D880">IFERROR(INDEX({"Small","Medium","Large"},MATCH(TRUE,ISNUMBER(SEARCH({"Small","Medium","Large"},A880)),0)),"")</f>
        <v>Small</v>
      </c>
      <c r="E880" t="str">
        <f t="shared" si="13"/>
        <v>0.148</v>
      </c>
    </row>
    <row r="881" spans="1:5" x14ac:dyDescent="0.3">
      <c r="A881" t="s">
        <v>879</v>
      </c>
      <c r="B881" t="str" cm="1">
        <f t="array" ref="B881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redcedar"},A881)),0)),"")</f>
        <v>Lodgepole pine</v>
      </c>
      <c r="C881" t="str" cm="1">
        <f t="array" ref="C881">IFERROR(INDEX({"Ridgetop","Other"},MATCH(TRUE,ISNUMBER(SEARCH({"Ridgetop","Other"},A881)),0)),"")</f>
        <v>Ridgetop</v>
      </c>
      <c r="D881" t="str" cm="1">
        <f t="array" ref="D881">IFERROR(INDEX({"Small","Medium","Large"},MATCH(TRUE,ISNUMBER(SEARCH({"Small","Medium","Large"},A881)),0)),"")</f>
        <v>Medium</v>
      </c>
      <c r="E881" t="str">
        <f t="shared" si="13"/>
        <v>0.134</v>
      </c>
    </row>
    <row r="882" spans="1:5" x14ac:dyDescent="0.3">
      <c r="A882" t="s">
        <v>880</v>
      </c>
      <c r="B882" t="str" cm="1">
        <f t="array" ref="B882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redcedar"},A882)),0)),"")</f>
        <v>Lodgepole pine</v>
      </c>
      <c r="C882" t="str" cm="1">
        <f t="array" ref="C882">IFERROR(INDEX({"Ridgetop","Other"},MATCH(TRUE,ISNUMBER(SEARCH({"Ridgetop","Other"},A882)),0)),"")</f>
        <v>Ridgetop</v>
      </c>
      <c r="D882" t="str" cm="1">
        <f t="array" ref="D882">IFERROR(INDEX({"Small","Medium","Large"},MATCH(TRUE,ISNUMBER(SEARCH({"Small","Medium","Large"},A882)),0)),"")</f>
        <v>Large</v>
      </c>
      <c r="E882" t="str">
        <f t="shared" si="13"/>
        <v>0.134</v>
      </c>
    </row>
    <row r="883" spans="1:5" x14ac:dyDescent="0.3">
      <c r="A883" t="s">
        <v>881</v>
      </c>
      <c r="B883" t="str" cm="1">
        <f t="array" ref="B883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redcedar"},A883)),0)),"")</f>
        <v>Lodgepole pine</v>
      </c>
      <c r="C883" t="str" cm="1">
        <f t="array" ref="C883">IFERROR(INDEX({"Ridgetop","Other"},MATCH(TRUE,ISNUMBER(SEARCH({"Ridgetop","Other"},A883)),0)),"")</f>
        <v>Other</v>
      </c>
      <c r="D883" t="str" cm="1">
        <f t="array" ref="D883">IFERROR(INDEX({"Small","Medium","Large"},MATCH(TRUE,ISNUMBER(SEARCH({"Small","Medium","Large"},A883)),0)),"")</f>
        <v>Small</v>
      </c>
      <c r="E883" t="str">
        <f t="shared" si="13"/>
        <v>0.096</v>
      </c>
    </row>
    <row r="884" spans="1:5" x14ac:dyDescent="0.3">
      <c r="A884" t="s">
        <v>882</v>
      </c>
      <c r="B884" t="str" cm="1">
        <f t="array" ref="B884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redcedar"},A884)),0)),"")</f>
        <v>Lodgepole pine</v>
      </c>
      <c r="C884" t="str" cm="1">
        <f t="array" ref="C884">IFERROR(INDEX({"Ridgetop","Other"},MATCH(TRUE,ISNUMBER(SEARCH({"Ridgetop","Other"},A884)),0)),"")</f>
        <v>Other</v>
      </c>
      <c r="D884" t="str" cm="1">
        <f t="array" ref="D884">IFERROR(INDEX({"Small","Medium","Large"},MATCH(TRUE,ISNUMBER(SEARCH({"Small","Medium","Large"},A884)),0)),"")</f>
        <v>Medium</v>
      </c>
      <c r="E884" t="str">
        <f t="shared" si="13"/>
        <v>0.087</v>
      </c>
    </row>
    <row r="885" spans="1:5" x14ac:dyDescent="0.3">
      <c r="A885" t="s">
        <v>883</v>
      </c>
      <c r="B885" t="str" cm="1">
        <f t="array" ref="B885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redcedar"},A885)),0)),"")</f>
        <v>Lodgepole pine</v>
      </c>
      <c r="C885" t="str" cm="1">
        <f t="array" ref="C885">IFERROR(INDEX({"Ridgetop","Other"},MATCH(TRUE,ISNUMBER(SEARCH({"Ridgetop","Other"},A885)),0)),"")</f>
        <v>Other</v>
      </c>
      <c r="D885" t="str" cm="1">
        <f t="array" ref="D885">IFERROR(INDEX({"Small","Medium","Large"},MATCH(TRUE,ISNUMBER(SEARCH({"Small","Medium","Large"},A885)),0)),"")</f>
        <v>Large</v>
      </c>
      <c r="E885" t="str">
        <f t="shared" si="13"/>
        <v>0.087</v>
      </c>
    </row>
    <row r="886" spans="1:5" x14ac:dyDescent="0.3">
      <c r="A886" t="s">
        <v>884</v>
      </c>
      <c r="B886" t="str" cm="1">
        <f t="array" ref="B886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redcedar"},A886)),0)),"")</f>
        <v>Lodgepole pine</v>
      </c>
      <c r="C886" t="str" cm="1">
        <f t="array" ref="C886">IFERROR(INDEX({"Ridgetop","Other"},MATCH(TRUE,ISNUMBER(SEARCH({"Ridgetop","Other"},A886)),0)),"")</f>
        <v>Other</v>
      </c>
      <c r="D886" t="str" cm="1">
        <f t="array" ref="D886">IFERROR(INDEX({"Small","Medium","Large"},MATCH(TRUE,ISNUMBER(SEARCH({"Small","Medium","Large"},A886)),0)),"")</f>
        <v>Small</v>
      </c>
      <c r="E886" t="str">
        <f t="shared" si="13"/>
        <v>0.104</v>
      </c>
    </row>
    <row r="887" spans="1:5" x14ac:dyDescent="0.3">
      <c r="A887" t="s">
        <v>885</v>
      </c>
      <c r="B887" t="str" cm="1">
        <f t="array" ref="B887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redcedar"},A887)),0)),"")</f>
        <v>Lodgepole pine</v>
      </c>
      <c r="C887" t="str" cm="1">
        <f t="array" ref="C887">IFERROR(INDEX({"Ridgetop","Other"},MATCH(TRUE,ISNUMBER(SEARCH({"Ridgetop","Other"},A887)),0)),"")</f>
        <v>Other</v>
      </c>
      <c r="D887" t="str" cm="1">
        <f t="array" ref="D887">IFERROR(INDEX({"Small","Medium","Large"},MATCH(TRUE,ISNUMBER(SEARCH({"Small","Medium","Large"},A887)),0)),"")</f>
        <v>Medium</v>
      </c>
      <c r="E887" t="str">
        <f t="shared" si="13"/>
        <v>0.095</v>
      </c>
    </row>
    <row r="888" spans="1:5" x14ac:dyDescent="0.3">
      <c r="A888" t="s">
        <v>886</v>
      </c>
      <c r="B888" t="str" cm="1">
        <f t="array" ref="B888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redcedar"},A888)),0)),"")</f>
        <v>Lodgepole pine</v>
      </c>
      <c r="C888" t="str" cm="1">
        <f t="array" ref="C888">IFERROR(INDEX({"Ridgetop","Other"},MATCH(TRUE,ISNUMBER(SEARCH({"Ridgetop","Other"},A888)),0)),"")</f>
        <v>Other</v>
      </c>
      <c r="D888" t="str" cm="1">
        <f t="array" ref="D888">IFERROR(INDEX({"Small","Medium","Large"},MATCH(TRUE,ISNUMBER(SEARCH({"Small","Medium","Large"},A888)),0)),"")</f>
        <v>Large</v>
      </c>
      <c r="E888" t="str">
        <f t="shared" si="13"/>
        <v>0.095</v>
      </c>
    </row>
    <row r="889" spans="1:5" x14ac:dyDescent="0.3">
      <c r="A889" t="s">
        <v>887</v>
      </c>
      <c r="B889" t="str" cm="1">
        <f t="array" ref="B889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redcedar"},A889)),0)),"")</f>
        <v>Lodgepole pine</v>
      </c>
      <c r="C889" t="str" cm="1">
        <f t="array" ref="C889">IFERROR(INDEX({"Ridgetop","Other"},MATCH(TRUE,ISNUMBER(SEARCH({"Ridgetop","Other"},A889)),0)),"")</f>
        <v>Other</v>
      </c>
      <c r="D889" t="str" cm="1">
        <f t="array" ref="D889">IFERROR(INDEX({"Small","Medium","Large"},MATCH(TRUE,ISNUMBER(SEARCH({"Small","Medium","Large"},A889)),0)),"")</f>
        <v>Small</v>
      </c>
      <c r="E889" t="str">
        <f t="shared" si="13"/>
        <v>0.104</v>
      </c>
    </row>
    <row r="890" spans="1:5" x14ac:dyDescent="0.3">
      <c r="A890" t="s">
        <v>888</v>
      </c>
      <c r="B890" t="str" cm="1">
        <f t="array" ref="B890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redcedar"},A890)),0)),"")</f>
        <v>Lodgepole pine</v>
      </c>
      <c r="C890" t="str" cm="1">
        <f t="array" ref="C890">IFERROR(INDEX({"Ridgetop","Other"},MATCH(TRUE,ISNUMBER(SEARCH({"Ridgetop","Other"},A890)),0)),"")</f>
        <v>Other</v>
      </c>
      <c r="D890" t="str" cm="1">
        <f t="array" ref="D890">IFERROR(INDEX({"Small","Medium","Large"},MATCH(TRUE,ISNUMBER(SEARCH({"Small","Medium","Large"},A890)),0)),"")</f>
        <v>Medium</v>
      </c>
      <c r="E890" t="str">
        <f t="shared" si="13"/>
        <v>0.095</v>
      </c>
    </row>
    <row r="891" spans="1:5" x14ac:dyDescent="0.3">
      <c r="A891" t="s">
        <v>889</v>
      </c>
      <c r="B891" t="str" cm="1">
        <f t="array" ref="B891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redcedar"},A891)),0)),"")</f>
        <v>Lodgepole pine</v>
      </c>
      <c r="C891" t="str" cm="1">
        <f t="array" ref="C891">IFERROR(INDEX({"Ridgetop","Other"},MATCH(TRUE,ISNUMBER(SEARCH({"Ridgetop","Other"},A891)),0)),"")</f>
        <v>Other</v>
      </c>
      <c r="D891" t="str" cm="1">
        <f t="array" ref="D891">IFERROR(INDEX({"Small","Medium","Large"},MATCH(TRUE,ISNUMBER(SEARCH({"Small","Medium","Large"},A891)),0)),"")</f>
        <v>Large</v>
      </c>
      <c r="E891" t="str">
        <f t="shared" si="13"/>
        <v>0.095</v>
      </c>
    </row>
    <row r="892" spans="1:5" x14ac:dyDescent="0.3">
      <c r="A892" t="s">
        <v>890</v>
      </c>
      <c r="B892" t="str" cm="1">
        <f t="array" ref="B892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redcedar"},A892)),0)),"")</f>
        <v>Lodgepole pine</v>
      </c>
      <c r="C892" t="str" cm="1">
        <f t="array" ref="C892">IFERROR(INDEX({"Ridgetop","Other"},MATCH(TRUE,ISNUMBER(SEARCH({"Ridgetop","Other"},A892)),0)),"")</f>
        <v>Ridgetop</v>
      </c>
      <c r="D892" t="str" cm="1">
        <f t="array" ref="D892">IFERROR(INDEX({"Small","Medium","Large"},MATCH(TRUE,ISNUMBER(SEARCH({"Small","Medium","Large"},A892)),0)),"")</f>
        <v>Small</v>
      </c>
      <c r="E892" t="str">
        <f t="shared" si="13"/>
        <v>0.174</v>
      </c>
    </row>
    <row r="893" spans="1:5" x14ac:dyDescent="0.3">
      <c r="A893" t="s">
        <v>891</v>
      </c>
      <c r="B893" t="str" cm="1">
        <f t="array" ref="B893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redcedar"},A893)),0)),"")</f>
        <v>Lodgepole pine</v>
      </c>
      <c r="C893" t="str" cm="1">
        <f t="array" ref="C893">IFERROR(INDEX({"Ridgetop","Other"},MATCH(TRUE,ISNUMBER(SEARCH({"Ridgetop","Other"},A893)),0)),"")</f>
        <v>Ridgetop</v>
      </c>
      <c r="D893" t="str" cm="1">
        <f t="array" ref="D893">IFERROR(INDEX({"Small","Medium","Large"},MATCH(TRUE,ISNUMBER(SEARCH({"Small","Medium","Large"},A893)),0)),"")</f>
        <v>Medium</v>
      </c>
      <c r="E893" t="str">
        <f t="shared" si="13"/>
        <v>0.158</v>
      </c>
    </row>
    <row r="894" spans="1:5" x14ac:dyDescent="0.3">
      <c r="A894" t="s">
        <v>892</v>
      </c>
      <c r="B894" t="str" cm="1">
        <f t="array" ref="B894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redcedar"},A894)),0)),"")</f>
        <v>Lodgepole pine</v>
      </c>
      <c r="C894" t="str" cm="1">
        <f t="array" ref="C894">IFERROR(INDEX({"Ridgetop","Other"},MATCH(TRUE,ISNUMBER(SEARCH({"Ridgetop","Other"},A894)),0)),"")</f>
        <v>Ridgetop</v>
      </c>
      <c r="D894" t="str" cm="1">
        <f t="array" ref="D894">IFERROR(INDEX({"Small","Medium","Large"},MATCH(TRUE,ISNUMBER(SEARCH({"Small","Medium","Large"},A894)),0)),"")</f>
        <v>Large</v>
      </c>
      <c r="E894" t="str">
        <f t="shared" si="13"/>
        <v>0.158</v>
      </c>
    </row>
    <row r="895" spans="1:5" x14ac:dyDescent="0.3">
      <c r="A895" t="s">
        <v>893</v>
      </c>
      <c r="B895" t="str" cm="1">
        <f t="array" ref="B895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redcedar"},A895)),0)),"")</f>
        <v>Lodgepole pine</v>
      </c>
      <c r="C895" t="str" cm="1">
        <f t="array" ref="C895">IFERROR(INDEX({"Ridgetop","Other"},MATCH(TRUE,ISNUMBER(SEARCH({"Ridgetop","Other"},A895)),0)),"")</f>
        <v>Ridgetop</v>
      </c>
      <c r="D895" t="str" cm="1">
        <f t="array" ref="D895">IFERROR(INDEX({"Small","Medium","Large"},MATCH(TRUE,ISNUMBER(SEARCH({"Small","Medium","Large"},A895)),0)),"")</f>
        <v>Small</v>
      </c>
      <c r="E895" t="str">
        <f t="shared" si="13"/>
        <v>0.174</v>
      </c>
    </row>
    <row r="896" spans="1:5" x14ac:dyDescent="0.3">
      <c r="A896" t="s">
        <v>894</v>
      </c>
      <c r="B896" t="str" cm="1">
        <f t="array" ref="B896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redcedar"},A896)),0)),"")</f>
        <v>Lodgepole pine</v>
      </c>
      <c r="C896" t="str" cm="1">
        <f t="array" ref="C896">IFERROR(INDEX({"Ridgetop","Other"},MATCH(TRUE,ISNUMBER(SEARCH({"Ridgetop","Other"},A896)),0)),"")</f>
        <v>Ridgetop</v>
      </c>
      <c r="D896" t="str" cm="1">
        <f t="array" ref="D896">IFERROR(INDEX({"Small","Medium","Large"},MATCH(TRUE,ISNUMBER(SEARCH({"Small","Medium","Large"},A896)),0)),"")</f>
        <v>Medium</v>
      </c>
      <c r="E896" t="str">
        <f t="shared" si="13"/>
        <v>0.158</v>
      </c>
    </row>
    <row r="897" spans="1:5" x14ac:dyDescent="0.3">
      <c r="A897" t="s">
        <v>895</v>
      </c>
      <c r="B897" t="str" cm="1">
        <f t="array" ref="B897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redcedar"},A897)),0)),"")</f>
        <v>Lodgepole pine</v>
      </c>
      <c r="C897" t="str" cm="1">
        <f t="array" ref="C897">IFERROR(INDEX({"Ridgetop","Other"},MATCH(TRUE,ISNUMBER(SEARCH({"Ridgetop","Other"},A897)),0)),"")</f>
        <v>Ridgetop</v>
      </c>
      <c r="D897" t="str" cm="1">
        <f t="array" ref="D897">IFERROR(INDEX({"Small","Medium","Large"},MATCH(TRUE,ISNUMBER(SEARCH({"Small","Medium","Large"},A897)),0)),"")</f>
        <v>Large</v>
      </c>
      <c r="E897" t="str">
        <f t="shared" si="13"/>
        <v>0.158</v>
      </c>
    </row>
    <row r="898" spans="1:5" x14ac:dyDescent="0.3">
      <c r="A898" t="s">
        <v>896</v>
      </c>
      <c r="B898" t="str" cm="1">
        <f t="array" ref="B898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redcedar"},A898)),0)),"")</f>
        <v>Lodgepole pine</v>
      </c>
      <c r="C898" t="str" cm="1">
        <f t="array" ref="C898">IFERROR(INDEX({"Ridgetop","Other"},MATCH(TRUE,ISNUMBER(SEARCH({"Ridgetop","Other"},A898)),0)),"")</f>
        <v>Ridgetop</v>
      </c>
      <c r="D898" t="str" cm="1">
        <f t="array" ref="D898">IFERROR(INDEX({"Small","Medium","Large"},MATCH(TRUE,ISNUMBER(SEARCH({"Small","Medium","Large"},A898)),0)),"")</f>
        <v>Small</v>
      </c>
      <c r="E898" t="str">
        <f t="shared" si="13"/>
        <v>0.174</v>
      </c>
    </row>
    <row r="899" spans="1:5" x14ac:dyDescent="0.3">
      <c r="A899" t="s">
        <v>897</v>
      </c>
      <c r="B899" t="str" cm="1">
        <f t="array" ref="B899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redcedar"},A899)),0)),"")</f>
        <v>Lodgepole pine</v>
      </c>
      <c r="C899" t="str" cm="1">
        <f t="array" ref="C899">IFERROR(INDEX({"Ridgetop","Other"},MATCH(TRUE,ISNUMBER(SEARCH({"Ridgetop","Other"},A899)),0)),"")</f>
        <v>Ridgetop</v>
      </c>
      <c r="D899" t="str" cm="1">
        <f t="array" ref="D899">IFERROR(INDEX({"Small","Medium","Large"},MATCH(TRUE,ISNUMBER(SEARCH({"Small","Medium","Large"},A899)),0)),"")</f>
        <v>Medium</v>
      </c>
      <c r="E899" t="str">
        <f t="shared" ref="E899:E962" si="14">RIGHT(A899,LEN(A899)-FIND("@",SUBSTITUTE(A899," ","@",LEN(A899)-LEN(SUBSTITUTE(A899," ","")))))</f>
        <v>0.158</v>
      </c>
    </row>
    <row r="900" spans="1:5" x14ac:dyDescent="0.3">
      <c r="A900" t="s">
        <v>898</v>
      </c>
      <c r="B900" t="str" cm="1">
        <f t="array" ref="B900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redcedar"},A900)),0)),"")</f>
        <v>Lodgepole pine</v>
      </c>
      <c r="C900" t="str" cm="1">
        <f t="array" ref="C900">IFERROR(INDEX({"Ridgetop","Other"},MATCH(TRUE,ISNUMBER(SEARCH({"Ridgetop","Other"},A900)),0)),"")</f>
        <v>Ridgetop</v>
      </c>
      <c r="D900" t="str" cm="1">
        <f t="array" ref="D900">IFERROR(INDEX({"Small","Medium","Large"},MATCH(TRUE,ISNUMBER(SEARCH({"Small","Medium","Large"},A900)),0)),"")</f>
        <v>Large</v>
      </c>
      <c r="E900" t="str">
        <f t="shared" si="14"/>
        <v>0.158</v>
      </c>
    </row>
    <row r="901" spans="1:5" x14ac:dyDescent="0.3">
      <c r="A901" t="s">
        <v>899</v>
      </c>
      <c r="B901" t="str" cm="1">
        <f t="array" ref="B901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redcedar"},A901)),0)),"")</f>
        <v>Lodgepole pine</v>
      </c>
      <c r="C901" t="str" cm="1">
        <f t="array" ref="C901">IFERROR(INDEX({"Ridgetop","Other"},MATCH(TRUE,ISNUMBER(SEARCH({"Ridgetop","Other"},A901)),0)),"")</f>
        <v>Other</v>
      </c>
      <c r="D901" t="str" cm="1">
        <f t="array" ref="D901">IFERROR(INDEX({"Small","Medium","Large"},MATCH(TRUE,ISNUMBER(SEARCH({"Small","Medium","Large"},A901)),0)),"")</f>
        <v>Small</v>
      </c>
      <c r="E901" t="str">
        <f t="shared" si="14"/>
        <v>0.078</v>
      </c>
    </row>
    <row r="902" spans="1:5" x14ac:dyDescent="0.3">
      <c r="A902" t="s">
        <v>900</v>
      </c>
      <c r="B902" t="str" cm="1">
        <f t="array" ref="B902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redcedar"},A902)),0)),"")</f>
        <v>Lodgepole pine</v>
      </c>
      <c r="C902" t="str" cm="1">
        <f t="array" ref="C902">IFERROR(INDEX({"Ridgetop","Other"},MATCH(TRUE,ISNUMBER(SEARCH({"Ridgetop","Other"},A902)),0)),"")</f>
        <v>Other</v>
      </c>
      <c r="D902" t="str" cm="1">
        <f t="array" ref="D902">IFERROR(INDEX({"Small","Medium","Large"},MATCH(TRUE,ISNUMBER(SEARCH({"Small","Medium","Large"},A902)),0)),"")</f>
        <v>Medium</v>
      </c>
      <c r="E902" t="str">
        <f t="shared" si="14"/>
        <v>0.071</v>
      </c>
    </row>
    <row r="903" spans="1:5" x14ac:dyDescent="0.3">
      <c r="A903" t="s">
        <v>901</v>
      </c>
      <c r="B903" t="str" cm="1">
        <f t="array" ref="B903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redcedar"},A903)),0)),"")</f>
        <v>Lodgepole pine</v>
      </c>
      <c r="C903" t="str" cm="1">
        <f t="array" ref="C903">IFERROR(INDEX({"Ridgetop","Other"},MATCH(TRUE,ISNUMBER(SEARCH({"Ridgetop","Other"},A903)),0)),"")</f>
        <v>Other</v>
      </c>
      <c r="D903" t="str" cm="1">
        <f t="array" ref="D903">IFERROR(INDEX({"Small","Medium","Large"},MATCH(TRUE,ISNUMBER(SEARCH({"Small","Medium","Large"},A903)),0)),"")</f>
        <v>Large</v>
      </c>
      <c r="E903" t="str">
        <f t="shared" si="14"/>
        <v>0.071</v>
      </c>
    </row>
    <row r="904" spans="1:5" x14ac:dyDescent="0.3">
      <c r="A904" t="s">
        <v>902</v>
      </c>
      <c r="B904" t="str" cm="1">
        <f t="array" ref="B904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redcedar"},A904)),0)),"")</f>
        <v>Lodgepole pine</v>
      </c>
      <c r="C904" t="str" cm="1">
        <f t="array" ref="C904">IFERROR(INDEX({"Ridgetop","Other"},MATCH(TRUE,ISNUMBER(SEARCH({"Ridgetop","Other"},A904)),0)),"")</f>
        <v>Other</v>
      </c>
      <c r="D904" t="str" cm="1">
        <f t="array" ref="D904">IFERROR(INDEX({"Small","Medium","Large"},MATCH(TRUE,ISNUMBER(SEARCH({"Small","Medium","Large"},A904)),0)),"")</f>
        <v>Small</v>
      </c>
      <c r="E904" t="str">
        <f t="shared" si="14"/>
        <v>0.087</v>
      </c>
    </row>
    <row r="905" spans="1:5" x14ac:dyDescent="0.3">
      <c r="A905" t="s">
        <v>903</v>
      </c>
      <c r="B905" t="str" cm="1">
        <f t="array" ref="B905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redcedar"},A905)),0)),"")</f>
        <v>Lodgepole pine</v>
      </c>
      <c r="C905" t="str" cm="1">
        <f t="array" ref="C905">IFERROR(INDEX({"Ridgetop","Other"},MATCH(TRUE,ISNUMBER(SEARCH({"Ridgetop","Other"},A905)),0)),"")</f>
        <v>Other</v>
      </c>
      <c r="D905" t="str" cm="1">
        <f t="array" ref="D905">IFERROR(INDEX({"Small","Medium","Large"},MATCH(TRUE,ISNUMBER(SEARCH({"Small","Medium","Large"},A905)),0)),"")</f>
        <v>Medium</v>
      </c>
      <c r="E905" t="str">
        <f t="shared" si="14"/>
        <v>0.079</v>
      </c>
    </row>
    <row r="906" spans="1:5" x14ac:dyDescent="0.3">
      <c r="A906" t="s">
        <v>904</v>
      </c>
      <c r="B906" t="str" cm="1">
        <f t="array" ref="B906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redcedar"},A906)),0)),"")</f>
        <v>Lodgepole pine</v>
      </c>
      <c r="C906" t="str" cm="1">
        <f t="array" ref="C906">IFERROR(INDEX({"Ridgetop","Other"},MATCH(TRUE,ISNUMBER(SEARCH({"Ridgetop","Other"},A906)),0)),"")</f>
        <v>Other</v>
      </c>
      <c r="D906" t="str" cm="1">
        <f t="array" ref="D906">IFERROR(INDEX({"Small","Medium","Large"},MATCH(TRUE,ISNUMBER(SEARCH({"Small","Medium","Large"},A906)),0)),"")</f>
        <v>Large</v>
      </c>
      <c r="E906" t="str">
        <f t="shared" si="14"/>
        <v>0.079</v>
      </c>
    </row>
    <row r="907" spans="1:5" x14ac:dyDescent="0.3">
      <c r="A907" t="s">
        <v>905</v>
      </c>
      <c r="B907" t="str" cm="1">
        <f t="array" ref="B907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redcedar"},A907)),0)),"")</f>
        <v>Lodgepole pine</v>
      </c>
      <c r="C907" t="str" cm="1">
        <f t="array" ref="C907">IFERROR(INDEX({"Ridgetop","Other"},MATCH(TRUE,ISNUMBER(SEARCH({"Ridgetop","Other"},A907)),0)),"")</f>
        <v>Other</v>
      </c>
      <c r="D907" t="str" cm="1">
        <f t="array" ref="D907">IFERROR(INDEX({"Small","Medium","Large"},MATCH(TRUE,ISNUMBER(SEARCH({"Small","Medium","Large"},A907)),0)),"")</f>
        <v>Small</v>
      </c>
      <c r="E907" t="str">
        <f t="shared" si="14"/>
        <v>0.104</v>
      </c>
    </row>
    <row r="908" spans="1:5" x14ac:dyDescent="0.3">
      <c r="A908" t="s">
        <v>906</v>
      </c>
      <c r="B908" t="str" cm="1">
        <f t="array" ref="B908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redcedar"},A908)),0)),"")</f>
        <v>Lodgepole pine</v>
      </c>
      <c r="C908" t="str" cm="1">
        <f t="array" ref="C908">IFERROR(INDEX({"Ridgetop","Other"},MATCH(TRUE,ISNUMBER(SEARCH({"Ridgetop","Other"},A908)),0)),"")</f>
        <v>Other</v>
      </c>
      <c r="D908" t="str" cm="1">
        <f t="array" ref="D908">IFERROR(INDEX({"Small","Medium","Large"},MATCH(TRUE,ISNUMBER(SEARCH({"Small","Medium","Large"},A908)),0)),"")</f>
        <v>Medium</v>
      </c>
      <c r="E908" t="str">
        <f t="shared" si="14"/>
        <v>0.095</v>
      </c>
    </row>
    <row r="909" spans="1:5" x14ac:dyDescent="0.3">
      <c r="A909" t="s">
        <v>907</v>
      </c>
      <c r="B909" t="str" cm="1">
        <f t="array" ref="B909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redcedar"},A909)),0)),"")</f>
        <v>Lodgepole pine</v>
      </c>
      <c r="C909" t="str" cm="1">
        <f t="array" ref="C909">IFERROR(INDEX({"Ridgetop","Other"},MATCH(TRUE,ISNUMBER(SEARCH({"Ridgetop","Other"},A909)),0)),"")</f>
        <v>Other</v>
      </c>
      <c r="D909" t="str" cm="1">
        <f t="array" ref="D909">IFERROR(INDEX({"Small","Medium","Large"},MATCH(TRUE,ISNUMBER(SEARCH({"Small","Medium","Large"},A909)),0)),"")</f>
        <v>Large</v>
      </c>
      <c r="E909" t="str">
        <f t="shared" si="14"/>
        <v>0.095</v>
      </c>
    </row>
    <row r="910" spans="1:5" x14ac:dyDescent="0.3">
      <c r="A910" t="s">
        <v>908</v>
      </c>
      <c r="B910" t="str" cm="1">
        <f t="array" ref="B910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redcedar"},A910)),0)),"")</f>
        <v>Lodgepole pine</v>
      </c>
      <c r="C910" t="str" cm="1">
        <f t="array" ref="C910">IFERROR(INDEX({"Ridgetop","Other"},MATCH(TRUE,ISNUMBER(SEARCH({"Ridgetop","Other"},A910)),0)),"")</f>
        <v>Ridgetop</v>
      </c>
      <c r="D910" t="str" cm="1">
        <f t="array" ref="D910">IFERROR(INDEX({"Small","Medium","Large"},MATCH(TRUE,ISNUMBER(SEARCH({"Small","Medium","Large"},A910)),0)),"")</f>
        <v>Small</v>
      </c>
      <c r="E910" t="str">
        <f t="shared" si="14"/>
        <v>0.148</v>
      </c>
    </row>
    <row r="911" spans="1:5" x14ac:dyDescent="0.3">
      <c r="A911" t="s">
        <v>909</v>
      </c>
      <c r="B911" t="str" cm="1">
        <f t="array" ref="B911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redcedar"},A911)),0)),"")</f>
        <v>Lodgepole pine</v>
      </c>
      <c r="C911" t="str" cm="1">
        <f t="array" ref="C911">IFERROR(INDEX({"Ridgetop","Other"},MATCH(TRUE,ISNUMBER(SEARCH({"Ridgetop","Other"},A911)),0)),"")</f>
        <v>Ridgetop</v>
      </c>
      <c r="D911" t="str" cm="1">
        <f t="array" ref="D911">IFERROR(INDEX({"Small","Medium","Large"},MATCH(TRUE,ISNUMBER(SEARCH({"Small","Medium","Large"},A911)),0)),"")</f>
        <v>Medium</v>
      </c>
      <c r="E911" t="str">
        <f t="shared" si="14"/>
        <v>0.134</v>
      </c>
    </row>
    <row r="912" spans="1:5" x14ac:dyDescent="0.3">
      <c r="A912" t="s">
        <v>910</v>
      </c>
      <c r="B912" t="str" cm="1">
        <f t="array" ref="B912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redcedar"},A912)),0)),"")</f>
        <v>Lodgepole pine</v>
      </c>
      <c r="C912" t="str" cm="1">
        <f t="array" ref="C912">IFERROR(INDEX({"Ridgetop","Other"},MATCH(TRUE,ISNUMBER(SEARCH({"Ridgetop","Other"},A912)),0)),"")</f>
        <v>Ridgetop</v>
      </c>
      <c r="D912" t="str" cm="1">
        <f t="array" ref="D912">IFERROR(INDEX({"Small","Medium","Large"},MATCH(TRUE,ISNUMBER(SEARCH({"Small","Medium","Large"},A912)),0)),"")</f>
        <v>Large</v>
      </c>
      <c r="E912" t="str">
        <f t="shared" si="14"/>
        <v>0.134</v>
      </c>
    </row>
    <row r="913" spans="1:5" x14ac:dyDescent="0.3">
      <c r="A913" t="s">
        <v>911</v>
      </c>
      <c r="B913" t="str" cm="1">
        <f t="array" ref="B913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redcedar"},A913)),0)),"")</f>
        <v>Lodgepole pine</v>
      </c>
      <c r="C913" t="str" cm="1">
        <f t="array" ref="C913">IFERROR(INDEX({"Ridgetop","Other"},MATCH(TRUE,ISNUMBER(SEARCH({"Ridgetop","Other"},A913)),0)),"")</f>
        <v>Ridgetop</v>
      </c>
      <c r="D913" t="str" cm="1">
        <f t="array" ref="D913">IFERROR(INDEX({"Small","Medium","Large"},MATCH(TRUE,ISNUMBER(SEARCH({"Small","Medium","Large"},A913)),0)),"")</f>
        <v>Small</v>
      </c>
      <c r="E913" t="str">
        <f t="shared" si="14"/>
        <v>0.148</v>
      </c>
    </row>
    <row r="914" spans="1:5" x14ac:dyDescent="0.3">
      <c r="A914" t="s">
        <v>912</v>
      </c>
      <c r="B914" t="str" cm="1">
        <f t="array" ref="B914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redcedar"},A914)),0)),"")</f>
        <v>Lodgepole pine</v>
      </c>
      <c r="C914" t="str" cm="1">
        <f t="array" ref="C914">IFERROR(INDEX({"Ridgetop","Other"},MATCH(TRUE,ISNUMBER(SEARCH({"Ridgetop","Other"},A914)),0)),"")</f>
        <v>Ridgetop</v>
      </c>
      <c r="D914" t="str" cm="1">
        <f t="array" ref="D914">IFERROR(INDEX({"Small","Medium","Large"},MATCH(TRUE,ISNUMBER(SEARCH({"Small","Medium","Large"},A914)),0)),"")</f>
        <v>Medium</v>
      </c>
      <c r="E914" t="str">
        <f t="shared" si="14"/>
        <v>0.134</v>
      </c>
    </row>
    <row r="915" spans="1:5" x14ac:dyDescent="0.3">
      <c r="A915" t="s">
        <v>913</v>
      </c>
      <c r="B915" t="str" cm="1">
        <f t="array" ref="B915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redcedar"},A915)),0)),"")</f>
        <v>Lodgepole pine</v>
      </c>
      <c r="C915" t="str" cm="1">
        <f t="array" ref="C915">IFERROR(INDEX({"Ridgetop","Other"},MATCH(TRUE,ISNUMBER(SEARCH({"Ridgetop","Other"},A915)),0)),"")</f>
        <v>Ridgetop</v>
      </c>
      <c r="D915" t="str" cm="1">
        <f t="array" ref="D915">IFERROR(INDEX({"Small","Medium","Large"},MATCH(TRUE,ISNUMBER(SEARCH({"Small","Medium","Large"},A915)),0)),"")</f>
        <v>Large</v>
      </c>
      <c r="E915" t="str">
        <f t="shared" si="14"/>
        <v>0.134</v>
      </c>
    </row>
    <row r="916" spans="1:5" x14ac:dyDescent="0.3">
      <c r="A916" t="s">
        <v>914</v>
      </c>
      <c r="B916" t="str" cm="1">
        <f t="array" ref="B916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redcedar"},A916)),0)),"")</f>
        <v>Lodgepole pine</v>
      </c>
      <c r="C916" t="str" cm="1">
        <f t="array" ref="C916">IFERROR(INDEX({"Ridgetop","Other"},MATCH(TRUE,ISNUMBER(SEARCH({"Ridgetop","Other"},A916)),0)),"")</f>
        <v>Ridgetop</v>
      </c>
      <c r="D916" t="str" cm="1">
        <f t="array" ref="D916">IFERROR(INDEX({"Small","Medium","Large"},MATCH(TRUE,ISNUMBER(SEARCH({"Small","Medium","Large"},A916)),0)),"")</f>
        <v>Small</v>
      </c>
      <c r="E916" t="str">
        <f t="shared" si="14"/>
        <v>0.157</v>
      </c>
    </row>
    <row r="917" spans="1:5" x14ac:dyDescent="0.3">
      <c r="A917" t="s">
        <v>915</v>
      </c>
      <c r="B917" t="str" cm="1">
        <f t="array" ref="B917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redcedar"},A917)),0)),"")</f>
        <v>Lodgepole pine</v>
      </c>
      <c r="C917" t="str" cm="1">
        <f t="array" ref="C917">IFERROR(INDEX({"Ridgetop","Other"},MATCH(TRUE,ISNUMBER(SEARCH({"Ridgetop","Other"},A917)),0)),"")</f>
        <v>Ridgetop</v>
      </c>
      <c r="D917" t="str" cm="1">
        <f t="array" ref="D917">IFERROR(INDEX({"Small","Medium","Large"},MATCH(TRUE,ISNUMBER(SEARCH({"Small","Medium","Large"},A917)),0)),"")</f>
        <v>Medium</v>
      </c>
      <c r="E917" t="str">
        <f t="shared" si="14"/>
        <v>0.142</v>
      </c>
    </row>
    <row r="918" spans="1:5" x14ac:dyDescent="0.3">
      <c r="A918" t="s">
        <v>916</v>
      </c>
      <c r="B918" t="str" cm="1">
        <f t="array" ref="B918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redcedar"},A918)),0)),"")</f>
        <v>Lodgepole pine</v>
      </c>
      <c r="C918" t="str" cm="1">
        <f t="array" ref="C918">IFERROR(INDEX({"Ridgetop","Other"},MATCH(TRUE,ISNUMBER(SEARCH({"Ridgetop","Other"},A918)),0)),"")</f>
        <v>Ridgetop</v>
      </c>
      <c r="D918" t="str" cm="1">
        <f t="array" ref="D918">IFERROR(INDEX({"Small","Medium","Large"},MATCH(TRUE,ISNUMBER(SEARCH({"Small","Medium","Large"},A918)),0)),"")</f>
        <v>Large</v>
      </c>
      <c r="E918" t="str">
        <f t="shared" si="14"/>
        <v>0.142</v>
      </c>
    </row>
    <row r="919" spans="1:5" x14ac:dyDescent="0.3">
      <c r="A919" t="s">
        <v>917</v>
      </c>
      <c r="B919" t="str" cm="1">
        <f t="array" ref="B919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redcedar"},A919)),0)),"")</f>
        <v>Lodgepole pine</v>
      </c>
      <c r="C919" t="str" cm="1">
        <f t="array" ref="C919">IFERROR(INDEX({"Ridgetop","Other"},MATCH(TRUE,ISNUMBER(SEARCH({"Ridgetop","Other"},A919)),0)),"")</f>
        <v>Other</v>
      </c>
      <c r="D919" t="str" cm="1">
        <f t="array" ref="D919">IFERROR(INDEX({"Small","Medium","Large"},MATCH(TRUE,ISNUMBER(SEARCH({"Small","Medium","Large"},A919)),0)),"")</f>
        <v>Small</v>
      </c>
      <c r="E919" t="str">
        <f t="shared" si="14"/>
        <v>0.096</v>
      </c>
    </row>
    <row r="920" spans="1:5" x14ac:dyDescent="0.3">
      <c r="A920" t="s">
        <v>918</v>
      </c>
      <c r="B920" t="str" cm="1">
        <f t="array" ref="B920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redcedar"},A920)),0)),"")</f>
        <v>Lodgepole pine</v>
      </c>
      <c r="C920" t="str" cm="1">
        <f t="array" ref="C920">IFERROR(INDEX({"Ridgetop","Other"},MATCH(TRUE,ISNUMBER(SEARCH({"Ridgetop","Other"},A920)),0)),"")</f>
        <v>Other</v>
      </c>
      <c r="D920" t="str" cm="1">
        <f t="array" ref="D920">IFERROR(INDEX({"Small","Medium","Large"},MATCH(TRUE,ISNUMBER(SEARCH({"Small","Medium","Large"},A920)),0)),"")</f>
        <v>Medium</v>
      </c>
      <c r="E920" t="str">
        <f t="shared" si="14"/>
        <v>0.087</v>
      </c>
    </row>
    <row r="921" spans="1:5" x14ac:dyDescent="0.3">
      <c r="A921" t="s">
        <v>919</v>
      </c>
      <c r="B921" t="str" cm="1">
        <f t="array" ref="B921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redcedar"},A921)),0)),"")</f>
        <v>Lodgepole pine</v>
      </c>
      <c r="C921" t="str" cm="1">
        <f t="array" ref="C921">IFERROR(INDEX({"Ridgetop","Other"},MATCH(TRUE,ISNUMBER(SEARCH({"Ridgetop","Other"},A921)),0)),"")</f>
        <v>Other</v>
      </c>
      <c r="D921" t="str" cm="1">
        <f t="array" ref="D921">IFERROR(INDEX({"Small","Medium","Large"},MATCH(TRUE,ISNUMBER(SEARCH({"Small","Medium","Large"},A921)),0)),"")</f>
        <v>Large</v>
      </c>
      <c r="E921" t="str">
        <f t="shared" si="14"/>
        <v>0.087</v>
      </c>
    </row>
    <row r="922" spans="1:5" x14ac:dyDescent="0.3">
      <c r="A922" t="s">
        <v>920</v>
      </c>
      <c r="B922" t="str" cm="1">
        <f t="array" ref="B922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redcedar"},A922)),0)),"")</f>
        <v>Lodgepole pine</v>
      </c>
      <c r="C922" t="str" cm="1">
        <f t="array" ref="C922">IFERROR(INDEX({"Ridgetop","Other"},MATCH(TRUE,ISNUMBER(SEARCH({"Ridgetop","Other"},A922)),0)),"")</f>
        <v>Other</v>
      </c>
      <c r="D922" t="str" cm="1">
        <f t="array" ref="D922">IFERROR(INDEX({"Small","Medium","Large"},MATCH(TRUE,ISNUMBER(SEARCH({"Small","Medium","Large"},A922)),0)),"")</f>
        <v>Small</v>
      </c>
      <c r="E922" t="str">
        <f t="shared" si="14"/>
        <v>0.104</v>
      </c>
    </row>
    <row r="923" spans="1:5" x14ac:dyDescent="0.3">
      <c r="A923" t="s">
        <v>921</v>
      </c>
      <c r="B923" t="str" cm="1">
        <f t="array" ref="B923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redcedar"},A923)),0)),"")</f>
        <v>Lodgepole pine</v>
      </c>
      <c r="C923" t="str" cm="1">
        <f t="array" ref="C923">IFERROR(INDEX({"Ridgetop","Other"},MATCH(TRUE,ISNUMBER(SEARCH({"Ridgetop","Other"},A923)),0)),"")</f>
        <v>Other</v>
      </c>
      <c r="D923" t="str" cm="1">
        <f t="array" ref="D923">IFERROR(INDEX({"Small","Medium","Large"},MATCH(TRUE,ISNUMBER(SEARCH({"Small","Medium","Large"},A923)),0)),"")</f>
        <v>Medium</v>
      </c>
      <c r="E923" t="str">
        <f t="shared" si="14"/>
        <v>0.095</v>
      </c>
    </row>
    <row r="924" spans="1:5" x14ac:dyDescent="0.3">
      <c r="A924" t="s">
        <v>922</v>
      </c>
      <c r="B924" t="str" cm="1">
        <f t="array" ref="B924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redcedar"},A924)),0)),"")</f>
        <v>Lodgepole pine</v>
      </c>
      <c r="C924" t="str" cm="1">
        <f t="array" ref="C924">IFERROR(INDEX({"Ridgetop","Other"},MATCH(TRUE,ISNUMBER(SEARCH({"Ridgetop","Other"},A924)),0)),"")</f>
        <v>Other</v>
      </c>
      <c r="D924" t="str" cm="1">
        <f t="array" ref="D924">IFERROR(INDEX({"Small","Medium","Large"},MATCH(TRUE,ISNUMBER(SEARCH({"Small","Medium","Large"},A924)),0)),"")</f>
        <v>Large</v>
      </c>
      <c r="E924" t="str">
        <f t="shared" si="14"/>
        <v>0.095</v>
      </c>
    </row>
    <row r="925" spans="1:5" x14ac:dyDescent="0.3">
      <c r="A925" t="s">
        <v>923</v>
      </c>
      <c r="B925" t="str" cm="1">
        <f t="array" ref="B925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redcedar"},A925)),0)),"")</f>
        <v>Lodgepole pine</v>
      </c>
      <c r="C925" t="str" cm="1">
        <f t="array" ref="C925">IFERROR(INDEX({"Ridgetop","Other"},MATCH(TRUE,ISNUMBER(SEARCH({"Ridgetop","Other"},A925)),0)),"")</f>
        <v>Other</v>
      </c>
      <c r="D925" t="str" cm="1">
        <f t="array" ref="D925">IFERROR(INDEX({"Small","Medium","Large"},MATCH(TRUE,ISNUMBER(SEARCH({"Small","Medium","Large"},A925)),0)),"")</f>
        <v>Small</v>
      </c>
      <c r="E925" t="str">
        <f t="shared" si="14"/>
        <v>0.104</v>
      </c>
    </row>
    <row r="926" spans="1:5" x14ac:dyDescent="0.3">
      <c r="A926" t="s">
        <v>924</v>
      </c>
      <c r="B926" t="str" cm="1">
        <f t="array" ref="B926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redcedar"},A926)),0)),"")</f>
        <v>Lodgepole pine</v>
      </c>
      <c r="C926" t="str" cm="1">
        <f t="array" ref="C926">IFERROR(INDEX({"Ridgetop","Other"},MATCH(TRUE,ISNUMBER(SEARCH({"Ridgetop","Other"},A926)),0)),"")</f>
        <v>Other</v>
      </c>
      <c r="D926" t="str" cm="1">
        <f t="array" ref="D926">IFERROR(INDEX({"Small","Medium","Large"},MATCH(TRUE,ISNUMBER(SEARCH({"Small","Medium","Large"},A926)),0)),"")</f>
        <v>Medium</v>
      </c>
      <c r="E926" t="str">
        <f t="shared" si="14"/>
        <v>0.095</v>
      </c>
    </row>
    <row r="927" spans="1:5" x14ac:dyDescent="0.3">
      <c r="A927" t="s">
        <v>925</v>
      </c>
      <c r="B927" t="str" cm="1">
        <f t="array" ref="B927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redcedar"},A927)),0)),"")</f>
        <v>Lodgepole pine</v>
      </c>
      <c r="C927" t="str" cm="1">
        <f t="array" ref="C927">IFERROR(INDEX({"Ridgetop","Other"},MATCH(TRUE,ISNUMBER(SEARCH({"Ridgetop","Other"},A927)),0)),"")</f>
        <v>Other</v>
      </c>
      <c r="D927" t="str" cm="1">
        <f t="array" ref="D927">IFERROR(INDEX({"Small","Medium","Large"},MATCH(TRUE,ISNUMBER(SEARCH({"Small","Medium","Large"},A927)),0)),"")</f>
        <v>Large</v>
      </c>
      <c r="E927" t="str">
        <f t="shared" si="14"/>
        <v>0.095</v>
      </c>
    </row>
    <row r="928" spans="1:5" x14ac:dyDescent="0.3">
      <c r="A928" t="s">
        <v>926</v>
      </c>
      <c r="B928" t="str" cm="1">
        <f t="array" ref="B928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redcedar"},A928)),0)),"")</f>
        <v>Lodgepole pine</v>
      </c>
      <c r="C928" t="str" cm="1">
        <f t="array" ref="C928">IFERROR(INDEX({"Ridgetop","Other"},MATCH(TRUE,ISNUMBER(SEARCH({"Ridgetop","Other"},A928)),0)),"")</f>
        <v>Ridgetop</v>
      </c>
      <c r="D928" t="str" cm="1">
        <f t="array" ref="D928">IFERROR(INDEX({"Small","Medium","Large"},MATCH(TRUE,ISNUMBER(SEARCH({"Small","Medium","Large"},A928)),0)),"")</f>
        <v>Small</v>
      </c>
      <c r="E928" t="str">
        <f t="shared" si="14"/>
        <v>0.174</v>
      </c>
    </row>
    <row r="929" spans="1:5" x14ac:dyDescent="0.3">
      <c r="A929" t="s">
        <v>927</v>
      </c>
      <c r="B929" t="str" cm="1">
        <f t="array" ref="B929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redcedar"},A929)),0)),"")</f>
        <v>Lodgepole pine</v>
      </c>
      <c r="C929" t="str" cm="1">
        <f t="array" ref="C929">IFERROR(INDEX({"Ridgetop","Other"},MATCH(TRUE,ISNUMBER(SEARCH({"Ridgetop","Other"},A929)),0)),"")</f>
        <v>Ridgetop</v>
      </c>
      <c r="D929" t="str" cm="1">
        <f t="array" ref="D929">IFERROR(INDEX({"Small","Medium","Large"},MATCH(TRUE,ISNUMBER(SEARCH({"Small","Medium","Large"},A929)),0)),"")</f>
        <v>Medium</v>
      </c>
      <c r="E929" t="str">
        <f t="shared" si="14"/>
        <v>0.158</v>
      </c>
    </row>
    <row r="930" spans="1:5" x14ac:dyDescent="0.3">
      <c r="A930" t="s">
        <v>928</v>
      </c>
      <c r="B930" t="str" cm="1">
        <f t="array" ref="B930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redcedar"},A930)),0)),"")</f>
        <v>Lodgepole pine</v>
      </c>
      <c r="C930" t="str" cm="1">
        <f t="array" ref="C930">IFERROR(INDEX({"Ridgetop","Other"},MATCH(TRUE,ISNUMBER(SEARCH({"Ridgetop","Other"},A930)),0)),"")</f>
        <v>Ridgetop</v>
      </c>
      <c r="D930" t="str" cm="1">
        <f t="array" ref="D930">IFERROR(INDEX({"Small","Medium","Large"},MATCH(TRUE,ISNUMBER(SEARCH({"Small","Medium","Large"},A930)),0)),"")</f>
        <v>Large</v>
      </c>
      <c r="E930" t="str">
        <f t="shared" si="14"/>
        <v>0.158</v>
      </c>
    </row>
    <row r="931" spans="1:5" x14ac:dyDescent="0.3">
      <c r="A931" t="s">
        <v>929</v>
      </c>
      <c r="B931" t="str" cm="1">
        <f t="array" ref="B931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redcedar"},A931)),0)),"")</f>
        <v>Lodgepole pine</v>
      </c>
      <c r="C931" t="str" cm="1">
        <f t="array" ref="C931">IFERROR(INDEX({"Ridgetop","Other"},MATCH(TRUE,ISNUMBER(SEARCH({"Ridgetop","Other"},A931)),0)),"")</f>
        <v>Ridgetop</v>
      </c>
      <c r="D931" t="str" cm="1">
        <f t="array" ref="D931">IFERROR(INDEX({"Small","Medium","Large"},MATCH(TRUE,ISNUMBER(SEARCH({"Small","Medium","Large"},A931)),0)),"")</f>
        <v>Small</v>
      </c>
      <c r="E931" t="str">
        <f t="shared" si="14"/>
        <v>0.174</v>
      </c>
    </row>
    <row r="932" spans="1:5" x14ac:dyDescent="0.3">
      <c r="A932" t="s">
        <v>930</v>
      </c>
      <c r="B932" t="str" cm="1">
        <f t="array" ref="B932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redcedar"},A932)),0)),"")</f>
        <v>Lodgepole pine</v>
      </c>
      <c r="C932" t="str" cm="1">
        <f t="array" ref="C932">IFERROR(INDEX({"Ridgetop","Other"},MATCH(TRUE,ISNUMBER(SEARCH({"Ridgetop","Other"},A932)),0)),"")</f>
        <v>Ridgetop</v>
      </c>
      <c r="D932" t="str" cm="1">
        <f t="array" ref="D932">IFERROR(INDEX({"Small","Medium","Large"},MATCH(TRUE,ISNUMBER(SEARCH({"Small","Medium","Large"},A932)),0)),"")</f>
        <v>Medium</v>
      </c>
      <c r="E932" t="str">
        <f t="shared" si="14"/>
        <v>0.158</v>
      </c>
    </row>
    <row r="933" spans="1:5" x14ac:dyDescent="0.3">
      <c r="A933" t="s">
        <v>931</v>
      </c>
      <c r="B933" t="str" cm="1">
        <f t="array" ref="B933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redcedar"},A933)),0)),"")</f>
        <v>Lodgepole pine</v>
      </c>
      <c r="C933" t="str" cm="1">
        <f t="array" ref="C933">IFERROR(INDEX({"Ridgetop","Other"},MATCH(TRUE,ISNUMBER(SEARCH({"Ridgetop","Other"},A933)),0)),"")</f>
        <v>Ridgetop</v>
      </c>
      <c r="D933" t="str" cm="1">
        <f t="array" ref="D933">IFERROR(INDEX({"Small","Medium","Large"},MATCH(TRUE,ISNUMBER(SEARCH({"Small","Medium","Large"},A933)),0)),"")</f>
        <v>Large</v>
      </c>
      <c r="E933" t="str">
        <f t="shared" si="14"/>
        <v>0.158</v>
      </c>
    </row>
    <row r="934" spans="1:5" x14ac:dyDescent="0.3">
      <c r="A934" t="s">
        <v>932</v>
      </c>
      <c r="B934" t="str" cm="1">
        <f t="array" ref="B934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redcedar"},A934)),0)),"")</f>
        <v>Lodgepole pine</v>
      </c>
      <c r="C934" t="str" cm="1">
        <f t="array" ref="C934">IFERROR(INDEX({"Ridgetop","Other"},MATCH(TRUE,ISNUMBER(SEARCH({"Ridgetop","Other"},A934)),0)),"")</f>
        <v>Ridgetop</v>
      </c>
      <c r="D934" t="str" cm="1">
        <f t="array" ref="D934">IFERROR(INDEX({"Small","Medium","Large"},MATCH(TRUE,ISNUMBER(SEARCH({"Small","Medium","Large"},A934)),0)),"")</f>
        <v>Small</v>
      </c>
      <c r="E934" t="str">
        <f t="shared" si="14"/>
        <v>0.174</v>
      </c>
    </row>
    <row r="935" spans="1:5" x14ac:dyDescent="0.3">
      <c r="A935" t="s">
        <v>933</v>
      </c>
      <c r="B935" t="str" cm="1">
        <f t="array" ref="B935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redcedar"},A935)),0)),"")</f>
        <v>Lodgepole pine</v>
      </c>
      <c r="C935" t="str" cm="1">
        <f t="array" ref="C935">IFERROR(INDEX({"Ridgetop","Other"},MATCH(TRUE,ISNUMBER(SEARCH({"Ridgetop","Other"},A935)),0)),"")</f>
        <v>Ridgetop</v>
      </c>
      <c r="D935" t="str" cm="1">
        <f t="array" ref="D935">IFERROR(INDEX({"Small","Medium","Large"},MATCH(TRUE,ISNUMBER(SEARCH({"Small","Medium","Large"},A935)),0)),"")</f>
        <v>Medium</v>
      </c>
      <c r="E935" t="str">
        <f t="shared" si="14"/>
        <v>0.158</v>
      </c>
    </row>
    <row r="936" spans="1:5" x14ac:dyDescent="0.3">
      <c r="A936" t="s">
        <v>934</v>
      </c>
      <c r="B936" t="str" cm="1">
        <f t="array" ref="B936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redcedar"},A936)),0)),"")</f>
        <v>Lodgepole pine</v>
      </c>
      <c r="C936" t="str" cm="1">
        <f t="array" ref="C936">IFERROR(INDEX({"Ridgetop","Other"},MATCH(TRUE,ISNUMBER(SEARCH({"Ridgetop","Other"},A936)),0)),"")</f>
        <v>Ridgetop</v>
      </c>
      <c r="D936" t="str" cm="1">
        <f t="array" ref="D936">IFERROR(INDEX({"Small","Medium","Large"},MATCH(TRUE,ISNUMBER(SEARCH({"Small","Medium","Large"},A936)),0)),"")</f>
        <v>Large</v>
      </c>
      <c r="E936" t="str">
        <f t="shared" si="14"/>
        <v>0.158</v>
      </c>
    </row>
    <row r="937" spans="1:5" x14ac:dyDescent="0.3">
      <c r="A937" t="s">
        <v>935</v>
      </c>
      <c r="B937" t="str" cm="1">
        <f t="array" ref="B937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redcedar"},A937)),0)),"")</f>
        <v>Lodgepole pine</v>
      </c>
      <c r="C937" t="str" cm="1">
        <f t="array" ref="C937">IFERROR(INDEX({"Ridgetop","Other"},MATCH(TRUE,ISNUMBER(SEARCH({"Ridgetop","Other"},A937)),0)),"")</f>
        <v>Other</v>
      </c>
      <c r="D937" t="str" cm="1">
        <f t="array" ref="D937">IFERROR(INDEX({"Small","Medium","Large"},MATCH(TRUE,ISNUMBER(SEARCH({"Small","Medium","Large"},A937)),0)),"")</f>
        <v>Small</v>
      </c>
      <c r="E937" t="str">
        <f t="shared" si="14"/>
        <v>0.085</v>
      </c>
    </row>
    <row r="938" spans="1:5" x14ac:dyDescent="0.3">
      <c r="A938" t="s">
        <v>936</v>
      </c>
      <c r="B938" t="str" cm="1">
        <f t="array" ref="B938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redcedar"},A938)),0)),"")</f>
        <v>Lodgepole pine</v>
      </c>
      <c r="C938" t="str" cm="1">
        <f t="array" ref="C938">IFERROR(INDEX({"Ridgetop","Other"},MATCH(TRUE,ISNUMBER(SEARCH({"Ridgetop","Other"},A938)),0)),"")</f>
        <v>Other</v>
      </c>
      <c r="D938" t="str" cm="1">
        <f t="array" ref="D938">IFERROR(INDEX({"Small","Medium","Large"},MATCH(TRUE,ISNUMBER(SEARCH({"Small","Medium","Large"},A938)),0)),"")</f>
        <v>Medium</v>
      </c>
      <c r="E938" t="str">
        <f t="shared" si="14"/>
        <v>0.077</v>
      </c>
    </row>
    <row r="939" spans="1:5" x14ac:dyDescent="0.3">
      <c r="A939" t="s">
        <v>937</v>
      </c>
      <c r="B939" t="str" cm="1">
        <f t="array" ref="B939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redcedar"},A939)),0)),"")</f>
        <v>Lodgepole pine</v>
      </c>
      <c r="C939" t="str" cm="1">
        <f t="array" ref="C939">IFERROR(INDEX({"Ridgetop","Other"},MATCH(TRUE,ISNUMBER(SEARCH({"Ridgetop","Other"},A939)),0)),"")</f>
        <v>Other</v>
      </c>
      <c r="D939" t="str" cm="1">
        <f t="array" ref="D939">IFERROR(INDEX({"Small","Medium","Large"},MATCH(TRUE,ISNUMBER(SEARCH({"Small","Medium","Large"},A939)),0)),"")</f>
        <v>Large</v>
      </c>
      <c r="E939" t="str">
        <f t="shared" si="14"/>
        <v>0.077</v>
      </c>
    </row>
    <row r="940" spans="1:5" x14ac:dyDescent="0.3">
      <c r="A940" t="s">
        <v>938</v>
      </c>
      <c r="B940" t="str" cm="1">
        <f t="array" ref="B940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redcedar"},A940)),0)),"")</f>
        <v>Lodgepole pine</v>
      </c>
      <c r="C940" t="str" cm="1">
        <f t="array" ref="C940">IFERROR(INDEX({"Ridgetop","Other"},MATCH(TRUE,ISNUMBER(SEARCH({"Ridgetop","Other"},A940)),0)),"")</f>
        <v>Other</v>
      </c>
      <c r="D940" t="str" cm="1">
        <f t="array" ref="D940">IFERROR(INDEX({"Small","Medium","Large"},MATCH(TRUE,ISNUMBER(SEARCH({"Small","Medium","Large"},A940)),0)),"")</f>
        <v>Small</v>
      </c>
      <c r="E940" t="str">
        <f t="shared" si="14"/>
        <v>0.096</v>
      </c>
    </row>
    <row r="941" spans="1:5" x14ac:dyDescent="0.3">
      <c r="A941" t="s">
        <v>939</v>
      </c>
      <c r="B941" t="str" cm="1">
        <f t="array" ref="B941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redcedar"},A941)),0)),"")</f>
        <v>Lodgepole pine</v>
      </c>
      <c r="C941" t="str" cm="1">
        <f t="array" ref="C941">IFERROR(INDEX({"Ridgetop","Other"},MATCH(TRUE,ISNUMBER(SEARCH({"Ridgetop","Other"},A941)),0)),"")</f>
        <v>Other</v>
      </c>
      <c r="D941" t="str" cm="1">
        <f t="array" ref="D941">IFERROR(INDEX({"Small","Medium","Large"},MATCH(TRUE,ISNUMBER(SEARCH({"Small","Medium","Large"},A941)),0)),"")</f>
        <v>Medium</v>
      </c>
      <c r="E941" t="str">
        <f t="shared" si="14"/>
        <v>0.087</v>
      </c>
    </row>
    <row r="942" spans="1:5" x14ac:dyDescent="0.3">
      <c r="A942" t="s">
        <v>940</v>
      </c>
      <c r="B942" t="str" cm="1">
        <f t="array" ref="B942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redcedar"},A942)),0)),"")</f>
        <v>Lodgepole pine</v>
      </c>
      <c r="C942" t="str" cm="1">
        <f t="array" ref="C942">IFERROR(INDEX({"Ridgetop","Other"},MATCH(TRUE,ISNUMBER(SEARCH({"Ridgetop","Other"},A942)),0)),"")</f>
        <v>Other</v>
      </c>
      <c r="D942" t="str" cm="1">
        <f t="array" ref="D942">IFERROR(INDEX({"Small","Medium","Large"},MATCH(TRUE,ISNUMBER(SEARCH({"Small","Medium","Large"},A942)),0)),"")</f>
        <v>Large</v>
      </c>
      <c r="E942" t="str">
        <f t="shared" si="14"/>
        <v>0.087</v>
      </c>
    </row>
    <row r="943" spans="1:5" x14ac:dyDescent="0.3">
      <c r="A943" t="s">
        <v>941</v>
      </c>
      <c r="B943" t="str" cm="1">
        <f t="array" ref="B943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redcedar"},A943)),0)),"")</f>
        <v>Lodgepole pine</v>
      </c>
      <c r="C943" t="str" cm="1">
        <f t="array" ref="C943">IFERROR(INDEX({"Ridgetop","Other"},MATCH(TRUE,ISNUMBER(SEARCH({"Ridgetop","Other"},A943)),0)),"")</f>
        <v>Other</v>
      </c>
      <c r="D943" t="str" cm="1">
        <f t="array" ref="D943">IFERROR(INDEX({"Small","Medium","Large"},MATCH(TRUE,ISNUMBER(SEARCH({"Small","Medium","Large"},A943)),0)),"")</f>
        <v>Small</v>
      </c>
      <c r="E943" t="str">
        <f t="shared" si="14"/>
        <v>0.104</v>
      </c>
    </row>
    <row r="944" spans="1:5" x14ac:dyDescent="0.3">
      <c r="A944" t="s">
        <v>942</v>
      </c>
      <c r="B944" t="str" cm="1">
        <f t="array" ref="B944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redcedar"},A944)),0)),"")</f>
        <v>Lodgepole pine</v>
      </c>
      <c r="C944" t="str" cm="1">
        <f t="array" ref="C944">IFERROR(INDEX({"Ridgetop","Other"},MATCH(TRUE,ISNUMBER(SEARCH({"Ridgetop","Other"},A944)),0)),"")</f>
        <v>Other</v>
      </c>
      <c r="D944" t="str" cm="1">
        <f t="array" ref="D944">IFERROR(INDEX({"Small","Medium","Large"},MATCH(TRUE,ISNUMBER(SEARCH({"Small","Medium","Large"},A944)),0)),"")</f>
        <v>Medium</v>
      </c>
      <c r="E944" t="str">
        <f t="shared" si="14"/>
        <v>0.095</v>
      </c>
    </row>
    <row r="945" spans="1:5" x14ac:dyDescent="0.3">
      <c r="A945" t="s">
        <v>943</v>
      </c>
      <c r="B945" t="str" cm="1">
        <f t="array" ref="B945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redcedar"},A945)),0)),"")</f>
        <v>Lodgepole pine</v>
      </c>
      <c r="C945" t="str" cm="1">
        <f t="array" ref="C945">IFERROR(INDEX({"Ridgetop","Other"},MATCH(TRUE,ISNUMBER(SEARCH({"Ridgetop","Other"},A945)),0)),"")</f>
        <v>Other</v>
      </c>
      <c r="D945" t="str" cm="1">
        <f t="array" ref="D945">IFERROR(INDEX({"Small","Medium","Large"},MATCH(TRUE,ISNUMBER(SEARCH({"Small","Medium","Large"},A945)),0)),"")</f>
        <v>Large</v>
      </c>
      <c r="E945" t="str">
        <f t="shared" si="14"/>
        <v>0.095</v>
      </c>
    </row>
    <row r="946" spans="1:5" x14ac:dyDescent="0.3">
      <c r="A946" t="s">
        <v>944</v>
      </c>
      <c r="B946" t="str" cm="1">
        <f t="array" ref="B946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redcedar"},A946)),0)),"")</f>
        <v>Lodgepole pine</v>
      </c>
      <c r="C946" t="str" cm="1">
        <f t="array" ref="C946">IFERROR(INDEX({"Ridgetop","Other"},MATCH(TRUE,ISNUMBER(SEARCH({"Ridgetop","Other"},A946)),0)),"")</f>
        <v>Ridgetop</v>
      </c>
      <c r="D946" t="str" cm="1">
        <f t="array" ref="D946">IFERROR(INDEX({"Small","Medium","Large"},MATCH(TRUE,ISNUMBER(SEARCH({"Small","Medium","Large"},A946)),0)),"")</f>
        <v>Small</v>
      </c>
      <c r="E946" t="str">
        <f t="shared" si="14"/>
        <v>0.161</v>
      </c>
    </row>
    <row r="947" spans="1:5" x14ac:dyDescent="0.3">
      <c r="A947" t="s">
        <v>945</v>
      </c>
      <c r="B947" t="str" cm="1">
        <f t="array" ref="B947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redcedar"},A947)),0)),"")</f>
        <v>Lodgepole pine</v>
      </c>
      <c r="C947" t="str" cm="1">
        <f t="array" ref="C947">IFERROR(INDEX({"Ridgetop","Other"},MATCH(TRUE,ISNUMBER(SEARCH({"Ridgetop","Other"},A947)),0)),"")</f>
        <v>Ridgetop</v>
      </c>
      <c r="D947" t="str" cm="1">
        <f t="array" ref="D947">IFERROR(INDEX({"Small","Medium","Large"},MATCH(TRUE,ISNUMBER(SEARCH({"Small","Medium","Large"},A947)),0)),"")</f>
        <v>Medium</v>
      </c>
      <c r="E947" t="str">
        <f t="shared" si="14"/>
        <v>0.146</v>
      </c>
    </row>
    <row r="948" spans="1:5" x14ac:dyDescent="0.3">
      <c r="A948" t="s">
        <v>946</v>
      </c>
      <c r="B948" t="str" cm="1">
        <f t="array" ref="B948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redcedar"},A948)),0)),"")</f>
        <v>Lodgepole pine</v>
      </c>
      <c r="C948" t="str" cm="1">
        <f t="array" ref="C948">IFERROR(INDEX({"Ridgetop","Other"},MATCH(TRUE,ISNUMBER(SEARCH({"Ridgetop","Other"},A948)),0)),"")</f>
        <v>Ridgetop</v>
      </c>
      <c r="D948" t="str" cm="1">
        <f t="array" ref="D948">IFERROR(INDEX({"Small","Medium","Large"},MATCH(TRUE,ISNUMBER(SEARCH({"Small","Medium","Large"},A948)),0)),"")</f>
        <v>Large</v>
      </c>
      <c r="E948" t="str">
        <f t="shared" si="14"/>
        <v>0.146</v>
      </c>
    </row>
    <row r="949" spans="1:5" x14ac:dyDescent="0.3">
      <c r="A949" t="s">
        <v>947</v>
      </c>
      <c r="B949" t="str" cm="1">
        <f t="array" ref="B949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redcedar"},A949)),0)),"")</f>
        <v>Lodgepole pine</v>
      </c>
      <c r="C949" t="str" cm="1">
        <f t="array" ref="C949">IFERROR(INDEX({"Ridgetop","Other"},MATCH(TRUE,ISNUMBER(SEARCH({"Ridgetop","Other"},A949)),0)),"")</f>
        <v>Ridgetop</v>
      </c>
      <c r="D949" t="str" cm="1">
        <f t="array" ref="D949">IFERROR(INDEX({"Small","Medium","Large"},MATCH(TRUE,ISNUMBER(SEARCH({"Small","Medium","Large"},A949)),0)),"")</f>
        <v>Small</v>
      </c>
      <c r="E949" t="str">
        <f t="shared" si="14"/>
        <v>0.161</v>
      </c>
    </row>
    <row r="950" spans="1:5" x14ac:dyDescent="0.3">
      <c r="A950" t="s">
        <v>948</v>
      </c>
      <c r="B950" t="str" cm="1">
        <f t="array" ref="B950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redcedar"},A950)),0)),"")</f>
        <v>Lodgepole pine</v>
      </c>
      <c r="C950" t="str" cm="1">
        <f t="array" ref="C950">IFERROR(INDEX({"Ridgetop","Other"},MATCH(TRUE,ISNUMBER(SEARCH({"Ridgetop","Other"},A950)),0)),"")</f>
        <v>Ridgetop</v>
      </c>
      <c r="D950" t="str" cm="1">
        <f t="array" ref="D950">IFERROR(INDEX({"Small","Medium","Large"},MATCH(TRUE,ISNUMBER(SEARCH({"Small","Medium","Large"},A950)),0)),"")</f>
        <v>Medium</v>
      </c>
      <c r="E950" t="str">
        <f t="shared" si="14"/>
        <v>0.146</v>
      </c>
    </row>
    <row r="951" spans="1:5" x14ac:dyDescent="0.3">
      <c r="A951" t="s">
        <v>949</v>
      </c>
      <c r="B951" t="str" cm="1">
        <f t="array" ref="B951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redcedar"},A951)),0)),"")</f>
        <v>Lodgepole pine</v>
      </c>
      <c r="C951" t="str" cm="1">
        <f t="array" ref="C951">IFERROR(INDEX({"Ridgetop","Other"},MATCH(TRUE,ISNUMBER(SEARCH({"Ridgetop","Other"},A951)),0)),"")</f>
        <v>Ridgetop</v>
      </c>
      <c r="D951" t="str" cm="1">
        <f t="array" ref="D951">IFERROR(INDEX({"Small","Medium","Large"},MATCH(TRUE,ISNUMBER(SEARCH({"Small","Medium","Large"},A951)),0)),"")</f>
        <v>Large</v>
      </c>
      <c r="E951" t="str">
        <f t="shared" si="14"/>
        <v>0.146</v>
      </c>
    </row>
    <row r="952" spans="1:5" x14ac:dyDescent="0.3">
      <c r="A952" t="s">
        <v>950</v>
      </c>
      <c r="B952" t="str" cm="1">
        <f t="array" ref="B952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redcedar"},A952)),0)),"")</f>
        <v>Lodgepole pine</v>
      </c>
      <c r="C952" t="str" cm="1">
        <f t="array" ref="C952">IFERROR(INDEX({"Ridgetop","Other"},MATCH(TRUE,ISNUMBER(SEARCH({"Ridgetop","Other"},A952)),0)),"")</f>
        <v>Ridgetop</v>
      </c>
      <c r="D952" t="str" cm="1">
        <f t="array" ref="D952">IFERROR(INDEX({"Small","Medium","Large"},MATCH(TRUE,ISNUMBER(SEARCH({"Small","Medium","Large"},A952)),0)),"")</f>
        <v>Small</v>
      </c>
      <c r="E952" t="str">
        <f t="shared" si="14"/>
        <v>0.165</v>
      </c>
    </row>
    <row r="953" spans="1:5" x14ac:dyDescent="0.3">
      <c r="A953" t="s">
        <v>951</v>
      </c>
      <c r="B953" t="str" cm="1">
        <f t="array" ref="B953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redcedar"},A953)),0)),"")</f>
        <v>Lodgepole pine</v>
      </c>
      <c r="C953" t="str" cm="1">
        <f t="array" ref="C953">IFERROR(INDEX({"Ridgetop","Other"},MATCH(TRUE,ISNUMBER(SEARCH({"Ridgetop","Other"},A953)),0)),"")</f>
        <v>Ridgetop</v>
      </c>
      <c r="D953" t="str" cm="1">
        <f t="array" ref="D953">IFERROR(INDEX({"Small","Medium","Large"},MATCH(TRUE,ISNUMBER(SEARCH({"Small","Medium","Large"},A953)),0)),"")</f>
        <v>Medium</v>
      </c>
      <c r="E953" t="str">
        <f t="shared" si="14"/>
        <v>0.150</v>
      </c>
    </row>
    <row r="954" spans="1:5" x14ac:dyDescent="0.3">
      <c r="A954" t="s">
        <v>952</v>
      </c>
      <c r="B954" t="str" cm="1">
        <f t="array" ref="B954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redcedar"},A954)),0)),"")</f>
        <v>Lodgepole pine</v>
      </c>
      <c r="C954" t="str" cm="1">
        <f t="array" ref="C954">IFERROR(INDEX({"Ridgetop","Other"},MATCH(TRUE,ISNUMBER(SEARCH({"Ridgetop","Other"},A954)),0)),"")</f>
        <v>Ridgetop</v>
      </c>
      <c r="D954" t="str" cm="1">
        <f t="array" ref="D954">IFERROR(INDEX({"Small","Medium","Large"},MATCH(TRUE,ISNUMBER(SEARCH({"Small","Medium","Large"},A954)),0)),"")</f>
        <v>Large</v>
      </c>
      <c r="E954" t="str">
        <f t="shared" si="14"/>
        <v>0.150</v>
      </c>
    </row>
    <row r="955" spans="1:5" x14ac:dyDescent="0.3">
      <c r="A955" t="s">
        <v>953</v>
      </c>
      <c r="B955" t="str" cm="1">
        <f t="array" ref="B955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redcedar"},A955)),0)),"")</f>
        <v>Lodgepole pine</v>
      </c>
      <c r="C955" t="str" cm="1">
        <f t="array" ref="C955">IFERROR(INDEX({"Ridgetop","Other"},MATCH(TRUE,ISNUMBER(SEARCH({"Ridgetop","Other"},A955)),0)),"")</f>
        <v>Other</v>
      </c>
      <c r="D955" t="str" cm="1">
        <f t="array" ref="D955">IFERROR(INDEX({"Small","Medium","Large"},MATCH(TRUE,ISNUMBER(SEARCH({"Small","Medium","Large"},A955)),0)),"")</f>
        <v>Small</v>
      </c>
      <c r="E955" t="str">
        <f t="shared" si="14"/>
        <v>0.096</v>
      </c>
    </row>
    <row r="956" spans="1:5" x14ac:dyDescent="0.3">
      <c r="A956" t="s">
        <v>954</v>
      </c>
      <c r="B956" t="str" cm="1">
        <f t="array" ref="B956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redcedar"},A956)),0)),"")</f>
        <v>Lodgepole pine</v>
      </c>
      <c r="C956" t="str" cm="1">
        <f t="array" ref="C956">IFERROR(INDEX({"Ridgetop","Other"},MATCH(TRUE,ISNUMBER(SEARCH({"Ridgetop","Other"},A956)),0)),"")</f>
        <v>Other</v>
      </c>
      <c r="D956" t="str" cm="1">
        <f t="array" ref="D956">IFERROR(INDEX({"Small","Medium","Large"},MATCH(TRUE,ISNUMBER(SEARCH({"Small","Medium","Large"},A956)),0)),"")</f>
        <v>Medium</v>
      </c>
      <c r="E956" t="str">
        <f t="shared" si="14"/>
        <v>0.087</v>
      </c>
    </row>
    <row r="957" spans="1:5" x14ac:dyDescent="0.3">
      <c r="A957" t="s">
        <v>955</v>
      </c>
      <c r="B957" t="str" cm="1">
        <f t="array" ref="B957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redcedar"},A957)),0)),"")</f>
        <v>Lodgepole pine</v>
      </c>
      <c r="C957" t="str" cm="1">
        <f t="array" ref="C957">IFERROR(INDEX({"Ridgetop","Other"},MATCH(TRUE,ISNUMBER(SEARCH({"Ridgetop","Other"},A957)),0)),"")</f>
        <v>Other</v>
      </c>
      <c r="D957" t="str" cm="1">
        <f t="array" ref="D957">IFERROR(INDEX({"Small","Medium","Large"},MATCH(TRUE,ISNUMBER(SEARCH({"Small","Medium","Large"},A957)),0)),"")</f>
        <v>Large</v>
      </c>
      <c r="E957" t="str">
        <f t="shared" si="14"/>
        <v>0.087</v>
      </c>
    </row>
    <row r="958" spans="1:5" x14ac:dyDescent="0.3">
      <c r="A958" t="s">
        <v>956</v>
      </c>
      <c r="B958" t="str" cm="1">
        <f t="array" ref="B958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redcedar"},A958)),0)),"")</f>
        <v>Lodgepole pine</v>
      </c>
      <c r="C958" t="str" cm="1">
        <f t="array" ref="C958">IFERROR(INDEX({"Ridgetop","Other"},MATCH(TRUE,ISNUMBER(SEARCH({"Ridgetop","Other"},A958)),0)),"")</f>
        <v>Other</v>
      </c>
      <c r="D958" t="str" cm="1">
        <f t="array" ref="D958">IFERROR(INDEX({"Small","Medium","Large"},MATCH(TRUE,ISNUMBER(SEARCH({"Small","Medium","Large"},A958)),0)),"")</f>
        <v>Small</v>
      </c>
      <c r="E958" t="str">
        <f t="shared" si="14"/>
        <v>0.104</v>
      </c>
    </row>
    <row r="959" spans="1:5" x14ac:dyDescent="0.3">
      <c r="A959" t="s">
        <v>957</v>
      </c>
      <c r="B959" t="str" cm="1">
        <f t="array" ref="B959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redcedar"},A959)),0)),"")</f>
        <v>Lodgepole pine</v>
      </c>
      <c r="C959" t="str" cm="1">
        <f t="array" ref="C959">IFERROR(INDEX({"Ridgetop","Other"},MATCH(TRUE,ISNUMBER(SEARCH({"Ridgetop","Other"},A959)),0)),"")</f>
        <v>Other</v>
      </c>
      <c r="D959" t="str" cm="1">
        <f t="array" ref="D959">IFERROR(INDEX({"Small","Medium","Large"},MATCH(TRUE,ISNUMBER(SEARCH({"Small","Medium","Large"},A959)),0)),"")</f>
        <v>Medium</v>
      </c>
      <c r="E959" t="str">
        <f t="shared" si="14"/>
        <v>0.095</v>
      </c>
    </row>
    <row r="960" spans="1:5" x14ac:dyDescent="0.3">
      <c r="A960" t="s">
        <v>958</v>
      </c>
      <c r="B960" t="str" cm="1">
        <f t="array" ref="B960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redcedar"},A960)),0)),"")</f>
        <v>Lodgepole pine</v>
      </c>
      <c r="C960" t="str" cm="1">
        <f t="array" ref="C960">IFERROR(INDEX({"Ridgetop","Other"},MATCH(TRUE,ISNUMBER(SEARCH({"Ridgetop","Other"},A960)),0)),"")</f>
        <v>Other</v>
      </c>
      <c r="D960" t="str" cm="1">
        <f t="array" ref="D960">IFERROR(INDEX({"Small","Medium","Large"},MATCH(TRUE,ISNUMBER(SEARCH({"Small","Medium","Large"},A960)),0)),"")</f>
        <v>Large</v>
      </c>
      <c r="E960" t="str">
        <f t="shared" si="14"/>
        <v>0.095</v>
      </c>
    </row>
    <row r="961" spans="1:5" x14ac:dyDescent="0.3">
      <c r="A961" t="s">
        <v>959</v>
      </c>
      <c r="B961" t="str" cm="1">
        <f t="array" ref="B961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redcedar"},A961)),0)),"")</f>
        <v>Lodgepole pine</v>
      </c>
      <c r="C961" t="str" cm="1">
        <f t="array" ref="C961">IFERROR(INDEX({"Ridgetop","Other"},MATCH(TRUE,ISNUMBER(SEARCH({"Ridgetop","Other"},A961)),0)),"")</f>
        <v>Other</v>
      </c>
      <c r="D961" t="str" cm="1">
        <f t="array" ref="D961">IFERROR(INDEX({"Small","Medium","Large"},MATCH(TRUE,ISNUMBER(SEARCH({"Small","Medium","Large"},A961)),0)),"")</f>
        <v>Small</v>
      </c>
      <c r="E961" t="str">
        <f t="shared" si="14"/>
        <v>0.104</v>
      </c>
    </row>
    <row r="962" spans="1:5" x14ac:dyDescent="0.3">
      <c r="A962" t="s">
        <v>960</v>
      </c>
      <c r="B962" t="str" cm="1">
        <f t="array" ref="B962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redcedar"},A962)),0)),"")</f>
        <v>Lodgepole pine</v>
      </c>
      <c r="C962" t="str" cm="1">
        <f t="array" ref="C962">IFERROR(INDEX({"Ridgetop","Other"},MATCH(TRUE,ISNUMBER(SEARCH({"Ridgetop","Other"},A962)),0)),"")</f>
        <v>Other</v>
      </c>
      <c r="D962" t="str" cm="1">
        <f t="array" ref="D962">IFERROR(INDEX({"Small","Medium","Large"},MATCH(TRUE,ISNUMBER(SEARCH({"Small","Medium","Large"},A962)),0)),"")</f>
        <v>Medium</v>
      </c>
      <c r="E962" t="str">
        <f t="shared" si="14"/>
        <v>0.095</v>
      </c>
    </row>
    <row r="963" spans="1:5" x14ac:dyDescent="0.3">
      <c r="A963" t="s">
        <v>961</v>
      </c>
      <c r="B963" t="str" cm="1">
        <f t="array" ref="B963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redcedar"},A963)),0)),"")</f>
        <v>Lodgepole pine</v>
      </c>
      <c r="C963" t="str" cm="1">
        <f t="array" ref="C963">IFERROR(INDEX({"Ridgetop","Other"},MATCH(TRUE,ISNUMBER(SEARCH({"Ridgetop","Other"},A963)),0)),"")</f>
        <v>Other</v>
      </c>
      <c r="D963" t="str" cm="1">
        <f t="array" ref="D963">IFERROR(INDEX({"Small","Medium","Large"},MATCH(TRUE,ISNUMBER(SEARCH({"Small","Medium","Large"},A963)),0)),"")</f>
        <v>Large</v>
      </c>
      <c r="E963" t="str">
        <f t="shared" ref="E963:E1026" si="15">RIGHT(A963,LEN(A963)-FIND("@",SUBSTITUTE(A963," ","@",LEN(A963)-LEN(SUBSTITUTE(A963," ","")))))</f>
        <v>0.095</v>
      </c>
    </row>
    <row r="964" spans="1:5" x14ac:dyDescent="0.3">
      <c r="A964" t="s">
        <v>962</v>
      </c>
      <c r="B964" t="str" cm="1">
        <f t="array" ref="B964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redcedar"},A964)),0)),"")</f>
        <v>Lodgepole pine</v>
      </c>
      <c r="C964" t="str" cm="1">
        <f t="array" ref="C964">IFERROR(INDEX({"Ridgetop","Other"},MATCH(TRUE,ISNUMBER(SEARCH({"Ridgetop","Other"},A964)),0)),"")</f>
        <v>Ridgetop</v>
      </c>
      <c r="D964" t="str" cm="1">
        <f t="array" ref="D964">IFERROR(INDEX({"Small","Medium","Large"},MATCH(TRUE,ISNUMBER(SEARCH({"Small","Medium","Large"},A964)),0)),"")</f>
        <v>Small</v>
      </c>
      <c r="E964" t="str">
        <f t="shared" si="15"/>
        <v>0.174</v>
      </c>
    </row>
    <row r="965" spans="1:5" x14ac:dyDescent="0.3">
      <c r="A965" t="s">
        <v>963</v>
      </c>
      <c r="B965" t="str" cm="1">
        <f t="array" ref="B965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redcedar"},A965)),0)),"")</f>
        <v>Lodgepole pine</v>
      </c>
      <c r="C965" t="str" cm="1">
        <f t="array" ref="C965">IFERROR(INDEX({"Ridgetop","Other"},MATCH(TRUE,ISNUMBER(SEARCH({"Ridgetop","Other"},A965)),0)),"")</f>
        <v>Ridgetop</v>
      </c>
      <c r="D965" t="str" cm="1">
        <f t="array" ref="D965">IFERROR(INDEX({"Small","Medium","Large"},MATCH(TRUE,ISNUMBER(SEARCH({"Small","Medium","Large"},A965)),0)),"")</f>
        <v>Medium</v>
      </c>
      <c r="E965" t="str">
        <f t="shared" si="15"/>
        <v>0.158</v>
      </c>
    </row>
    <row r="966" spans="1:5" x14ac:dyDescent="0.3">
      <c r="A966" t="s">
        <v>964</v>
      </c>
      <c r="B966" t="str" cm="1">
        <f t="array" ref="B966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redcedar"},A966)),0)),"")</f>
        <v>Lodgepole pine</v>
      </c>
      <c r="C966" t="str" cm="1">
        <f t="array" ref="C966">IFERROR(INDEX({"Ridgetop","Other"},MATCH(TRUE,ISNUMBER(SEARCH({"Ridgetop","Other"},A966)),0)),"")</f>
        <v>Ridgetop</v>
      </c>
      <c r="D966" t="str" cm="1">
        <f t="array" ref="D966">IFERROR(INDEX({"Small","Medium","Large"},MATCH(TRUE,ISNUMBER(SEARCH({"Small","Medium","Large"},A966)),0)),"")</f>
        <v>Large</v>
      </c>
      <c r="E966" t="str">
        <f t="shared" si="15"/>
        <v>0.158</v>
      </c>
    </row>
    <row r="967" spans="1:5" x14ac:dyDescent="0.3">
      <c r="A967" t="s">
        <v>965</v>
      </c>
      <c r="B967" t="str" cm="1">
        <f t="array" ref="B967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redcedar"},A967)),0)),"")</f>
        <v>Lodgepole pine</v>
      </c>
      <c r="C967" t="str" cm="1">
        <f t="array" ref="C967">IFERROR(INDEX({"Ridgetop","Other"},MATCH(TRUE,ISNUMBER(SEARCH({"Ridgetop","Other"},A967)),0)),"")</f>
        <v>Ridgetop</v>
      </c>
      <c r="D967" t="str" cm="1">
        <f t="array" ref="D967">IFERROR(INDEX({"Small","Medium","Large"},MATCH(TRUE,ISNUMBER(SEARCH({"Small","Medium","Large"},A967)),0)),"")</f>
        <v>Small</v>
      </c>
      <c r="E967" t="str">
        <f t="shared" si="15"/>
        <v>0.174</v>
      </c>
    </row>
    <row r="968" spans="1:5" x14ac:dyDescent="0.3">
      <c r="A968" t="s">
        <v>966</v>
      </c>
      <c r="B968" t="str" cm="1">
        <f t="array" ref="B968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redcedar"},A968)),0)),"")</f>
        <v>Lodgepole pine</v>
      </c>
      <c r="C968" t="str" cm="1">
        <f t="array" ref="C968">IFERROR(INDEX({"Ridgetop","Other"},MATCH(TRUE,ISNUMBER(SEARCH({"Ridgetop","Other"},A968)),0)),"")</f>
        <v>Ridgetop</v>
      </c>
      <c r="D968" t="str" cm="1">
        <f t="array" ref="D968">IFERROR(INDEX({"Small","Medium","Large"},MATCH(TRUE,ISNUMBER(SEARCH({"Small","Medium","Large"},A968)),0)),"")</f>
        <v>Medium</v>
      </c>
      <c r="E968" t="str">
        <f t="shared" si="15"/>
        <v>0.158</v>
      </c>
    </row>
    <row r="969" spans="1:5" x14ac:dyDescent="0.3">
      <c r="A969" t="s">
        <v>967</v>
      </c>
      <c r="B969" t="str" cm="1">
        <f t="array" ref="B969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redcedar"},A969)),0)),"")</f>
        <v>Lodgepole pine</v>
      </c>
      <c r="C969" t="str" cm="1">
        <f t="array" ref="C969">IFERROR(INDEX({"Ridgetop","Other"},MATCH(TRUE,ISNUMBER(SEARCH({"Ridgetop","Other"},A969)),0)),"")</f>
        <v>Ridgetop</v>
      </c>
      <c r="D969" t="str" cm="1">
        <f t="array" ref="D969">IFERROR(INDEX({"Small","Medium","Large"},MATCH(TRUE,ISNUMBER(SEARCH({"Small","Medium","Large"},A969)),0)),"")</f>
        <v>Large</v>
      </c>
      <c r="E969" t="str">
        <f t="shared" si="15"/>
        <v>0.158</v>
      </c>
    </row>
    <row r="970" spans="1:5" x14ac:dyDescent="0.3">
      <c r="A970" t="s">
        <v>968</v>
      </c>
      <c r="B970" t="str" cm="1">
        <f t="array" ref="B970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redcedar"},A970)),0)),"")</f>
        <v>Lodgepole pine</v>
      </c>
      <c r="C970" t="str" cm="1">
        <f t="array" ref="C970">IFERROR(INDEX({"Ridgetop","Other"},MATCH(TRUE,ISNUMBER(SEARCH({"Ridgetop","Other"},A970)),0)),"")</f>
        <v>Ridgetop</v>
      </c>
      <c r="D970" t="str" cm="1">
        <f t="array" ref="D970">IFERROR(INDEX({"Small","Medium","Large"},MATCH(TRUE,ISNUMBER(SEARCH({"Small","Medium","Large"},A970)),0)),"")</f>
        <v>Small</v>
      </c>
      <c r="E970" t="str">
        <f t="shared" si="15"/>
        <v>0.174</v>
      </c>
    </row>
    <row r="971" spans="1:5" x14ac:dyDescent="0.3">
      <c r="A971" t="s">
        <v>969</v>
      </c>
      <c r="B971" t="str" cm="1">
        <f t="array" ref="B971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redcedar"},A971)),0)),"")</f>
        <v>Lodgepole pine</v>
      </c>
      <c r="C971" t="str" cm="1">
        <f t="array" ref="C971">IFERROR(INDEX({"Ridgetop","Other"},MATCH(TRUE,ISNUMBER(SEARCH({"Ridgetop","Other"},A971)),0)),"")</f>
        <v>Ridgetop</v>
      </c>
      <c r="D971" t="str" cm="1">
        <f t="array" ref="D971">IFERROR(INDEX({"Small","Medium","Large"},MATCH(TRUE,ISNUMBER(SEARCH({"Small","Medium","Large"},A971)),0)),"")</f>
        <v>Medium</v>
      </c>
      <c r="E971" t="str">
        <f t="shared" si="15"/>
        <v>0.158</v>
      </c>
    </row>
    <row r="972" spans="1:5" x14ac:dyDescent="0.3">
      <c r="A972" t="s">
        <v>970</v>
      </c>
      <c r="B972" t="str" cm="1">
        <f t="array" ref="B972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redcedar"},A972)),0)),"")</f>
        <v>Lodgepole pine</v>
      </c>
      <c r="C972" t="str" cm="1">
        <f t="array" ref="C972">IFERROR(INDEX({"Ridgetop","Other"},MATCH(TRUE,ISNUMBER(SEARCH({"Ridgetop","Other"},A972)),0)),"")</f>
        <v>Ridgetop</v>
      </c>
      <c r="D972" t="str" cm="1">
        <f t="array" ref="D972">IFERROR(INDEX({"Small","Medium","Large"},MATCH(TRUE,ISNUMBER(SEARCH({"Small","Medium","Large"},A972)),0)),"")</f>
        <v>Large</v>
      </c>
      <c r="E972" t="str">
        <f t="shared" si="15"/>
        <v>0.158</v>
      </c>
    </row>
    <row r="973" spans="1:5" x14ac:dyDescent="0.3">
      <c r="A973" t="s">
        <v>971</v>
      </c>
      <c r="B973" t="str" cm="1">
        <f t="array" ref="B973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redcedar"},A973)),0)),"")</f>
        <v>Spruce</v>
      </c>
      <c r="C973" t="str" cm="1">
        <f t="array" ref="C973">IFERROR(INDEX({"Ridgetop","Other"},MATCH(TRUE,ISNUMBER(SEARCH({"Ridgetop","Other"},A973)),0)),"")</f>
        <v>Other</v>
      </c>
      <c r="D973" t="str" cm="1">
        <f t="array" ref="D973">IFERROR(INDEX({"Small","Medium","Large"},MATCH(TRUE,ISNUMBER(SEARCH({"Small","Medium","Large"},A973)),0)),"")</f>
        <v>Small</v>
      </c>
      <c r="E973" t="str">
        <f t="shared" si="15"/>
        <v>0.067</v>
      </c>
    </row>
    <row r="974" spans="1:5" x14ac:dyDescent="0.3">
      <c r="A974" t="s">
        <v>972</v>
      </c>
      <c r="B974" t="str" cm="1">
        <f t="array" ref="B974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redcedar"},A974)),0)),"")</f>
        <v>Spruce</v>
      </c>
      <c r="C974" t="str" cm="1">
        <f t="array" ref="C974">IFERROR(INDEX({"Ridgetop","Other"},MATCH(TRUE,ISNUMBER(SEARCH({"Ridgetop","Other"},A974)),0)),"")</f>
        <v>Other</v>
      </c>
      <c r="D974" t="str" cm="1">
        <f t="array" ref="D974">IFERROR(INDEX({"Small","Medium","Large"},MATCH(TRUE,ISNUMBER(SEARCH({"Small","Medium","Large"},A974)),0)),"")</f>
        <v>Medium</v>
      </c>
      <c r="E974" t="str">
        <f t="shared" si="15"/>
        <v>0.040</v>
      </c>
    </row>
    <row r="975" spans="1:5" x14ac:dyDescent="0.3">
      <c r="A975" t="s">
        <v>973</v>
      </c>
      <c r="B975" t="str" cm="1">
        <f t="array" ref="B975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redcedar"},A975)),0)),"")</f>
        <v>Spruce</v>
      </c>
      <c r="C975" t="str" cm="1">
        <f t="array" ref="C975">IFERROR(INDEX({"Ridgetop","Other"},MATCH(TRUE,ISNUMBER(SEARCH({"Ridgetop","Other"},A975)),0)),"")</f>
        <v>Other</v>
      </c>
      <c r="D975" t="str" cm="1">
        <f t="array" ref="D975">IFERROR(INDEX({"Small","Medium","Large"},MATCH(TRUE,ISNUMBER(SEARCH({"Small","Medium","Large"},A975)),0)),"")</f>
        <v>Large</v>
      </c>
      <c r="E975" t="str">
        <f t="shared" si="15"/>
        <v>0.038</v>
      </c>
    </row>
    <row r="976" spans="1:5" x14ac:dyDescent="0.3">
      <c r="A976" t="s">
        <v>974</v>
      </c>
      <c r="B976" t="str" cm="1">
        <f t="array" ref="B976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redcedar"},A976)),0)),"")</f>
        <v>Spruce</v>
      </c>
      <c r="C976" t="str" cm="1">
        <f t="array" ref="C976">IFERROR(INDEX({"Ridgetop","Other"},MATCH(TRUE,ISNUMBER(SEARCH({"Ridgetop","Other"},A976)),0)),"")</f>
        <v>Other</v>
      </c>
      <c r="D976" t="str" cm="1">
        <f t="array" ref="D976">IFERROR(INDEX({"Small","Medium","Large"},MATCH(TRUE,ISNUMBER(SEARCH({"Small","Medium","Large"},A976)),0)),"")</f>
        <v>Small</v>
      </c>
      <c r="E976" t="str">
        <f t="shared" si="15"/>
        <v>0.074</v>
      </c>
    </row>
    <row r="977" spans="1:5" x14ac:dyDescent="0.3">
      <c r="A977" t="s">
        <v>975</v>
      </c>
      <c r="B977" t="str" cm="1">
        <f t="array" ref="B977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redcedar"},A977)),0)),"")</f>
        <v>Spruce</v>
      </c>
      <c r="C977" t="str" cm="1">
        <f t="array" ref="C977">IFERROR(INDEX({"Ridgetop","Other"},MATCH(TRUE,ISNUMBER(SEARCH({"Ridgetop","Other"},A977)),0)),"")</f>
        <v>Other</v>
      </c>
      <c r="D977" t="str" cm="1">
        <f t="array" ref="D977">IFERROR(INDEX({"Small","Medium","Large"},MATCH(TRUE,ISNUMBER(SEARCH({"Small","Medium","Large"},A977)),0)),"")</f>
        <v>Medium</v>
      </c>
      <c r="E977" t="str">
        <f t="shared" si="15"/>
        <v>0.045</v>
      </c>
    </row>
    <row r="978" spans="1:5" x14ac:dyDescent="0.3">
      <c r="A978" t="s">
        <v>976</v>
      </c>
      <c r="B978" t="str" cm="1">
        <f t="array" ref="B978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redcedar"},A978)),0)),"")</f>
        <v>Spruce</v>
      </c>
      <c r="C978" t="str" cm="1">
        <f t="array" ref="C978">IFERROR(INDEX({"Ridgetop","Other"},MATCH(TRUE,ISNUMBER(SEARCH({"Ridgetop","Other"},A978)),0)),"")</f>
        <v>Other</v>
      </c>
      <c r="D978" t="str" cm="1">
        <f t="array" ref="D978">IFERROR(INDEX({"Small","Medium","Large"},MATCH(TRUE,ISNUMBER(SEARCH({"Small","Medium","Large"},A978)),0)),"")</f>
        <v>Large</v>
      </c>
      <c r="E978" t="str">
        <f t="shared" si="15"/>
        <v>0.042</v>
      </c>
    </row>
    <row r="979" spans="1:5" x14ac:dyDescent="0.3">
      <c r="A979" t="s">
        <v>977</v>
      </c>
      <c r="B979" t="str" cm="1">
        <f t="array" ref="B979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redcedar"},A979)),0)),"")</f>
        <v>Spruce</v>
      </c>
      <c r="C979" t="str" cm="1">
        <f t="array" ref="C979">IFERROR(INDEX({"Ridgetop","Other"},MATCH(TRUE,ISNUMBER(SEARCH({"Ridgetop","Other"},A979)),0)),"")</f>
        <v>Other</v>
      </c>
      <c r="D979" t="str" cm="1">
        <f t="array" ref="D979">IFERROR(INDEX({"Small","Medium","Large"},MATCH(TRUE,ISNUMBER(SEARCH({"Small","Medium","Large"},A979)),0)),"")</f>
        <v>Small</v>
      </c>
      <c r="E979" t="str">
        <f t="shared" si="15"/>
        <v>0.091</v>
      </c>
    </row>
    <row r="980" spans="1:5" x14ac:dyDescent="0.3">
      <c r="A980" t="s">
        <v>978</v>
      </c>
      <c r="B980" t="str" cm="1">
        <f t="array" ref="B980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redcedar"},A980)),0)),"")</f>
        <v>Spruce</v>
      </c>
      <c r="C980" t="str" cm="1">
        <f t="array" ref="C980">IFERROR(INDEX({"Ridgetop","Other"},MATCH(TRUE,ISNUMBER(SEARCH({"Ridgetop","Other"},A980)),0)),"")</f>
        <v>Other</v>
      </c>
      <c r="D980" t="str" cm="1">
        <f t="array" ref="D980">IFERROR(INDEX({"Small","Medium","Large"},MATCH(TRUE,ISNUMBER(SEARCH({"Small","Medium","Large"},A980)),0)),"")</f>
        <v>Medium</v>
      </c>
      <c r="E980" t="str">
        <f t="shared" si="15"/>
        <v>0.055</v>
      </c>
    </row>
    <row r="981" spans="1:5" x14ac:dyDescent="0.3">
      <c r="A981" t="s">
        <v>979</v>
      </c>
      <c r="B981" t="str" cm="1">
        <f t="array" ref="B981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redcedar"},A981)),0)),"")</f>
        <v>Spruce</v>
      </c>
      <c r="C981" t="str" cm="1">
        <f t="array" ref="C981">IFERROR(INDEX({"Ridgetop","Other"},MATCH(TRUE,ISNUMBER(SEARCH({"Ridgetop","Other"},A981)),0)),"")</f>
        <v>Other</v>
      </c>
      <c r="D981" t="str" cm="1">
        <f t="array" ref="D981">IFERROR(INDEX({"Small","Medium","Large"},MATCH(TRUE,ISNUMBER(SEARCH({"Small","Medium","Large"},A981)),0)),"")</f>
        <v>Large</v>
      </c>
      <c r="E981" t="str">
        <f t="shared" si="15"/>
        <v>0.052</v>
      </c>
    </row>
    <row r="982" spans="1:5" x14ac:dyDescent="0.3">
      <c r="A982" t="s">
        <v>980</v>
      </c>
      <c r="B982" t="str" cm="1">
        <f t="array" ref="B982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redcedar"},A982)),0)),"")</f>
        <v>Spruce</v>
      </c>
      <c r="C982" t="str" cm="1">
        <f t="array" ref="C982">IFERROR(INDEX({"Ridgetop","Other"},MATCH(TRUE,ISNUMBER(SEARCH({"Ridgetop","Other"},A982)),0)),"")</f>
        <v>Ridgetop</v>
      </c>
      <c r="D982" t="str" cm="1">
        <f t="array" ref="D982">IFERROR(INDEX({"Small","Medium","Large"},MATCH(TRUE,ISNUMBER(SEARCH({"Small","Medium","Large"},A982)),0)),"")</f>
        <v>Small</v>
      </c>
      <c r="E982" t="str">
        <f t="shared" si="15"/>
        <v>0.118</v>
      </c>
    </row>
    <row r="983" spans="1:5" x14ac:dyDescent="0.3">
      <c r="A983" t="s">
        <v>981</v>
      </c>
      <c r="B983" t="str" cm="1">
        <f t="array" ref="B983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redcedar"},A983)),0)),"")</f>
        <v>Spruce</v>
      </c>
      <c r="C983" t="str" cm="1">
        <f t="array" ref="C983">IFERROR(INDEX({"Ridgetop","Other"},MATCH(TRUE,ISNUMBER(SEARCH({"Ridgetop","Other"},A983)),0)),"")</f>
        <v>Ridgetop</v>
      </c>
      <c r="D983" t="str" cm="1">
        <f t="array" ref="D983">IFERROR(INDEX({"Small","Medium","Large"},MATCH(TRUE,ISNUMBER(SEARCH({"Small","Medium","Large"},A983)),0)),"")</f>
        <v>Medium</v>
      </c>
      <c r="E983" t="str">
        <f t="shared" si="15"/>
        <v>0.071</v>
      </c>
    </row>
    <row r="984" spans="1:5" x14ac:dyDescent="0.3">
      <c r="A984" t="s">
        <v>982</v>
      </c>
      <c r="B984" t="str" cm="1">
        <f t="array" ref="B984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redcedar"},A984)),0)),"")</f>
        <v>Spruce</v>
      </c>
      <c r="C984" t="str" cm="1">
        <f t="array" ref="C984">IFERROR(INDEX({"Ridgetop","Other"},MATCH(TRUE,ISNUMBER(SEARCH({"Ridgetop","Other"},A984)),0)),"")</f>
        <v>Ridgetop</v>
      </c>
      <c r="D984" t="str" cm="1">
        <f t="array" ref="D984">IFERROR(INDEX({"Small","Medium","Large"},MATCH(TRUE,ISNUMBER(SEARCH({"Small","Medium","Large"},A984)),0)),"")</f>
        <v>Large</v>
      </c>
      <c r="E984" t="str">
        <f t="shared" si="15"/>
        <v>0.067</v>
      </c>
    </row>
    <row r="985" spans="1:5" x14ac:dyDescent="0.3">
      <c r="A985" t="s">
        <v>983</v>
      </c>
      <c r="B985" t="str" cm="1">
        <f t="array" ref="B985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redcedar"},A985)),0)),"")</f>
        <v>Spruce</v>
      </c>
      <c r="C985" t="str" cm="1">
        <f t="array" ref="C985">IFERROR(INDEX({"Ridgetop","Other"},MATCH(TRUE,ISNUMBER(SEARCH({"Ridgetop","Other"},A985)),0)),"")</f>
        <v>Ridgetop</v>
      </c>
      <c r="D985" t="str" cm="1">
        <f t="array" ref="D985">IFERROR(INDEX({"Small","Medium","Large"},MATCH(TRUE,ISNUMBER(SEARCH({"Small","Medium","Large"},A985)),0)),"")</f>
        <v>Small</v>
      </c>
      <c r="E985" t="str">
        <f t="shared" si="15"/>
        <v>0.122</v>
      </c>
    </row>
    <row r="986" spans="1:5" x14ac:dyDescent="0.3">
      <c r="A986" t="s">
        <v>984</v>
      </c>
      <c r="B986" t="str" cm="1">
        <f t="array" ref="B986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redcedar"},A986)),0)),"")</f>
        <v>Spruce</v>
      </c>
      <c r="C986" t="str" cm="1">
        <f t="array" ref="C986">IFERROR(INDEX({"Ridgetop","Other"},MATCH(TRUE,ISNUMBER(SEARCH({"Ridgetop","Other"},A986)),0)),"")</f>
        <v>Ridgetop</v>
      </c>
      <c r="D986" t="str" cm="1">
        <f t="array" ref="D986">IFERROR(INDEX({"Small","Medium","Large"},MATCH(TRUE,ISNUMBER(SEARCH({"Small","Medium","Large"},A986)),0)),"")</f>
        <v>Medium</v>
      </c>
      <c r="E986" t="str">
        <f t="shared" si="15"/>
        <v>0.074</v>
      </c>
    </row>
    <row r="987" spans="1:5" x14ac:dyDescent="0.3">
      <c r="A987" t="s">
        <v>985</v>
      </c>
      <c r="B987" t="str" cm="1">
        <f t="array" ref="B987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redcedar"},A987)),0)),"")</f>
        <v>Spruce</v>
      </c>
      <c r="C987" t="str" cm="1">
        <f t="array" ref="C987">IFERROR(INDEX({"Ridgetop","Other"},MATCH(TRUE,ISNUMBER(SEARCH({"Ridgetop","Other"},A987)),0)),"")</f>
        <v>Ridgetop</v>
      </c>
      <c r="D987" t="str" cm="1">
        <f t="array" ref="D987">IFERROR(INDEX({"Small","Medium","Large"},MATCH(TRUE,ISNUMBER(SEARCH({"Small","Medium","Large"},A987)),0)),"")</f>
        <v>Large</v>
      </c>
      <c r="E987" t="str">
        <f t="shared" si="15"/>
        <v>0.069</v>
      </c>
    </row>
    <row r="988" spans="1:5" x14ac:dyDescent="0.3">
      <c r="A988" t="s">
        <v>986</v>
      </c>
      <c r="B988" t="str" cm="1">
        <f t="array" ref="B988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redcedar"},A988)),0)),"")</f>
        <v>Spruce</v>
      </c>
      <c r="C988" t="str" cm="1">
        <f t="array" ref="C988">IFERROR(INDEX({"Ridgetop","Other"},MATCH(TRUE,ISNUMBER(SEARCH({"Ridgetop","Other"},A988)),0)),"")</f>
        <v>Ridgetop</v>
      </c>
      <c r="D988" t="str" cm="1">
        <f t="array" ref="D988">IFERROR(INDEX({"Small","Medium","Large"},MATCH(TRUE,ISNUMBER(SEARCH({"Small","Medium","Large"},A988)),0)),"")</f>
        <v>Small</v>
      </c>
      <c r="E988" t="str">
        <f t="shared" si="15"/>
        <v>0.129</v>
      </c>
    </row>
    <row r="989" spans="1:5" x14ac:dyDescent="0.3">
      <c r="A989" t="s">
        <v>987</v>
      </c>
      <c r="B989" t="str" cm="1">
        <f t="array" ref="B989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redcedar"},A989)),0)),"")</f>
        <v>Spruce</v>
      </c>
      <c r="C989" t="str" cm="1">
        <f t="array" ref="C989">IFERROR(INDEX({"Ridgetop","Other"},MATCH(TRUE,ISNUMBER(SEARCH({"Ridgetop","Other"},A989)),0)),"")</f>
        <v>Ridgetop</v>
      </c>
      <c r="D989" t="str" cm="1">
        <f t="array" ref="D989">IFERROR(INDEX({"Small","Medium","Large"},MATCH(TRUE,ISNUMBER(SEARCH({"Small","Medium","Large"},A989)),0)),"")</f>
        <v>Medium</v>
      </c>
      <c r="E989" t="str">
        <f t="shared" si="15"/>
        <v>0.078</v>
      </c>
    </row>
    <row r="990" spans="1:5" x14ac:dyDescent="0.3">
      <c r="A990" t="s">
        <v>988</v>
      </c>
      <c r="B990" t="str" cm="1">
        <f t="array" ref="B990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redcedar"},A990)),0)),"")</f>
        <v>Spruce</v>
      </c>
      <c r="C990" t="str" cm="1">
        <f t="array" ref="C990">IFERROR(INDEX({"Ridgetop","Other"},MATCH(TRUE,ISNUMBER(SEARCH({"Ridgetop","Other"},A990)),0)),"")</f>
        <v>Ridgetop</v>
      </c>
      <c r="D990" t="str" cm="1">
        <f t="array" ref="D990">IFERROR(INDEX({"Small","Medium","Large"},MATCH(TRUE,ISNUMBER(SEARCH({"Small","Medium","Large"},A990)),0)),"")</f>
        <v>Large</v>
      </c>
      <c r="E990" t="str">
        <f t="shared" si="15"/>
        <v>0.073</v>
      </c>
    </row>
    <row r="991" spans="1:5" x14ac:dyDescent="0.3">
      <c r="A991" t="s">
        <v>989</v>
      </c>
      <c r="B991" t="str" cm="1">
        <f t="array" ref="B991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redcedar"},A991)),0)),"")</f>
        <v>Spruce</v>
      </c>
      <c r="C991" t="str" cm="1">
        <f t="array" ref="C991">IFERROR(INDEX({"Ridgetop","Other"},MATCH(TRUE,ISNUMBER(SEARCH({"Ridgetop","Other"},A991)),0)),"")</f>
        <v>Other</v>
      </c>
      <c r="D991" t="str" cm="1">
        <f t="array" ref="D991">IFERROR(INDEX({"Small","Medium","Large"},MATCH(TRUE,ISNUMBER(SEARCH({"Small","Medium","Large"},A991)),0)),"")</f>
        <v>Small</v>
      </c>
      <c r="E991" t="str">
        <f t="shared" si="15"/>
        <v>0.084</v>
      </c>
    </row>
    <row r="992" spans="1:5" x14ac:dyDescent="0.3">
      <c r="A992" t="s">
        <v>990</v>
      </c>
      <c r="B992" t="str" cm="1">
        <f t="array" ref="B992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redcedar"},A992)),0)),"")</f>
        <v>Spruce</v>
      </c>
      <c r="C992" t="str" cm="1">
        <f t="array" ref="C992">IFERROR(INDEX({"Ridgetop","Other"},MATCH(TRUE,ISNUMBER(SEARCH({"Ridgetop","Other"},A992)),0)),"")</f>
        <v>Other</v>
      </c>
      <c r="D992" t="str" cm="1">
        <f t="array" ref="D992">IFERROR(INDEX({"Small","Medium","Large"},MATCH(TRUE,ISNUMBER(SEARCH({"Small","Medium","Large"},A992)),0)),"")</f>
        <v>Medium</v>
      </c>
      <c r="E992" t="str">
        <f t="shared" si="15"/>
        <v>0.051</v>
      </c>
    </row>
    <row r="993" spans="1:5" x14ac:dyDescent="0.3">
      <c r="A993" t="s">
        <v>991</v>
      </c>
      <c r="B993" t="str" cm="1">
        <f t="array" ref="B993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redcedar"},A993)),0)),"")</f>
        <v>Spruce</v>
      </c>
      <c r="C993" t="str" cm="1">
        <f t="array" ref="C993">IFERROR(INDEX({"Ridgetop","Other"},MATCH(TRUE,ISNUMBER(SEARCH({"Ridgetop","Other"},A993)),0)),"")</f>
        <v>Other</v>
      </c>
      <c r="D993" t="str" cm="1">
        <f t="array" ref="D993">IFERROR(INDEX({"Small","Medium","Large"},MATCH(TRUE,ISNUMBER(SEARCH({"Small","Medium","Large"},A993)),0)),"")</f>
        <v>Large</v>
      </c>
      <c r="E993" t="str">
        <f t="shared" si="15"/>
        <v>0.047</v>
      </c>
    </row>
    <row r="994" spans="1:5" x14ac:dyDescent="0.3">
      <c r="A994" t="s">
        <v>992</v>
      </c>
      <c r="B994" t="str" cm="1">
        <f t="array" ref="B994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redcedar"},A994)),0)),"")</f>
        <v>Spruce</v>
      </c>
      <c r="C994" t="str" cm="1">
        <f t="array" ref="C994">IFERROR(INDEX({"Ridgetop","Other"},MATCH(TRUE,ISNUMBER(SEARCH({"Ridgetop","Other"},A994)),0)),"")</f>
        <v>Other</v>
      </c>
      <c r="D994" t="str" cm="1">
        <f t="array" ref="D994">IFERROR(INDEX({"Small","Medium","Large"},MATCH(TRUE,ISNUMBER(SEARCH({"Small","Medium","Large"},A994)),0)),"")</f>
        <v>Small</v>
      </c>
      <c r="E994" t="str">
        <f t="shared" si="15"/>
        <v>0.091</v>
      </c>
    </row>
    <row r="995" spans="1:5" x14ac:dyDescent="0.3">
      <c r="A995" t="s">
        <v>993</v>
      </c>
      <c r="B995" t="str" cm="1">
        <f t="array" ref="B995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redcedar"},A995)),0)),"")</f>
        <v>Spruce</v>
      </c>
      <c r="C995" t="str" cm="1">
        <f t="array" ref="C995">IFERROR(INDEX({"Ridgetop","Other"},MATCH(TRUE,ISNUMBER(SEARCH({"Ridgetop","Other"},A995)),0)),"")</f>
        <v>Other</v>
      </c>
      <c r="D995" t="str" cm="1">
        <f t="array" ref="D995">IFERROR(INDEX({"Small","Medium","Large"},MATCH(TRUE,ISNUMBER(SEARCH({"Small","Medium","Large"},A995)),0)),"")</f>
        <v>Medium</v>
      </c>
      <c r="E995" t="str">
        <f t="shared" si="15"/>
        <v>0.055</v>
      </c>
    </row>
    <row r="996" spans="1:5" x14ac:dyDescent="0.3">
      <c r="A996" t="s">
        <v>994</v>
      </c>
      <c r="B996" t="str" cm="1">
        <f t="array" ref="B996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redcedar"},A996)),0)),"")</f>
        <v>Spruce</v>
      </c>
      <c r="C996" t="str" cm="1">
        <f t="array" ref="C996">IFERROR(INDEX({"Ridgetop","Other"},MATCH(TRUE,ISNUMBER(SEARCH({"Ridgetop","Other"},A996)),0)),"")</f>
        <v>Other</v>
      </c>
      <c r="D996" t="str" cm="1">
        <f t="array" ref="D996">IFERROR(INDEX({"Small","Medium","Large"},MATCH(TRUE,ISNUMBER(SEARCH({"Small","Medium","Large"},A996)),0)),"")</f>
        <v>Large</v>
      </c>
      <c r="E996" t="str">
        <f t="shared" si="15"/>
        <v>0.052</v>
      </c>
    </row>
    <row r="997" spans="1:5" x14ac:dyDescent="0.3">
      <c r="A997" t="s">
        <v>995</v>
      </c>
      <c r="B997" t="str" cm="1">
        <f t="array" ref="B997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redcedar"},A997)),0)),"")</f>
        <v>Spruce</v>
      </c>
      <c r="C997" t="str" cm="1">
        <f t="array" ref="C997">IFERROR(INDEX({"Ridgetop","Other"},MATCH(TRUE,ISNUMBER(SEARCH({"Ridgetop","Other"},A997)),0)),"")</f>
        <v>Other</v>
      </c>
      <c r="D997" t="str" cm="1">
        <f t="array" ref="D997">IFERROR(INDEX({"Small","Medium","Large"},MATCH(TRUE,ISNUMBER(SEARCH({"Small","Medium","Large"},A997)),0)),"")</f>
        <v>Small</v>
      </c>
      <c r="E997" t="str">
        <f t="shared" si="15"/>
        <v>0.091</v>
      </c>
    </row>
    <row r="998" spans="1:5" x14ac:dyDescent="0.3">
      <c r="A998" t="s">
        <v>996</v>
      </c>
      <c r="B998" t="str" cm="1">
        <f t="array" ref="B998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redcedar"},A998)),0)),"")</f>
        <v>Spruce</v>
      </c>
      <c r="C998" t="str" cm="1">
        <f t="array" ref="C998">IFERROR(INDEX({"Ridgetop","Other"},MATCH(TRUE,ISNUMBER(SEARCH({"Ridgetop","Other"},A998)),0)),"")</f>
        <v>Other</v>
      </c>
      <c r="D998" t="str" cm="1">
        <f t="array" ref="D998">IFERROR(INDEX({"Small","Medium","Large"},MATCH(TRUE,ISNUMBER(SEARCH({"Small","Medium","Large"},A998)),0)),"")</f>
        <v>Medium</v>
      </c>
      <c r="E998" t="str">
        <f t="shared" si="15"/>
        <v>0.055</v>
      </c>
    </row>
    <row r="999" spans="1:5" x14ac:dyDescent="0.3">
      <c r="A999" t="s">
        <v>997</v>
      </c>
      <c r="B999" t="str" cm="1">
        <f t="array" ref="B999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redcedar"},A999)),0)),"")</f>
        <v>Spruce</v>
      </c>
      <c r="C999" t="str" cm="1">
        <f t="array" ref="C999">IFERROR(INDEX({"Ridgetop","Other"},MATCH(TRUE,ISNUMBER(SEARCH({"Ridgetop","Other"},A999)),0)),"")</f>
        <v>Other</v>
      </c>
      <c r="D999" t="str" cm="1">
        <f t="array" ref="D999">IFERROR(INDEX({"Small","Medium","Large"},MATCH(TRUE,ISNUMBER(SEARCH({"Small","Medium","Large"},A999)),0)),"")</f>
        <v>Large</v>
      </c>
      <c r="E999" t="str">
        <f t="shared" si="15"/>
        <v>0.052</v>
      </c>
    </row>
    <row r="1000" spans="1:5" x14ac:dyDescent="0.3">
      <c r="A1000" t="s">
        <v>998</v>
      </c>
      <c r="B1000" t="str" cm="1">
        <f t="array" ref="B1000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redcedar"},A1000)),0)),"")</f>
        <v>Spruce</v>
      </c>
      <c r="C1000" t="str" cm="1">
        <f t="array" ref="C1000">IFERROR(INDEX({"Ridgetop","Other"},MATCH(TRUE,ISNUMBER(SEARCH({"Ridgetop","Other"},A1000)),0)),"")</f>
        <v>Ridgetop</v>
      </c>
      <c r="D1000" t="str" cm="1">
        <f t="array" ref="D1000">IFERROR(INDEX({"Small","Medium","Large"},MATCH(TRUE,ISNUMBER(SEARCH({"Small","Medium","Large"},A1000)),0)),"")</f>
        <v>Small</v>
      </c>
      <c r="E1000" t="str">
        <f t="shared" si="15"/>
        <v>0.152</v>
      </c>
    </row>
    <row r="1001" spans="1:5" x14ac:dyDescent="0.3">
      <c r="A1001" t="s">
        <v>999</v>
      </c>
      <c r="B1001" t="str" cm="1">
        <f t="array" ref="B1001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redcedar"},A1001)),0)),"")</f>
        <v>Spruce</v>
      </c>
      <c r="C1001" t="str" cm="1">
        <f t="array" ref="C1001">IFERROR(INDEX({"Ridgetop","Other"},MATCH(TRUE,ISNUMBER(SEARCH({"Ridgetop","Other"},A1001)),0)),"")</f>
        <v>Ridgetop</v>
      </c>
      <c r="D1001" t="str" cm="1">
        <f t="array" ref="D1001">IFERROR(INDEX({"Small","Medium","Large"},MATCH(TRUE,ISNUMBER(SEARCH({"Small","Medium","Large"},A1001)),0)),"")</f>
        <v>Medium</v>
      </c>
      <c r="E1001" t="str">
        <f t="shared" si="15"/>
        <v>0.092</v>
      </c>
    </row>
    <row r="1002" spans="1:5" x14ac:dyDescent="0.3">
      <c r="A1002" t="s">
        <v>1000</v>
      </c>
      <c r="B1002" t="str" cm="1">
        <f t="array" ref="B1002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redcedar"},A1002)),0)),"")</f>
        <v>Spruce</v>
      </c>
      <c r="C1002" t="str" cm="1">
        <f t="array" ref="C1002">IFERROR(INDEX({"Ridgetop","Other"},MATCH(TRUE,ISNUMBER(SEARCH({"Ridgetop","Other"},A1002)),0)),"")</f>
        <v>Ridgetop</v>
      </c>
      <c r="D1002" t="str" cm="1">
        <f t="array" ref="D1002">IFERROR(INDEX({"Small","Medium","Large"},MATCH(TRUE,ISNUMBER(SEARCH({"Small","Medium","Large"},A1002)),0)),"")</f>
        <v>Large</v>
      </c>
      <c r="E1002" t="str">
        <f t="shared" si="15"/>
        <v>0.086</v>
      </c>
    </row>
    <row r="1003" spans="1:5" x14ac:dyDescent="0.3">
      <c r="A1003" t="s">
        <v>1001</v>
      </c>
      <c r="B1003" t="str" cm="1">
        <f t="array" ref="B1003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redcedar"},A1003)),0)),"")</f>
        <v>Spruce</v>
      </c>
      <c r="C1003" t="str" cm="1">
        <f t="array" ref="C1003">IFERROR(INDEX({"Ridgetop","Other"},MATCH(TRUE,ISNUMBER(SEARCH({"Ridgetop","Other"},A1003)),0)),"")</f>
        <v>Ridgetop</v>
      </c>
      <c r="D1003" t="str" cm="1">
        <f t="array" ref="D1003">IFERROR(INDEX({"Small","Medium","Large"},MATCH(TRUE,ISNUMBER(SEARCH({"Small","Medium","Large"},A1003)),0)),"")</f>
        <v>Small</v>
      </c>
      <c r="E1003" t="str">
        <f t="shared" si="15"/>
        <v>0.152</v>
      </c>
    </row>
    <row r="1004" spans="1:5" x14ac:dyDescent="0.3">
      <c r="A1004" t="s">
        <v>1002</v>
      </c>
      <c r="B1004" t="str" cm="1">
        <f t="array" ref="B1004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redcedar"},A1004)),0)),"")</f>
        <v>Spruce</v>
      </c>
      <c r="C1004" t="str" cm="1">
        <f t="array" ref="C1004">IFERROR(INDEX({"Ridgetop","Other"},MATCH(TRUE,ISNUMBER(SEARCH({"Ridgetop","Other"},A1004)),0)),"")</f>
        <v>Ridgetop</v>
      </c>
      <c r="D1004" t="str" cm="1">
        <f t="array" ref="D1004">IFERROR(INDEX({"Small","Medium","Large"},MATCH(TRUE,ISNUMBER(SEARCH({"Small","Medium","Large"},A1004)),0)),"")</f>
        <v>Medium</v>
      </c>
      <c r="E1004" t="str">
        <f t="shared" si="15"/>
        <v>0.092</v>
      </c>
    </row>
    <row r="1005" spans="1:5" x14ac:dyDescent="0.3">
      <c r="A1005" t="s">
        <v>1003</v>
      </c>
      <c r="B1005" t="str" cm="1">
        <f t="array" ref="B1005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redcedar"},A1005)),0)),"")</f>
        <v>Spruce</v>
      </c>
      <c r="C1005" t="str" cm="1">
        <f t="array" ref="C1005">IFERROR(INDEX({"Ridgetop","Other"},MATCH(TRUE,ISNUMBER(SEARCH({"Ridgetop","Other"},A1005)),0)),"")</f>
        <v>Ridgetop</v>
      </c>
      <c r="D1005" t="str" cm="1">
        <f t="array" ref="D1005">IFERROR(INDEX({"Small","Medium","Large"},MATCH(TRUE,ISNUMBER(SEARCH({"Small","Medium","Large"},A1005)),0)),"")</f>
        <v>Large</v>
      </c>
      <c r="E1005" t="str">
        <f t="shared" si="15"/>
        <v>0.086</v>
      </c>
    </row>
    <row r="1006" spans="1:5" x14ac:dyDescent="0.3">
      <c r="A1006" t="s">
        <v>1004</v>
      </c>
      <c r="B1006" t="str" cm="1">
        <f t="array" ref="B1006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redcedar"},A1006)),0)),"")</f>
        <v>Spruce</v>
      </c>
      <c r="C1006" t="str" cm="1">
        <f t="array" ref="C1006">IFERROR(INDEX({"Ridgetop","Other"},MATCH(TRUE,ISNUMBER(SEARCH({"Ridgetop","Other"},A1006)),0)),"")</f>
        <v>Ridgetop</v>
      </c>
      <c r="D1006" t="str" cm="1">
        <f t="array" ref="D1006">IFERROR(INDEX({"Small","Medium","Large"},MATCH(TRUE,ISNUMBER(SEARCH({"Small","Medium","Large"},A1006)),0)),"")</f>
        <v>Small</v>
      </c>
      <c r="E1006" t="str">
        <f t="shared" si="15"/>
        <v>0.152</v>
      </c>
    </row>
    <row r="1007" spans="1:5" x14ac:dyDescent="0.3">
      <c r="A1007" t="s">
        <v>1005</v>
      </c>
      <c r="B1007" t="str" cm="1">
        <f t="array" ref="B1007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redcedar"},A1007)),0)),"")</f>
        <v>Spruce</v>
      </c>
      <c r="C1007" t="str" cm="1">
        <f t="array" ref="C1007">IFERROR(INDEX({"Ridgetop","Other"},MATCH(TRUE,ISNUMBER(SEARCH({"Ridgetop","Other"},A1007)),0)),"")</f>
        <v>Ridgetop</v>
      </c>
      <c r="D1007" t="str" cm="1">
        <f t="array" ref="D1007">IFERROR(INDEX({"Small","Medium","Large"},MATCH(TRUE,ISNUMBER(SEARCH({"Small","Medium","Large"},A1007)),0)),"")</f>
        <v>Medium</v>
      </c>
      <c r="E1007" t="str">
        <f t="shared" si="15"/>
        <v>0.092</v>
      </c>
    </row>
    <row r="1008" spans="1:5" x14ac:dyDescent="0.3">
      <c r="A1008" t="s">
        <v>1006</v>
      </c>
      <c r="B1008" t="str" cm="1">
        <f t="array" ref="B1008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redcedar"},A1008)),0)),"")</f>
        <v>Spruce</v>
      </c>
      <c r="C1008" t="str" cm="1">
        <f t="array" ref="C1008">IFERROR(INDEX({"Ridgetop","Other"},MATCH(TRUE,ISNUMBER(SEARCH({"Ridgetop","Other"},A1008)),0)),"")</f>
        <v>Ridgetop</v>
      </c>
      <c r="D1008" t="str" cm="1">
        <f t="array" ref="D1008">IFERROR(INDEX({"Small","Medium","Large"},MATCH(TRUE,ISNUMBER(SEARCH({"Small","Medium","Large"},A1008)),0)),"")</f>
        <v>Large</v>
      </c>
      <c r="E1008" t="str">
        <f t="shared" si="15"/>
        <v>0.086</v>
      </c>
    </row>
    <row r="1009" spans="1:5" x14ac:dyDescent="0.3">
      <c r="A1009" t="s">
        <v>1007</v>
      </c>
      <c r="B1009" t="str" cm="1">
        <f t="array" ref="B1009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redcedar"},A1009)),0)),"")</f>
        <v>Spruce</v>
      </c>
      <c r="C1009" t="str" cm="1">
        <f t="array" ref="C1009">IFERROR(INDEX({"Ridgetop","Other"},MATCH(TRUE,ISNUMBER(SEARCH({"Ridgetop","Other"},A1009)),0)),"")</f>
        <v>Other</v>
      </c>
      <c r="D1009" t="str" cm="1">
        <f t="array" ref="D1009">IFERROR(INDEX({"Small","Medium","Large"},MATCH(TRUE,ISNUMBER(SEARCH({"Small","Medium","Large"},A1009)),0)),"")</f>
        <v>Small</v>
      </c>
      <c r="E1009" t="str">
        <f t="shared" si="15"/>
        <v>0.068</v>
      </c>
    </row>
    <row r="1010" spans="1:5" x14ac:dyDescent="0.3">
      <c r="A1010" t="s">
        <v>1008</v>
      </c>
      <c r="B1010" t="str" cm="1">
        <f t="array" ref="B1010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redcedar"},A1010)),0)),"")</f>
        <v>Spruce</v>
      </c>
      <c r="C1010" t="str" cm="1">
        <f t="array" ref="C1010">IFERROR(INDEX({"Ridgetop","Other"},MATCH(TRUE,ISNUMBER(SEARCH({"Ridgetop","Other"},A1010)),0)),"")</f>
        <v>Other</v>
      </c>
      <c r="D1010" t="str" cm="1">
        <f t="array" ref="D1010">IFERROR(INDEX({"Small","Medium","Large"},MATCH(TRUE,ISNUMBER(SEARCH({"Small","Medium","Large"},A1010)),0)),"")</f>
        <v>Medium</v>
      </c>
      <c r="E1010" t="str">
        <f t="shared" si="15"/>
        <v>0.041</v>
      </c>
    </row>
    <row r="1011" spans="1:5" x14ac:dyDescent="0.3">
      <c r="A1011" t="s">
        <v>1009</v>
      </c>
      <c r="B1011" t="str" cm="1">
        <f t="array" ref="B1011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redcedar"},A1011)),0)),"")</f>
        <v>Spruce</v>
      </c>
      <c r="C1011" t="str" cm="1">
        <f t="array" ref="C1011">IFERROR(INDEX({"Ridgetop","Other"},MATCH(TRUE,ISNUMBER(SEARCH({"Ridgetop","Other"},A1011)),0)),"")</f>
        <v>Other</v>
      </c>
      <c r="D1011" t="str" cm="1">
        <f t="array" ref="D1011">IFERROR(INDEX({"Small","Medium","Large"},MATCH(TRUE,ISNUMBER(SEARCH({"Small","Medium","Large"},A1011)),0)),"")</f>
        <v>Large</v>
      </c>
      <c r="E1011" t="str">
        <f t="shared" si="15"/>
        <v>0.039</v>
      </c>
    </row>
    <row r="1012" spans="1:5" x14ac:dyDescent="0.3">
      <c r="A1012" t="s">
        <v>1010</v>
      </c>
      <c r="B1012" t="str" cm="1">
        <f t="array" ref="B1012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redcedar"},A1012)),0)),"")</f>
        <v>Spruce</v>
      </c>
      <c r="C1012" t="str" cm="1">
        <f t="array" ref="C1012">IFERROR(INDEX({"Ridgetop","Other"},MATCH(TRUE,ISNUMBER(SEARCH({"Ridgetop","Other"},A1012)),0)),"")</f>
        <v>Other</v>
      </c>
      <c r="D1012" t="str" cm="1">
        <f t="array" ref="D1012">IFERROR(INDEX({"Small","Medium","Large"},MATCH(TRUE,ISNUMBER(SEARCH({"Small","Medium","Large"},A1012)),0)),"")</f>
        <v>Small</v>
      </c>
      <c r="E1012" t="str">
        <f t="shared" si="15"/>
        <v>0.076</v>
      </c>
    </row>
    <row r="1013" spans="1:5" x14ac:dyDescent="0.3">
      <c r="A1013" t="s">
        <v>1011</v>
      </c>
      <c r="B1013" t="str" cm="1">
        <f t="array" ref="B1013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redcedar"},A1013)),0)),"")</f>
        <v>Spruce</v>
      </c>
      <c r="C1013" t="str" cm="1">
        <f t="array" ref="C1013">IFERROR(INDEX({"Ridgetop","Other"},MATCH(TRUE,ISNUMBER(SEARCH({"Ridgetop","Other"},A1013)),0)),"")</f>
        <v>Other</v>
      </c>
      <c r="D1013" t="str" cm="1">
        <f t="array" ref="D1013">IFERROR(INDEX({"Small","Medium","Large"},MATCH(TRUE,ISNUMBER(SEARCH({"Small","Medium","Large"},A1013)),0)),"")</f>
        <v>Medium</v>
      </c>
      <c r="E1013" t="str">
        <f t="shared" si="15"/>
        <v>0.046</v>
      </c>
    </row>
    <row r="1014" spans="1:5" x14ac:dyDescent="0.3">
      <c r="A1014" t="s">
        <v>1012</v>
      </c>
      <c r="B1014" t="str" cm="1">
        <f t="array" ref="B1014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redcedar"},A1014)),0)),"")</f>
        <v>Spruce</v>
      </c>
      <c r="C1014" t="str" cm="1">
        <f t="array" ref="C1014">IFERROR(INDEX({"Ridgetop","Other"},MATCH(TRUE,ISNUMBER(SEARCH({"Ridgetop","Other"},A1014)),0)),"")</f>
        <v>Other</v>
      </c>
      <c r="D1014" t="str" cm="1">
        <f t="array" ref="D1014">IFERROR(INDEX({"Small","Medium","Large"},MATCH(TRUE,ISNUMBER(SEARCH({"Small","Medium","Large"},A1014)),0)),"")</f>
        <v>Large</v>
      </c>
      <c r="E1014" t="str">
        <f t="shared" si="15"/>
        <v>0.043</v>
      </c>
    </row>
    <row r="1015" spans="1:5" x14ac:dyDescent="0.3">
      <c r="A1015" t="s">
        <v>1013</v>
      </c>
      <c r="B1015" t="str" cm="1">
        <f t="array" ref="B1015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redcedar"},A1015)),0)),"")</f>
        <v>Spruce</v>
      </c>
      <c r="C1015" t="str" cm="1">
        <f t="array" ref="C1015">IFERROR(INDEX({"Ridgetop","Other"},MATCH(TRUE,ISNUMBER(SEARCH({"Ridgetop","Other"},A1015)),0)),"")</f>
        <v>Other</v>
      </c>
      <c r="D1015" t="str" cm="1">
        <f t="array" ref="D1015">IFERROR(INDEX({"Small","Medium","Large"},MATCH(TRUE,ISNUMBER(SEARCH({"Small","Medium","Large"},A1015)),0)),"")</f>
        <v>Small</v>
      </c>
      <c r="E1015" t="str">
        <f t="shared" si="15"/>
        <v>0.091</v>
      </c>
    </row>
    <row r="1016" spans="1:5" x14ac:dyDescent="0.3">
      <c r="A1016" t="s">
        <v>1014</v>
      </c>
      <c r="B1016" t="str" cm="1">
        <f t="array" ref="B1016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redcedar"},A1016)),0)),"")</f>
        <v>Spruce</v>
      </c>
      <c r="C1016" t="str" cm="1">
        <f t="array" ref="C1016">IFERROR(INDEX({"Ridgetop","Other"},MATCH(TRUE,ISNUMBER(SEARCH({"Ridgetop","Other"},A1016)),0)),"")</f>
        <v>Other</v>
      </c>
      <c r="D1016" t="str" cm="1">
        <f t="array" ref="D1016">IFERROR(INDEX({"Small","Medium","Large"},MATCH(TRUE,ISNUMBER(SEARCH({"Small","Medium","Large"},A1016)),0)),"")</f>
        <v>Medium</v>
      </c>
      <c r="E1016" t="str">
        <f t="shared" si="15"/>
        <v>0.055</v>
      </c>
    </row>
    <row r="1017" spans="1:5" x14ac:dyDescent="0.3">
      <c r="A1017" t="s">
        <v>1015</v>
      </c>
      <c r="B1017" t="str" cm="1">
        <f t="array" ref="B1017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redcedar"},A1017)),0)),"")</f>
        <v>Spruce</v>
      </c>
      <c r="C1017" t="str" cm="1">
        <f t="array" ref="C1017">IFERROR(INDEX({"Ridgetop","Other"},MATCH(TRUE,ISNUMBER(SEARCH({"Ridgetop","Other"},A1017)),0)),"")</f>
        <v>Other</v>
      </c>
      <c r="D1017" t="str" cm="1">
        <f t="array" ref="D1017">IFERROR(INDEX({"Small","Medium","Large"},MATCH(TRUE,ISNUMBER(SEARCH({"Small","Medium","Large"},A1017)),0)),"")</f>
        <v>Large</v>
      </c>
      <c r="E1017" t="str">
        <f t="shared" si="15"/>
        <v>0.052</v>
      </c>
    </row>
    <row r="1018" spans="1:5" x14ac:dyDescent="0.3">
      <c r="A1018" t="s">
        <v>1016</v>
      </c>
      <c r="B1018" t="str" cm="1">
        <f t="array" ref="B1018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redcedar"},A1018)),0)),"")</f>
        <v>Spruce</v>
      </c>
      <c r="C1018" t="str" cm="1">
        <f t="array" ref="C1018">IFERROR(INDEX({"Ridgetop","Other"},MATCH(TRUE,ISNUMBER(SEARCH({"Ridgetop","Other"},A1018)),0)),"")</f>
        <v>Ridgetop</v>
      </c>
      <c r="D1018" t="str" cm="1">
        <f t="array" ref="D1018">IFERROR(INDEX({"Small","Medium","Large"},MATCH(TRUE,ISNUMBER(SEARCH({"Small","Medium","Large"},A1018)),0)),"")</f>
        <v>Small</v>
      </c>
      <c r="E1018" t="str">
        <f t="shared" si="15"/>
        <v>0.129</v>
      </c>
    </row>
    <row r="1019" spans="1:5" x14ac:dyDescent="0.3">
      <c r="A1019" t="s">
        <v>1017</v>
      </c>
      <c r="B1019" t="str" cm="1">
        <f t="array" ref="B1019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redcedar"},A1019)),0)),"")</f>
        <v>Spruce</v>
      </c>
      <c r="C1019" t="str" cm="1">
        <f t="array" ref="C1019">IFERROR(INDEX({"Ridgetop","Other"},MATCH(TRUE,ISNUMBER(SEARCH({"Ridgetop","Other"},A1019)),0)),"")</f>
        <v>Ridgetop</v>
      </c>
      <c r="D1019" t="str" cm="1">
        <f t="array" ref="D1019">IFERROR(INDEX({"Small","Medium","Large"},MATCH(TRUE,ISNUMBER(SEARCH({"Small","Medium","Large"},A1019)),0)),"")</f>
        <v>Medium</v>
      </c>
      <c r="E1019" t="str">
        <f t="shared" si="15"/>
        <v>0.078</v>
      </c>
    </row>
    <row r="1020" spans="1:5" x14ac:dyDescent="0.3">
      <c r="A1020" t="s">
        <v>1018</v>
      </c>
      <c r="B1020" t="str" cm="1">
        <f t="array" ref="B1020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redcedar"},A1020)),0)),"")</f>
        <v>Spruce</v>
      </c>
      <c r="C1020" t="str" cm="1">
        <f t="array" ref="C1020">IFERROR(INDEX({"Ridgetop","Other"},MATCH(TRUE,ISNUMBER(SEARCH({"Ridgetop","Other"},A1020)),0)),"")</f>
        <v>Ridgetop</v>
      </c>
      <c r="D1020" t="str" cm="1">
        <f t="array" ref="D1020">IFERROR(INDEX({"Small","Medium","Large"},MATCH(TRUE,ISNUMBER(SEARCH({"Small","Medium","Large"},A1020)),0)),"")</f>
        <v>Large</v>
      </c>
      <c r="E1020" t="str">
        <f t="shared" si="15"/>
        <v>0.073</v>
      </c>
    </row>
    <row r="1021" spans="1:5" x14ac:dyDescent="0.3">
      <c r="A1021" t="s">
        <v>1019</v>
      </c>
      <c r="B1021" t="str" cm="1">
        <f t="array" ref="B1021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redcedar"},A1021)),0)),"")</f>
        <v>Spruce</v>
      </c>
      <c r="C1021" t="str" cm="1">
        <f t="array" ref="C1021">IFERROR(INDEX({"Ridgetop","Other"},MATCH(TRUE,ISNUMBER(SEARCH({"Ridgetop","Other"},A1021)),0)),"")</f>
        <v>Ridgetop</v>
      </c>
      <c r="D1021" t="str" cm="1">
        <f t="array" ref="D1021">IFERROR(INDEX({"Small","Medium","Large"},MATCH(TRUE,ISNUMBER(SEARCH({"Small","Medium","Large"},A1021)),0)),"")</f>
        <v>Small</v>
      </c>
      <c r="E1021" t="str">
        <f t="shared" si="15"/>
        <v>0.129</v>
      </c>
    </row>
    <row r="1022" spans="1:5" x14ac:dyDescent="0.3">
      <c r="A1022" t="s">
        <v>1020</v>
      </c>
      <c r="B1022" t="str" cm="1">
        <f t="array" ref="B1022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redcedar"},A1022)),0)),"")</f>
        <v>Spruce</v>
      </c>
      <c r="C1022" t="str" cm="1">
        <f t="array" ref="C1022">IFERROR(INDEX({"Ridgetop","Other"},MATCH(TRUE,ISNUMBER(SEARCH({"Ridgetop","Other"},A1022)),0)),"")</f>
        <v>Ridgetop</v>
      </c>
      <c r="D1022" t="str" cm="1">
        <f t="array" ref="D1022">IFERROR(INDEX({"Small","Medium","Large"},MATCH(TRUE,ISNUMBER(SEARCH({"Small","Medium","Large"},A1022)),0)),"")</f>
        <v>Medium</v>
      </c>
      <c r="E1022" t="str">
        <f t="shared" si="15"/>
        <v>0.078</v>
      </c>
    </row>
    <row r="1023" spans="1:5" x14ac:dyDescent="0.3">
      <c r="A1023" t="s">
        <v>1021</v>
      </c>
      <c r="B1023" t="str" cm="1">
        <f t="array" ref="B1023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redcedar"},A1023)),0)),"")</f>
        <v>Spruce</v>
      </c>
      <c r="C1023" t="str" cm="1">
        <f t="array" ref="C1023">IFERROR(INDEX({"Ridgetop","Other"},MATCH(TRUE,ISNUMBER(SEARCH({"Ridgetop","Other"},A1023)),0)),"")</f>
        <v>Ridgetop</v>
      </c>
      <c r="D1023" t="str" cm="1">
        <f t="array" ref="D1023">IFERROR(INDEX({"Small","Medium","Large"},MATCH(TRUE,ISNUMBER(SEARCH({"Small","Medium","Large"},A1023)),0)),"")</f>
        <v>Large</v>
      </c>
      <c r="E1023" t="str">
        <f t="shared" si="15"/>
        <v>0.073</v>
      </c>
    </row>
    <row r="1024" spans="1:5" x14ac:dyDescent="0.3">
      <c r="A1024" t="s">
        <v>1022</v>
      </c>
      <c r="B1024" t="str" cm="1">
        <f t="array" ref="B1024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redcedar"},A1024)),0)),"")</f>
        <v>Spruce</v>
      </c>
      <c r="C1024" t="str" cm="1">
        <f t="array" ref="C1024">IFERROR(INDEX({"Ridgetop","Other"},MATCH(TRUE,ISNUMBER(SEARCH({"Ridgetop","Other"},A1024)),0)),"")</f>
        <v>Ridgetop</v>
      </c>
      <c r="D1024" t="str" cm="1">
        <f t="array" ref="D1024">IFERROR(INDEX({"Small","Medium","Large"},MATCH(TRUE,ISNUMBER(SEARCH({"Small","Medium","Large"},A1024)),0)),"")</f>
        <v>Small</v>
      </c>
      <c r="E1024" t="str">
        <f t="shared" si="15"/>
        <v>0.137</v>
      </c>
    </row>
    <row r="1025" spans="1:5" x14ac:dyDescent="0.3">
      <c r="A1025" t="s">
        <v>1023</v>
      </c>
      <c r="B1025" t="str" cm="1">
        <f t="array" ref="B1025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redcedar"},A1025)),0)),"")</f>
        <v>Spruce</v>
      </c>
      <c r="C1025" t="str" cm="1">
        <f t="array" ref="C1025">IFERROR(INDEX({"Ridgetop","Other"},MATCH(TRUE,ISNUMBER(SEARCH({"Ridgetop","Other"},A1025)),0)),"")</f>
        <v>Ridgetop</v>
      </c>
      <c r="D1025" t="str" cm="1">
        <f t="array" ref="D1025">IFERROR(INDEX({"Small","Medium","Large"},MATCH(TRUE,ISNUMBER(SEARCH({"Small","Medium","Large"},A1025)),0)),"")</f>
        <v>Medium</v>
      </c>
      <c r="E1025" t="str">
        <f t="shared" si="15"/>
        <v>0.083</v>
      </c>
    </row>
    <row r="1026" spans="1:5" x14ac:dyDescent="0.3">
      <c r="A1026" t="s">
        <v>1024</v>
      </c>
      <c r="B1026" t="str" cm="1">
        <f t="array" ref="B1026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redcedar"},A1026)),0)),"")</f>
        <v>Spruce</v>
      </c>
      <c r="C1026" t="str" cm="1">
        <f t="array" ref="C1026">IFERROR(INDEX({"Ridgetop","Other"},MATCH(TRUE,ISNUMBER(SEARCH({"Ridgetop","Other"},A1026)),0)),"")</f>
        <v>Ridgetop</v>
      </c>
      <c r="D1026" t="str" cm="1">
        <f t="array" ref="D1026">IFERROR(INDEX({"Small","Medium","Large"},MATCH(TRUE,ISNUMBER(SEARCH({"Small","Medium","Large"},A1026)),0)),"")</f>
        <v>Large</v>
      </c>
      <c r="E1026" t="str">
        <f t="shared" si="15"/>
        <v>0.077</v>
      </c>
    </row>
    <row r="1027" spans="1:5" x14ac:dyDescent="0.3">
      <c r="A1027" t="s">
        <v>1025</v>
      </c>
      <c r="B1027" t="str" cm="1">
        <f t="array" ref="B1027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redcedar"},A1027)),0)),"")</f>
        <v>Spruce</v>
      </c>
      <c r="C1027" t="str" cm="1">
        <f t="array" ref="C1027">IFERROR(INDEX({"Ridgetop","Other"},MATCH(TRUE,ISNUMBER(SEARCH({"Ridgetop","Other"},A1027)),0)),"")</f>
        <v>Other</v>
      </c>
      <c r="D1027" t="str" cm="1">
        <f t="array" ref="D1027">IFERROR(INDEX({"Small","Medium","Large"},MATCH(TRUE,ISNUMBER(SEARCH({"Small","Medium","Large"},A1027)),0)),"")</f>
        <v>Small</v>
      </c>
      <c r="E1027" t="str">
        <f t="shared" ref="E1027:E1090" si="16">RIGHT(A1027,LEN(A1027)-FIND("@",SUBSTITUTE(A1027," ","@",LEN(A1027)-LEN(SUBSTITUTE(A1027," ","")))))</f>
        <v>0.084</v>
      </c>
    </row>
    <row r="1028" spans="1:5" x14ac:dyDescent="0.3">
      <c r="A1028" t="s">
        <v>1026</v>
      </c>
      <c r="B1028" t="str" cm="1">
        <f t="array" ref="B1028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redcedar"},A1028)),0)),"")</f>
        <v>Spruce</v>
      </c>
      <c r="C1028" t="str" cm="1">
        <f t="array" ref="C1028">IFERROR(INDEX({"Ridgetop","Other"},MATCH(TRUE,ISNUMBER(SEARCH({"Ridgetop","Other"},A1028)),0)),"")</f>
        <v>Other</v>
      </c>
      <c r="D1028" t="str" cm="1">
        <f t="array" ref="D1028">IFERROR(INDEX({"Small","Medium","Large"},MATCH(TRUE,ISNUMBER(SEARCH({"Small","Medium","Large"},A1028)),0)),"")</f>
        <v>Medium</v>
      </c>
      <c r="E1028" t="str">
        <f t="shared" si="16"/>
        <v>0.051</v>
      </c>
    </row>
    <row r="1029" spans="1:5" x14ac:dyDescent="0.3">
      <c r="A1029" t="s">
        <v>1027</v>
      </c>
      <c r="B1029" t="str" cm="1">
        <f t="array" ref="B1029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redcedar"},A1029)),0)),"")</f>
        <v>Spruce</v>
      </c>
      <c r="C1029" t="str" cm="1">
        <f t="array" ref="C1029">IFERROR(INDEX({"Ridgetop","Other"},MATCH(TRUE,ISNUMBER(SEARCH({"Ridgetop","Other"},A1029)),0)),"")</f>
        <v>Other</v>
      </c>
      <c r="D1029" t="str" cm="1">
        <f t="array" ref="D1029">IFERROR(INDEX({"Small","Medium","Large"},MATCH(TRUE,ISNUMBER(SEARCH({"Small","Medium","Large"},A1029)),0)),"")</f>
        <v>Large</v>
      </c>
      <c r="E1029" t="str">
        <f t="shared" si="16"/>
        <v>0.047</v>
      </c>
    </row>
    <row r="1030" spans="1:5" x14ac:dyDescent="0.3">
      <c r="A1030" t="s">
        <v>1028</v>
      </c>
      <c r="B1030" t="str" cm="1">
        <f t="array" ref="B1030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redcedar"},A1030)),0)),"")</f>
        <v>Spruce</v>
      </c>
      <c r="C1030" t="str" cm="1">
        <f t="array" ref="C1030">IFERROR(INDEX({"Ridgetop","Other"},MATCH(TRUE,ISNUMBER(SEARCH({"Ridgetop","Other"},A1030)),0)),"")</f>
        <v>Other</v>
      </c>
      <c r="D1030" t="str" cm="1">
        <f t="array" ref="D1030">IFERROR(INDEX({"Small","Medium","Large"},MATCH(TRUE,ISNUMBER(SEARCH({"Small","Medium","Large"},A1030)),0)),"")</f>
        <v>Small</v>
      </c>
      <c r="E1030" t="str">
        <f t="shared" si="16"/>
        <v>0.091</v>
      </c>
    </row>
    <row r="1031" spans="1:5" x14ac:dyDescent="0.3">
      <c r="A1031" t="s">
        <v>1029</v>
      </c>
      <c r="B1031" t="str" cm="1">
        <f t="array" ref="B1031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redcedar"},A1031)),0)),"")</f>
        <v>Spruce</v>
      </c>
      <c r="C1031" t="str" cm="1">
        <f t="array" ref="C1031">IFERROR(INDEX({"Ridgetop","Other"},MATCH(TRUE,ISNUMBER(SEARCH({"Ridgetop","Other"},A1031)),0)),"")</f>
        <v>Other</v>
      </c>
      <c r="D1031" t="str" cm="1">
        <f t="array" ref="D1031">IFERROR(INDEX({"Small","Medium","Large"},MATCH(TRUE,ISNUMBER(SEARCH({"Small","Medium","Large"},A1031)),0)),"")</f>
        <v>Medium</v>
      </c>
      <c r="E1031" t="str">
        <f t="shared" si="16"/>
        <v>0.055</v>
      </c>
    </row>
    <row r="1032" spans="1:5" x14ac:dyDescent="0.3">
      <c r="A1032" t="s">
        <v>1030</v>
      </c>
      <c r="B1032" t="str" cm="1">
        <f t="array" ref="B1032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redcedar"},A1032)),0)),"")</f>
        <v>Spruce</v>
      </c>
      <c r="C1032" t="str" cm="1">
        <f t="array" ref="C1032">IFERROR(INDEX({"Ridgetop","Other"},MATCH(TRUE,ISNUMBER(SEARCH({"Ridgetop","Other"},A1032)),0)),"")</f>
        <v>Other</v>
      </c>
      <c r="D1032" t="str" cm="1">
        <f t="array" ref="D1032">IFERROR(INDEX({"Small","Medium","Large"},MATCH(TRUE,ISNUMBER(SEARCH({"Small","Medium","Large"},A1032)),0)),"")</f>
        <v>Large</v>
      </c>
      <c r="E1032" t="str">
        <f t="shared" si="16"/>
        <v>0.052</v>
      </c>
    </row>
    <row r="1033" spans="1:5" x14ac:dyDescent="0.3">
      <c r="A1033" t="s">
        <v>1031</v>
      </c>
      <c r="B1033" t="str" cm="1">
        <f t="array" ref="B1033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redcedar"},A1033)),0)),"")</f>
        <v>Spruce</v>
      </c>
      <c r="C1033" t="str" cm="1">
        <f t="array" ref="C1033">IFERROR(INDEX({"Ridgetop","Other"},MATCH(TRUE,ISNUMBER(SEARCH({"Ridgetop","Other"},A1033)),0)),"")</f>
        <v>Other</v>
      </c>
      <c r="D1033" t="str" cm="1">
        <f t="array" ref="D1033">IFERROR(INDEX({"Small","Medium","Large"},MATCH(TRUE,ISNUMBER(SEARCH({"Small","Medium","Large"},A1033)),0)),"")</f>
        <v>Small</v>
      </c>
      <c r="E1033" t="str">
        <f t="shared" si="16"/>
        <v>0.091</v>
      </c>
    </row>
    <row r="1034" spans="1:5" x14ac:dyDescent="0.3">
      <c r="A1034" t="s">
        <v>1032</v>
      </c>
      <c r="B1034" t="str" cm="1">
        <f t="array" ref="B1034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redcedar"},A1034)),0)),"")</f>
        <v>Spruce</v>
      </c>
      <c r="C1034" t="str" cm="1">
        <f t="array" ref="C1034">IFERROR(INDEX({"Ridgetop","Other"},MATCH(TRUE,ISNUMBER(SEARCH({"Ridgetop","Other"},A1034)),0)),"")</f>
        <v>Other</v>
      </c>
      <c r="D1034" t="str" cm="1">
        <f t="array" ref="D1034">IFERROR(INDEX({"Small","Medium","Large"},MATCH(TRUE,ISNUMBER(SEARCH({"Small","Medium","Large"},A1034)),0)),"")</f>
        <v>Medium</v>
      </c>
      <c r="E1034" t="str">
        <f t="shared" si="16"/>
        <v>0.055</v>
      </c>
    </row>
    <row r="1035" spans="1:5" x14ac:dyDescent="0.3">
      <c r="A1035" t="s">
        <v>1033</v>
      </c>
      <c r="B1035" t="str" cm="1">
        <f t="array" ref="B1035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redcedar"},A1035)),0)),"")</f>
        <v>Spruce</v>
      </c>
      <c r="C1035" t="str" cm="1">
        <f t="array" ref="C1035">IFERROR(INDEX({"Ridgetop","Other"},MATCH(TRUE,ISNUMBER(SEARCH({"Ridgetop","Other"},A1035)),0)),"")</f>
        <v>Other</v>
      </c>
      <c r="D1035" t="str" cm="1">
        <f t="array" ref="D1035">IFERROR(INDEX({"Small","Medium","Large"},MATCH(TRUE,ISNUMBER(SEARCH({"Small","Medium","Large"},A1035)),0)),"")</f>
        <v>Large</v>
      </c>
      <c r="E1035" t="str">
        <f t="shared" si="16"/>
        <v>0.052</v>
      </c>
    </row>
    <row r="1036" spans="1:5" x14ac:dyDescent="0.3">
      <c r="A1036" t="s">
        <v>1034</v>
      </c>
      <c r="B1036" t="str" cm="1">
        <f t="array" ref="B1036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redcedar"},A1036)),0)),"")</f>
        <v>Spruce</v>
      </c>
      <c r="C1036" t="str" cm="1">
        <f t="array" ref="C1036">IFERROR(INDEX({"Ridgetop","Other"},MATCH(TRUE,ISNUMBER(SEARCH({"Ridgetop","Other"},A1036)),0)),"")</f>
        <v>Ridgetop</v>
      </c>
      <c r="D1036" t="str" cm="1">
        <f t="array" ref="D1036">IFERROR(INDEX({"Small","Medium","Large"},MATCH(TRUE,ISNUMBER(SEARCH({"Small","Medium","Large"},A1036)),0)),"")</f>
        <v>Small</v>
      </c>
      <c r="E1036" t="str">
        <f t="shared" si="16"/>
        <v>0.152</v>
      </c>
    </row>
    <row r="1037" spans="1:5" x14ac:dyDescent="0.3">
      <c r="A1037" t="s">
        <v>1035</v>
      </c>
      <c r="B1037" t="str" cm="1">
        <f t="array" ref="B1037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redcedar"},A1037)),0)),"")</f>
        <v>Spruce</v>
      </c>
      <c r="C1037" t="str" cm="1">
        <f t="array" ref="C1037">IFERROR(INDEX({"Ridgetop","Other"},MATCH(TRUE,ISNUMBER(SEARCH({"Ridgetop","Other"},A1037)),0)),"")</f>
        <v>Ridgetop</v>
      </c>
      <c r="D1037" t="str" cm="1">
        <f t="array" ref="D1037">IFERROR(INDEX({"Small","Medium","Large"},MATCH(TRUE,ISNUMBER(SEARCH({"Small","Medium","Large"},A1037)),0)),"")</f>
        <v>Medium</v>
      </c>
      <c r="E1037" t="str">
        <f t="shared" si="16"/>
        <v>0.092</v>
      </c>
    </row>
    <row r="1038" spans="1:5" x14ac:dyDescent="0.3">
      <c r="A1038" t="s">
        <v>1036</v>
      </c>
      <c r="B1038" t="str" cm="1">
        <f t="array" ref="B1038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redcedar"},A1038)),0)),"")</f>
        <v>Spruce</v>
      </c>
      <c r="C1038" t="str" cm="1">
        <f t="array" ref="C1038">IFERROR(INDEX({"Ridgetop","Other"},MATCH(TRUE,ISNUMBER(SEARCH({"Ridgetop","Other"},A1038)),0)),"")</f>
        <v>Ridgetop</v>
      </c>
      <c r="D1038" t="str" cm="1">
        <f t="array" ref="D1038">IFERROR(INDEX({"Small","Medium","Large"},MATCH(TRUE,ISNUMBER(SEARCH({"Small","Medium","Large"},A1038)),0)),"")</f>
        <v>Large</v>
      </c>
      <c r="E1038" t="str">
        <f t="shared" si="16"/>
        <v>0.086</v>
      </c>
    </row>
    <row r="1039" spans="1:5" x14ac:dyDescent="0.3">
      <c r="A1039" t="s">
        <v>1037</v>
      </c>
      <c r="B1039" t="str" cm="1">
        <f t="array" ref="B1039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redcedar"},A1039)),0)),"")</f>
        <v>Spruce</v>
      </c>
      <c r="C1039" t="str" cm="1">
        <f t="array" ref="C1039">IFERROR(INDEX({"Ridgetop","Other"},MATCH(TRUE,ISNUMBER(SEARCH({"Ridgetop","Other"},A1039)),0)),"")</f>
        <v>Ridgetop</v>
      </c>
      <c r="D1039" t="str" cm="1">
        <f t="array" ref="D1039">IFERROR(INDEX({"Small","Medium","Large"},MATCH(TRUE,ISNUMBER(SEARCH({"Small","Medium","Large"},A1039)),0)),"")</f>
        <v>Small</v>
      </c>
      <c r="E1039" t="str">
        <f t="shared" si="16"/>
        <v>0.152</v>
      </c>
    </row>
    <row r="1040" spans="1:5" x14ac:dyDescent="0.3">
      <c r="A1040" t="s">
        <v>1038</v>
      </c>
      <c r="B1040" t="str" cm="1">
        <f t="array" ref="B1040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redcedar"},A1040)),0)),"")</f>
        <v>Spruce</v>
      </c>
      <c r="C1040" t="str" cm="1">
        <f t="array" ref="C1040">IFERROR(INDEX({"Ridgetop","Other"},MATCH(TRUE,ISNUMBER(SEARCH({"Ridgetop","Other"},A1040)),0)),"")</f>
        <v>Ridgetop</v>
      </c>
      <c r="D1040" t="str" cm="1">
        <f t="array" ref="D1040">IFERROR(INDEX({"Small","Medium","Large"},MATCH(TRUE,ISNUMBER(SEARCH({"Small","Medium","Large"},A1040)),0)),"")</f>
        <v>Medium</v>
      </c>
      <c r="E1040" t="str">
        <f t="shared" si="16"/>
        <v>0.092</v>
      </c>
    </row>
    <row r="1041" spans="1:5" x14ac:dyDescent="0.3">
      <c r="A1041" t="s">
        <v>1039</v>
      </c>
      <c r="B1041" t="str" cm="1">
        <f t="array" ref="B1041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redcedar"},A1041)),0)),"")</f>
        <v>Spruce</v>
      </c>
      <c r="C1041" t="str" cm="1">
        <f t="array" ref="C1041">IFERROR(INDEX({"Ridgetop","Other"},MATCH(TRUE,ISNUMBER(SEARCH({"Ridgetop","Other"},A1041)),0)),"")</f>
        <v>Ridgetop</v>
      </c>
      <c r="D1041" t="str" cm="1">
        <f t="array" ref="D1041">IFERROR(INDEX({"Small","Medium","Large"},MATCH(TRUE,ISNUMBER(SEARCH({"Small","Medium","Large"},A1041)),0)),"")</f>
        <v>Large</v>
      </c>
      <c r="E1041" t="str">
        <f t="shared" si="16"/>
        <v>0.086</v>
      </c>
    </row>
    <row r="1042" spans="1:5" x14ac:dyDescent="0.3">
      <c r="A1042" t="s">
        <v>1040</v>
      </c>
      <c r="B1042" t="str" cm="1">
        <f t="array" ref="B1042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redcedar"},A1042)),0)),"")</f>
        <v>Spruce</v>
      </c>
      <c r="C1042" t="str" cm="1">
        <f t="array" ref="C1042">IFERROR(INDEX({"Ridgetop","Other"},MATCH(TRUE,ISNUMBER(SEARCH({"Ridgetop","Other"},A1042)),0)),"")</f>
        <v>Ridgetop</v>
      </c>
      <c r="D1042" t="str" cm="1">
        <f t="array" ref="D1042">IFERROR(INDEX({"Small","Medium","Large"},MATCH(TRUE,ISNUMBER(SEARCH({"Small","Medium","Large"},A1042)),0)),"")</f>
        <v>Small</v>
      </c>
      <c r="E1042" t="str">
        <f t="shared" si="16"/>
        <v>0.152</v>
      </c>
    </row>
    <row r="1043" spans="1:5" x14ac:dyDescent="0.3">
      <c r="A1043" t="s">
        <v>1041</v>
      </c>
      <c r="B1043" t="str" cm="1">
        <f t="array" ref="B1043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redcedar"},A1043)),0)),"")</f>
        <v>Spruce</v>
      </c>
      <c r="C1043" t="str" cm="1">
        <f t="array" ref="C1043">IFERROR(INDEX({"Ridgetop","Other"},MATCH(TRUE,ISNUMBER(SEARCH({"Ridgetop","Other"},A1043)),0)),"")</f>
        <v>Ridgetop</v>
      </c>
      <c r="D1043" t="str" cm="1">
        <f t="array" ref="D1043">IFERROR(INDEX({"Small","Medium","Large"},MATCH(TRUE,ISNUMBER(SEARCH({"Small","Medium","Large"},A1043)),0)),"")</f>
        <v>Medium</v>
      </c>
      <c r="E1043" t="str">
        <f t="shared" si="16"/>
        <v>0.092</v>
      </c>
    </row>
    <row r="1044" spans="1:5" x14ac:dyDescent="0.3">
      <c r="A1044" t="s">
        <v>1042</v>
      </c>
      <c r="B1044" t="str" cm="1">
        <f t="array" ref="B1044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redcedar"},A1044)),0)),"")</f>
        <v>Spruce</v>
      </c>
      <c r="C1044" t="str" cm="1">
        <f t="array" ref="C1044">IFERROR(INDEX({"Ridgetop","Other"},MATCH(TRUE,ISNUMBER(SEARCH({"Ridgetop","Other"},A1044)),0)),"")</f>
        <v>Ridgetop</v>
      </c>
      <c r="D1044" t="str" cm="1">
        <f t="array" ref="D1044">IFERROR(INDEX({"Small","Medium","Large"},MATCH(TRUE,ISNUMBER(SEARCH({"Small","Medium","Large"},A1044)),0)),"")</f>
        <v>Large</v>
      </c>
      <c r="E1044" t="str">
        <f t="shared" si="16"/>
        <v>0.086</v>
      </c>
    </row>
    <row r="1045" spans="1:5" x14ac:dyDescent="0.3">
      <c r="A1045" t="s">
        <v>1043</v>
      </c>
      <c r="B1045" t="str" cm="1">
        <f t="array" ref="B1045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redcedar"},A1045)),0)),"")</f>
        <v>Spruce</v>
      </c>
      <c r="C1045" t="str" cm="1">
        <f t="array" ref="C1045">IFERROR(INDEX({"Ridgetop","Other"},MATCH(TRUE,ISNUMBER(SEARCH({"Ridgetop","Other"},A1045)),0)),"")</f>
        <v>Other</v>
      </c>
      <c r="D1045" t="str" cm="1">
        <f t="array" ref="D1045">IFERROR(INDEX({"Small","Medium","Large"},MATCH(TRUE,ISNUMBER(SEARCH({"Small","Medium","Large"},A1045)),0)),"")</f>
        <v>Small</v>
      </c>
      <c r="E1045" t="str">
        <f t="shared" si="16"/>
        <v>0.074</v>
      </c>
    </row>
    <row r="1046" spans="1:5" x14ac:dyDescent="0.3">
      <c r="A1046" t="s">
        <v>1044</v>
      </c>
      <c r="B1046" t="str" cm="1">
        <f t="array" ref="B1046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redcedar"},A1046)),0)),"")</f>
        <v>Spruce</v>
      </c>
      <c r="C1046" t="str" cm="1">
        <f t="array" ref="C1046">IFERROR(INDEX({"Ridgetop","Other"},MATCH(TRUE,ISNUMBER(SEARCH({"Ridgetop","Other"},A1046)),0)),"")</f>
        <v>Other</v>
      </c>
      <c r="D1046" t="str" cm="1">
        <f t="array" ref="D1046">IFERROR(INDEX({"Small","Medium","Large"},MATCH(TRUE,ISNUMBER(SEARCH({"Small","Medium","Large"},A1046)),0)),"")</f>
        <v>Medium</v>
      </c>
      <c r="E1046" t="str">
        <f t="shared" si="16"/>
        <v>0.045</v>
      </c>
    </row>
    <row r="1047" spans="1:5" x14ac:dyDescent="0.3">
      <c r="A1047" t="s">
        <v>1045</v>
      </c>
      <c r="B1047" t="str" cm="1">
        <f t="array" ref="B1047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redcedar"},A1047)),0)),"")</f>
        <v>Spruce</v>
      </c>
      <c r="C1047" t="str" cm="1">
        <f t="array" ref="C1047">IFERROR(INDEX({"Ridgetop","Other"},MATCH(TRUE,ISNUMBER(SEARCH({"Ridgetop","Other"},A1047)),0)),"")</f>
        <v>Other</v>
      </c>
      <c r="D1047" t="str" cm="1">
        <f t="array" ref="D1047">IFERROR(INDEX({"Small","Medium","Large"},MATCH(TRUE,ISNUMBER(SEARCH({"Small","Medium","Large"},A1047)),0)),"")</f>
        <v>Large</v>
      </c>
      <c r="E1047" t="str">
        <f t="shared" si="16"/>
        <v>0.042</v>
      </c>
    </row>
    <row r="1048" spans="1:5" x14ac:dyDescent="0.3">
      <c r="A1048" t="s">
        <v>1046</v>
      </c>
      <c r="B1048" t="str" cm="1">
        <f t="array" ref="B1048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redcedar"},A1048)),0)),"")</f>
        <v>Spruce</v>
      </c>
      <c r="C1048" t="str" cm="1">
        <f t="array" ref="C1048">IFERROR(INDEX({"Ridgetop","Other"},MATCH(TRUE,ISNUMBER(SEARCH({"Ridgetop","Other"},A1048)),0)),"")</f>
        <v>Other</v>
      </c>
      <c r="D1048" t="str" cm="1">
        <f t="array" ref="D1048">IFERROR(INDEX({"Small","Medium","Large"},MATCH(TRUE,ISNUMBER(SEARCH({"Small","Medium","Large"},A1048)),0)),"")</f>
        <v>Small</v>
      </c>
      <c r="E1048" t="str">
        <f t="shared" si="16"/>
        <v>0.084</v>
      </c>
    </row>
    <row r="1049" spans="1:5" x14ac:dyDescent="0.3">
      <c r="A1049" t="s">
        <v>1047</v>
      </c>
      <c r="B1049" t="str" cm="1">
        <f t="array" ref="B1049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redcedar"},A1049)),0)),"")</f>
        <v>Spruce</v>
      </c>
      <c r="C1049" t="str" cm="1">
        <f t="array" ref="C1049">IFERROR(INDEX({"Ridgetop","Other"},MATCH(TRUE,ISNUMBER(SEARCH({"Ridgetop","Other"},A1049)),0)),"")</f>
        <v>Other</v>
      </c>
      <c r="D1049" t="str" cm="1">
        <f t="array" ref="D1049">IFERROR(INDEX({"Small","Medium","Large"},MATCH(TRUE,ISNUMBER(SEARCH({"Small","Medium","Large"},A1049)),0)),"")</f>
        <v>Medium</v>
      </c>
      <c r="E1049" t="str">
        <f t="shared" si="16"/>
        <v>0.051</v>
      </c>
    </row>
    <row r="1050" spans="1:5" x14ac:dyDescent="0.3">
      <c r="A1050" t="s">
        <v>1048</v>
      </c>
      <c r="B1050" t="str" cm="1">
        <f t="array" ref="B1050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redcedar"},A1050)),0)),"")</f>
        <v>Spruce</v>
      </c>
      <c r="C1050" t="str" cm="1">
        <f t="array" ref="C1050">IFERROR(INDEX({"Ridgetop","Other"},MATCH(TRUE,ISNUMBER(SEARCH({"Ridgetop","Other"},A1050)),0)),"")</f>
        <v>Other</v>
      </c>
      <c r="D1050" t="str" cm="1">
        <f t="array" ref="D1050">IFERROR(INDEX({"Small","Medium","Large"},MATCH(TRUE,ISNUMBER(SEARCH({"Small","Medium","Large"},A1050)),0)),"")</f>
        <v>Large</v>
      </c>
      <c r="E1050" t="str">
        <f t="shared" si="16"/>
        <v>0.047</v>
      </c>
    </row>
    <row r="1051" spans="1:5" x14ac:dyDescent="0.3">
      <c r="A1051" t="s">
        <v>1049</v>
      </c>
      <c r="B1051" t="str" cm="1">
        <f t="array" ref="B1051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redcedar"},A1051)),0)),"")</f>
        <v>Spruce</v>
      </c>
      <c r="C1051" t="str" cm="1">
        <f t="array" ref="C1051">IFERROR(INDEX({"Ridgetop","Other"},MATCH(TRUE,ISNUMBER(SEARCH({"Ridgetop","Other"},A1051)),0)),"")</f>
        <v>Other</v>
      </c>
      <c r="D1051" t="str" cm="1">
        <f t="array" ref="D1051">IFERROR(INDEX({"Small","Medium","Large"},MATCH(TRUE,ISNUMBER(SEARCH({"Small","Medium","Large"},A1051)),0)),"")</f>
        <v>Small</v>
      </c>
      <c r="E1051" t="str">
        <f t="shared" si="16"/>
        <v>0.091</v>
      </c>
    </row>
    <row r="1052" spans="1:5" x14ac:dyDescent="0.3">
      <c r="A1052" t="s">
        <v>1050</v>
      </c>
      <c r="B1052" t="str" cm="1">
        <f t="array" ref="B1052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redcedar"},A1052)),0)),"")</f>
        <v>Spruce</v>
      </c>
      <c r="C1052" t="str" cm="1">
        <f t="array" ref="C1052">IFERROR(INDEX({"Ridgetop","Other"},MATCH(TRUE,ISNUMBER(SEARCH({"Ridgetop","Other"},A1052)),0)),"")</f>
        <v>Other</v>
      </c>
      <c r="D1052" t="str" cm="1">
        <f t="array" ref="D1052">IFERROR(INDEX({"Small","Medium","Large"},MATCH(TRUE,ISNUMBER(SEARCH({"Small","Medium","Large"},A1052)),0)),"")</f>
        <v>Medium</v>
      </c>
      <c r="E1052" t="str">
        <f t="shared" si="16"/>
        <v>0.055</v>
      </c>
    </row>
    <row r="1053" spans="1:5" x14ac:dyDescent="0.3">
      <c r="A1053" t="s">
        <v>1051</v>
      </c>
      <c r="B1053" t="str" cm="1">
        <f t="array" ref="B1053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redcedar"},A1053)),0)),"")</f>
        <v>Spruce</v>
      </c>
      <c r="C1053" t="str" cm="1">
        <f t="array" ref="C1053">IFERROR(INDEX({"Ridgetop","Other"},MATCH(TRUE,ISNUMBER(SEARCH({"Ridgetop","Other"},A1053)),0)),"")</f>
        <v>Other</v>
      </c>
      <c r="D1053" t="str" cm="1">
        <f t="array" ref="D1053">IFERROR(INDEX({"Small","Medium","Large"},MATCH(TRUE,ISNUMBER(SEARCH({"Small","Medium","Large"},A1053)),0)),"")</f>
        <v>Large</v>
      </c>
      <c r="E1053" t="str">
        <f t="shared" si="16"/>
        <v>0.052</v>
      </c>
    </row>
    <row r="1054" spans="1:5" x14ac:dyDescent="0.3">
      <c r="A1054" t="s">
        <v>1052</v>
      </c>
      <c r="B1054" t="str" cm="1">
        <f t="array" ref="B1054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redcedar"},A1054)),0)),"")</f>
        <v>Spruce</v>
      </c>
      <c r="C1054" t="str" cm="1">
        <f t="array" ref="C1054">IFERROR(INDEX({"Ridgetop","Other"},MATCH(TRUE,ISNUMBER(SEARCH({"Ridgetop","Other"},A1054)),0)),"")</f>
        <v>Ridgetop</v>
      </c>
      <c r="D1054" t="str" cm="1">
        <f t="array" ref="D1054">IFERROR(INDEX({"Small","Medium","Large"},MATCH(TRUE,ISNUMBER(SEARCH({"Small","Medium","Large"},A1054)),0)),"")</f>
        <v>Small</v>
      </c>
      <c r="E1054" t="str">
        <f t="shared" si="16"/>
        <v>0.141</v>
      </c>
    </row>
    <row r="1055" spans="1:5" x14ac:dyDescent="0.3">
      <c r="A1055" t="s">
        <v>1053</v>
      </c>
      <c r="B1055" t="str" cm="1">
        <f t="array" ref="B1055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redcedar"},A1055)),0)),"")</f>
        <v>Spruce</v>
      </c>
      <c r="C1055" t="str" cm="1">
        <f t="array" ref="C1055">IFERROR(INDEX({"Ridgetop","Other"},MATCH(TRUE,ISNUMBER(SEARCH({"Ridgetop","Other"},A1055)),0)),"")</f>
        <v>Ridgetop</v>
      </c>
      <c r="D1055" t="str" cm="1">
        <f t="array" ref="D1055">IFERROR(INDEX({"Small","Medium","Large"},MATCH(TRUE,ISNUMBER(SEARCH({"Small","Medium","Large"},A1055)),0)),"")</f>
        <v>Medium</v>
      </c>
      <c r="E1055" t="str">
        <f t="shared" si="16"/>
        <v>0.085</v>
      </c>
    </row>
    <row r="1056" spans="1:5" x14ac:dyDescent="0.3">
      <c r="A1056" t="s">
        <v>1054</v>
      </c>
      <c r="B1056" t="str" cm="1">
        <f t="array" ref="B1056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redcedar"},A1056)),0)),"")</f>
        <v>Spruce</v>
      </c>
      <c r="C1056" t="str" cm="1">
        <f t="array" ref="C1056">IFERROR(INDEX({"Ridgetop","Other"},MATCH(TRUE,ISNUMBER(SEARCH({"Ridgetop","Other"},A1056)),0)),"")</f>
        <v>Ridgetop</v>
      </c>
      <c r="D1056" t="str" cm="1">
        <f t="array" ref="D1056">IFERROR(INDEX({"Small","Medium","Large"},MATCH(TRUE,ISNUMBER(SEARCH({"Small","Medium","Large"},A1056)),0)),"")</f>
        <v>Large</v>
      </c>
      <c r="E1056" t="str">
        <f t="shared" si="16"/>
        <v>0.080</v>
      </c>
    </row>
    <row r="1057" spans="1:5" x14ac:dyDescent="0.3">
      <c r="A1057" t="s">
        <v>1055</v>
      </c>
      <c r="B1057" t="str" cm="1">
        <f t="array" ref="B1057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redcedar"},A1057)),0)),"")</f>
        <v>Spruce</v>
      </c>
      <c r="C1057" t="str" cm="1">
        <f t="array" ref="C1057">IFERROR(INDEX({"Ridgetop","Other"},MATCH(TRUE,ISNUMBER(SEARCH({"Ridgetop","Other"},A1057)),0)),"")</f>
        <v>Ridgetop</v>
      </c>
      <c r="D1057" t="str" cm="1">
        <f t="array" ref="D1057">IFERROR(INDEX({"Small","Medium","Large"},MATCH(TRUE,ISNUMBER(SEARCH({"Small","Medium","Large"},A1057)),0)),"")</f>
        <v>Small</v>
      </c>
      <c r="E1057" t="str">
        <f t="shared" si="16"/>
        <v>0.141</v>
      </c>
    </row>
    <row r="1058" spans="1:5" x14ac:dyDescent="0.3">
      <c r="A1058" t="s">
        <v>1056</v>
      </c>
      <c r="B1058" t="str" cm="1">
        <f t="array" ref="B1058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redcedar"},A1058)),0)),"")</f>
        <v>Spruce</v>
      </c>
      <c r="C1058" t="str" cm="1">
        <f t="array" ref="C1058">IFERROR(INDEX({"Ridgetop","Other"},MATCH(TRUE,ISNUMBER(SEARCH({"Ridgetop","Other"},A1058)),0)),"")</f>
        <v>Ridgetop</v>
      </c>
      <c r="D1058" t="str" cm="1">
        <f t="array" ref="D1058">IFERROR(INDEX({"Small","Medium","Large"},MATCH(TRUE,ISNUMBER(SEARCH({"Small","Medium","Large"},A1058)),0)),"")</f>
        <v>Medium</v>
      </c>
      <c r="E1058" t="str">
        <f t="shared" si="16"/>
        <v>0.085</v>
      </c>
    </row>
    <row r="1059" spans="1:5" x14ac:dyDescent="0.3">
      <c r="A1059" t="s">
        <v>1057</v>
      </c>
      <c r="B1059" t="str" cm="1">
        <f t="array" ref="B1059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redcedar"},A1059)),0)),"")</f>
        <v>Spruce</v>
      </c>
      <c r="C1059" t="str" cm="1">
        <f t="array" ref="C1059">IFERROR(INDEX({"Ridgetop","Other"},MATCH(TRUE,ISNUMBER(SEARCH({"Ridgetop","Other"},A1059)),0)),"")</f>
        <v>Ridgetop</v>
      </c>
      <c r="D1059" t="str" cm="1">
        <f t="array" ref="D1059">IFERROR(INDEX({"Small","Medium","Large"},MATCH(TRUE,ISNUMBER(SEARCH({"Small","Medium","Large"},A1059)),0)),"")</f>
        <v>Large</v>
      </c>
      <c r="E1059" t="str">
        <f t="shared" si="16"/>
        <v>0.080</v>
      </c>
    </row>
    <row r="1060" spans="1:5" x14ac:dyDescent="0.3">
      <c r="A1060" t="s">
        <v>1058</v>
      </c>
      <c r="B1060" t="str" cm="1">
        <f t="array" ref="B1060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redcedar"},A1060)),0)),"")</f>
        <v>Spruce</v>
      </c>
      <c r="C1060" t="str" cm="1">
        <f t="array" ref="C1060">IFERROR(INDEX({"Ridgetop","Other"},MATCH(TRUE,ISNUMBER(SEARCH({"Ridgetop","Other"},A1060)),0)),"")</f>
        <v>Ridgetop</v>
      </c>
      <c r="D1060" t="str" cm="1">
        <f t="array" ref="D1060">IFERROR(INDEX({"Small","Medium","Large"},MATCH(TRUE,ISNUMBER(SEARCH({"Small","Medium","Large"},A1060)),0)),"")</f>
        <v>Small</v>
      </c>
      <c r="E1060" t="str">
        <f t="shared" si="16"/>
        <v>0.144</v>
      </c>
    </row>
    <row r="1061" spans="1:5" x14ac:dyDescent="0.3">
      <c r="A1061" t="s">
        <v>1059</v>
      </c>
      <c r="B1061" t="str" cm="1">
        <f t="array" ref="B1061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redcedar"},A1061)),0)),"")</f>
        <v>Spruce</v>
      </c>
      <c r="C1061" t="str" cm="1">
        <f t="array" ref="C1061">IFERROR(INDEX({"Ridgetop","Other"},MATCH(TRUE,ISNUMBER(SEARCH({"Ridgetop","Other"},A1061)),0)),"")</f>
        <v>Ridgetop</v>
      </c>
      <c r="D1061" t="str" cm="1">
        <f t="array" ref="D1061">IFERROR(INDEX({"Small","Medium","Large"},MATCH(TRUE,ISNUMBER(SEARCH({"Small","Medium","Large"},A1061)),0)),"")</f>
        <v>Medium</v>
      </c>
      <c r="E1061" t="str">
        <f t="shared" si="16"/>
        <v>0.087</v>
      </c>
    </row>
    <row r="1062" spans="1:5" x14ac:dyDescent="0.3">
      <c r="A1062" t="s">
        <v>1060</v>
      </c>
      <c r="B1062" t="str" cm="1">
        <f t="array" ref="B1062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redcedar"},A1062)),0)),"")</f>
        <v>Spruce</v>
      </c>
      <c r="C1062" t="str" cm="1">
        <f t="array" ref="C1062">IFERROR(INDEX({"Ridgetop","Other"},MATCH(TRUE,ISNUMBER(SEARCH({"Ridgetop","Other"},A1062)),0)),"")</f>
        <v>Ridgetop</v>
      </c>
      <c r="D1062" t="str" cm="1">
        <f t="array" ref="D1062">IFERROR(INDEX({"Small","Medium","Large"},MATCH(TRUE,ISNUMBER(SEARCH({"Small","Medium","Large"},A1062)),0)),"")</f>
        <v>Large</v>
      </c>
      <c r="E1062" t="str">
        <f t="shared" si="16"/>
        <v>0.082</v>
      </c>
    </row>
    <row r="1063" spans="1:5" x14ac:dyDescent="0.3">
      <c r="A1063" t="s">
        <v>1061</v>
      </c>
      <c r="B1063" t="str" cm="1">
        <f t="array" ref="B1063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redcedar"},A1063)),0)),"")</f>
        <v>Spruce</v>
      </c>
      <c r="C1063" t="str" cm="1">
        <f t="array" ref="C1063">IFERROR(INDEX({"Ridgetop","Other"},MATCH(TRUE,ISNUMBER(SEARCH({"Ridgetop","Other"},A1063)),0)),"")</f>
        <v>Other</v>
      </c>
      <c r="D1063" t="str" cm="1">
        <f t="array" ref="D1063">IFERROR(INDEX({"Small","Medium","Large"},MATCH(TRUE,ISNUMBER(SEARCH({"Small","Medium","Large"},A1063)),0)),"")</f>
        <v>Small</v>
      </c>
      <c r="E1063" t="str">
        <f t="shared" si="16"/>
        <v>0.084</v>
      </c>
    </row>
    <row r="1064" spans="1:5" x14ac:dyDescent="0.3">
      <c r="A1064" t="s">
        <v>1062</v>
      </c>
      <c r="B1064" t="str" cm="1">
        <f t="array" ref="B1064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redcedar"},A1064)),0)),"")</f>
        <v>Spruce</v>
      </c>
      <c r="C1064" t="str" cm="1">
        <f t="array" ref="C1064">IFERROR(INDEX({"Ridgetop","Other"},MATCH(TRUE,ISNUMBER(SEARCH({"Ridgetop","Other"},A1064)),0)),"")</f>
        <v>Other</v>
      </c>
      <c r="D1064" t="str" cm="1">
        <f t="array" ref="D1064">IFERROR(INDEX({"Small","Medium","Large"},MATCH(TRUE,ISNUMBER(SEARCH({"Small","Medium","Large"},A1064)),0)),"")</f>
        <v>Medium</v>
      </c>
      <c r="E1064" t="str">
        <f t="shared" si="16"/>
        <v>0.051</v>
      </c>
    </row>
    <row r="1065" spans="1:5" x14ac:dyDescent="0.3">
      <c r="A1065" t="s">
        <v>1063</v>
      </c>
      <c r="B1065" t="str" cm="1">
        <f t="array" ref="B1065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redcedar"},A1065)),0)),"")</f>
        <v>Spruce</v>
      </c>
      <c r="C1065" t="str" cm="1">
        <f t="array" ref="C1065">IFERROR(INDEX({"Ridgetop","Other"},MATCH(TRUE,ISNUMBER(SEARCH({"Ridgetop","Other"},A1065)),0)),"")</f>
        <v>Other</v>
      </c>
      <c r="D1065" t="str" cm="1">
        <f t="array" ref="D1065">IFERROR(INDEX({"Small","Medium","Large"},MATCH(TRUE,ISNUMBER(SEARCH({"Small","Medium","Large"},A1065)),0)),"")</f>
        <v>Large</v>
      </c>
      <c r="E1065" t="str">
        <f t="shared" si="16"/>
        <v>0.047</v>
      </c>
    </row>
    <row r="1066" spans="1:5" x14ac:dyDescent="0.3">
      <c r="A1066" t="s">
        <v>1064</v>
      </c>
      <c r="B1066" t="str" cm="1">
        <f t="array" ref="B1066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redcedar"},A1066)),0)),"")</f>
        <v>Spruce</v>
      </c>
      <c r="C1066" t="str" cm="1">
        <f t="array" ref="C1066">IFERROR(INDEX({"Ridgetop","Other"},MATCH(TRUE,ISNUMBER(SEARCH({"Ridgetop","Other"},A1066)),0)),"")</f>
        <v>Other</v>
      </c>
      <c r="D1066" t="str" cm="1">
        <f t="array" ref="D1066">IFERROR(INDEX({"Small","Medium","Large"},MATCH(TRUE,ISNUMBER(SEARCH({"Small","Medium","Large"},A1066)),0)),"")</f>
        <v>Small</v>
      </c>
      <c r="E1066" t="str">
        <f t="shared" si="16"/>
        <v>0.091</v>
      </c>
    </row>
    <row r="1067" spans="1:5" x14ac:dyDescent="0.3">
      <c r="A1067" t="s">
        <v>1065</v>
      </c>
      <c r="B1067" t="str" cm="1">
        <f t="array" ref="B1067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redcedar"},A1067)),0)),"")</f>
        <v>Spruce</v>
      </c>
      <c r="C1067" t="str" cm="1">
        <f t="array" ref="C1067">IFERROR(INDEX({"Ridgetop","Other"},MATCH(TRUE,ISNUMBER(SEARCH({"Ridgetop","Other"},A1067)),0)),"")</f>
        <v>Other</v>
      </c>
      <c r="D1067" t="str" cm="1">
        <f t="array" ref="D1067">IFERROR(INDEX({"Small","Medium","Large"},MATCH(TRUE,ISNUMBER(SEARCH({"Small","Medium","Large"},A1067)),0)),"")</f>
        <v>Medium</v>
      </c>
      <c r="E1067" t="str">
        <f t="shared" si="16"/>
        <v>0.055</v>
      </c>
    </row>
    <row r="1068" spans="1:5" x14ac:dyDescent="0.3">
      <c r="A1068" t="s">
        <v>1066</v>
      </c>
      <c r="B1068" t="str" cm="1">
        <f t="array" ref="B1068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redcedar"},A1068)),0)),"")</f>
        <v>Spruce</v>
      </c>
      <c r="C1068" t="str" cm="1">
        <f t="array" ref="C1068">IFERROR(INDEX({"Ridgetop","Other"},MATCH(TRUE,ISNUMBER(SEARCH({"Ridgetop","Other"},A1068)),0)),"")</f>
        <v>Other</v>
      </c>
      <c r="D1068" t="str" cm="1">
        <f t="array" ref="D1068">IFERROR(INDEX({"Small","Medium","Large"},MATCH(TRUE,ISNUMBER(SEARCH({"Small","Medium","Large"},A1068)),0)),"")</f>
        <v>Large</v>
      </c>
      <c r="E1068" t="str">
        <f t="shared" si="16"/>
        <v>0.052</v>
      </c>
    </row>
    <row r="1069" spans="1:5" x14ac:dyDescent="0.3">
      <c r="A1069" t="s">
        <v>1067</v>
      </c>
      <c r="B1069" t="str" cm="1">
        <f t="array" ref="B1069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redcedar"},A1069)),0)),"")</f>
        <v>Spruce</v>
      </c>
      <c r="C1069" t="str" cm="1">
        <f t="array" ref="C1069">IFERROR(INDEX({"Ridgetop","Other"},MATCH(TRUE,ISNUMBER(SEARCH({"Ridgetop","Other"},A1069)),0)),"")</f>
        <v>Other</v>
      </c>
      <c r="D1069" t="str" cm="1">
        <f t="array" ref="D1069">IFERROR(INDEX({"Small","Medium","Large"},MATCH(TRUE,ISNUMBER(SEARCH({"Small","Medium","Large"},A1069)),0)),"")</f>
        <v>Small</v>
      </c>
      <c r="E1069" t="str">
        <f t="shared" si="16"/>
        <v>0.091</v>
      </c>
    </row>
    <row r="1070" spans="1:5" x14ac:dyDescent="0.3">
      <c r="A1070" t="s">
        <v>1068</v>
      </c>
      <c r="B1070" t="str" cm="1">
        <f t="array" ref="B1070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redcedar"},A1070)),0)),"")</f>
        <v>Spruce</v>
      </c>
      <c r="C1070" t="str" cm="1">
        <f t="array" ref="C1070">IFERROR(INDEX({"Ridgetop","Other"},MATCH(TRUE,ISNUMBER(SEARCH({"Ridgetop","Other"},A1070)),0)),"")</f>
        <v>Other</v>
      </c>
      <c r="D1070" t="str" cm="1">
        <f t="array" ref="D1070">IFERROR(INDEX({"Small","Medium","Large"},MATCH(TRUE,ISNUMBER(SEARCH({"Small","Medium","Large"},A1070)),0)),"")</f>
        <v>Medium</v>
      </c>
      <c r="E1070" t="str">
        <f t="shared" si="16"/>
        <v>0.055</v>
      </c>
    </row>
    <row r="1071" spans="1:5" x14ac:dyDescent="0.3">
      <c r="A1071" t="s">
        <v>1069</v>
      </c>
      <c r="B1071" t="str" cm="1">
        <f t="array" ref="B1071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redcedar"},A1071)),0)),"")</f>
        <v>Spruce</v>
      </c>
      <c r="C1071" t="str" cm="1">
        <f t="array" ref="C1071">IFERROR(INDEX({"Ridgetop","Other"},MATCH(TRUE,ISNUMBER(SEARCH({"Ridgetop","Other"},A1071)),0)),"")</f>
        <v>Other</v>
      </c>
      <c r="D1071" t="str" cm="1">
        <f t="array" ref="D1071">IFERROR(INDEX({"Small","Medium","Large"},MATCH(TRUE,ISNUMBER(SEARCH({"Small","Medium","Large"},A1071)),0)),"")</f>
        <v>Large</v>
      </c>
      <c r="E1071" t="str">
        <f t="shared" si="16"/>
        <v>0.052</v>
      </c>
    </row>
    <row r="1072" spans="1:5" x14ac:dyDescent="0.3">
      <c r="A1072" t="s">
        <v>1070</v>
      </c>
      <c r="B1072" t="str" cm="1">
        <f t="array" ref="B1072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redcedar"},A1072)),0)),"")</f>
        <v>Spruce</v>
      </c>
      <c r="C1072" t="str" cm="1">
        <f t="array" ref="C1072">IFERROR(INDEX({"Ridgetop","Other"},MATCH(TRUE,ISNUMBER(SEARCH({"Ridgetop","Other"},A1072)),0)),"")</f>
        <v>Ridgetop</v>
      </c>
      <c r="D1072" t="str" cm="1">
        <f t="array" ref="D1072">IFERROR(INDEX({"Small","Medium","Large"},MATCH(TRUE,ISNUMBER(SEARCH({"Small","Medium","Large"},A1072)),0)),"")</f>
        <v>Small</v>
      </c>
      <c r="E1072" t="str">
        <f t="shared" si="16"/>
        <v>0.152</v>
      </c>
    </row>
    <row r="1073" spans="1:5" x14ac:dyDescent="0.3">
      <c r="A1073" t="s">
        <v>1071</v>
      </c>
      <c r="B1073" t="str" cm="1">
        <f t="array" ref="B1073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redcedar"},A1073)),0)),"")</f>
        <v>Spruce</v>
      </c>
      <c r="C1073" t="str" cm="1">
        <f t="array" ref="C1073">IFERROR(INDEX({"Ridgetop","Other"},MATCH(TRUE,ISNUMBER(SEARCH({"Ridgetop","Other"},A1073)),0)),"")</f>
        <v>Ridgetop</v>
      </c>
      <c r="D1073" t="str" cm="1">
        <f t="array" ref="D1073">IFERROR(INDEX({"Small","Medium","Large"},MATCH(TRUE,ISNUMBER(SEARCH({"Small","Medium","Large"},A1073)),0)),"")</f>
        <v>Medium</v>
      </c>
      <c r="E1073" t="str">
        <f t="shared" si="16"/>
        <v>0.092</v>
      </c>
    </row>
    <row r="1074" spans="1:5" x14ac:dyDescent="0.3">
      <c r="A1074" t="s">
        <v>1072</v>
      </c>
      <c r="B1074" t="str" cm="1">
        <f t="array" ref="B1074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redcedar"},A1074)),0)),"")</f>
        <v>Spruce</v>
      </c>
      <c r="C1074" t="str" cm="1">
        <f t="array" ref="C1074">IFERROR(INDEX({"Ridgetop","Other"},MATCH(TRUE,ISNUMBER(SEARCH({"Ridgetop","Other"},A1074)),0)),"")</f>
        <v>Ridgetop</v>
      </c>
      <c r="D1074" t="str" cm="1">
        <f t="array" ref="D1074">IFERROR(INDEX({"Small","Medium","Large"},MATCH(TRUE,ISNUMBER(SEARCH({"Small","Medium","Large"},A1074)),0)),"")</f>
        <v>Large</v>
      </c>
      <c r="E1074" t="str">
        <f t="shared" si="16"/>
        <v>0.086</v>
      </c>
    </row>
    <row r="1075" spans="1:5" x14ac:dyDescent="0.3">
      <c r="A1075" t="s">
        <v>1073</v>
      </c>
      <c r="B1075" t="str" cm="1">
        <f t="array" ref="B1075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redcedar"},A1075)),0)),"")</f>
        <v>Spruce</v>
      </c>
      <c r="C1075" t="str" cm="1">
        <f t="array" ref="C1075">IFERROR(INDEX({"Ridgetop","Other"},MATCH(TRUE,ISNUMBER(SEARCH({"Ridgetop","Other"},A1075)),0)),"")</f>
        <v>Ridgetop</v>
      </c>
      <c r="D1075" t="str" cm="1">
        <f t="array" ref="D1075">IFERROR(INDEX({"Small","Medium","Large"},MATCH(TRUE,ISNUMBER(SEARCH({"Small","Medium","Large"},A1075)),0)),"")</f>
        <v>Small</v>
      </c>
      <c r="E1075" t="str">
        <f t="shared" si="16"/>
        <v>0.152</v>
      </c>
    </row>
    <row r="1076" spans="1:5" x14ac:dyDescent="0.3">
      <c r="A1076" t="s">
        <v>1074</v>
      </c>
      <c r="B1076" t="str" cm="1">
        <f t="array" ref="B1076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redcedar"},A1076)),0)),"")</f>
        <v>Spruce</v>
      </c>
      <c r="C1076" t="str" cm="1">
        <f t="array" ref="C1076">IFERROR(INDEX({"Ridgetop","Other"},MATCH(TRUE,ISNUMBER(SEARCH({"Ridgetop","Other"},A1076)),0)),"")</f>
        <v>Ridgetop</v>
      </c>
      <c r="D1076" t="str" cm="1">
        <f t="array" ref="D1076">IFERROR(INDEX({"Small","Medium","Large"},MATCH(TRUE,ISNUMBER(SEARCH({"Small","Medium","Large"},A1076)),0)),"")</f>
        <v>Medium</v>
      </c>
      <c r="E1076" t="str">
        <f t="shared" si="16"/>
        <v>0.092</v>
      </c>
    </row>
    <row r="1077" spans="1:5" x14ac:dyDescent="0.3">
      <c r="A1077" t="s">
        <v>1075</v>
      </c>
      <c r="B1077" t="str" cm="1">
        <f t="array" ref="B1077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redcedar"},A1077)),0)),"")</f>
        <v>Spruce</v>
      </c>
      <c r="C1077" t="str" cm="1">
        <f t="array" ref="C1077">IFERROR(INDEX({"Ridgetop","Other"},MATCH(TRUE,ISNUMBER(SEARCH({"Ridgetop","Other"},A1077)),0)),"")</f>
        <v>Ridgetop</v>
      </c>
      <c r="D1077" t="str" cm="1">
        <f t="array" ref="D1077">IFERROR(INDEX({"Small","Medium","Large"},MATCH(TRUE,ISNUMBER(SEARCH({"Small","Medium","Large"},A1077)),0)),"")</f>
        <v>Large</v>
      </c>
      <c r="E1077" t="str">
        <f t="shared" si="16"/>
        <v>0.086</v>
      </c>
    </row>
    <row r="1078" spans="1:5" x14ac:dyDescent="0.3">
      <c r="A1078" t="s">
        <v>1076</v>
      </c>
      <c r="B1078" t="str" cm="1">
        <f t="array" ref="B1078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redcedar"},A1078)),0)),"")</f>
        <v>Spruce</v>
      </c>
      <c r="C1078" t="str" cm="1">
        <f t="array" ref="C1078">IFERROR(INDEX({"Ridgetop","Other"},MATCH(TRUE,ISNUMBER(SEARCH({"Ridgetop","Other"},A1078)),0)),"")</f>
        <v>Ridgetop</v>
      </c>
      <c r="D1078" t="str" cm="1">
        <f t="array" ref="D1078">IFERROR(INDEX({"Small","Medium","Large"},MATCH(TRUE,ISNUMBER(SEARCH({"Small","Medium","Large"},A1078)),0)),"")</f>
        <v>Small</v>
      </c>
      <c r="E1078" t="str">
        <f t="shared" si="16"/>
        <v>0.152</v>
      </c>
    </row>
    <row r="1079" spans="1:5" x14ac:dyDescent="0.3">
      <c r="A1079" t="s">
        <v>1077</v>
      </c>
      <c r="B1079" t="str" cm="1">
        <f t="array" ref="B1079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redcedar"},A1079)),0)),"")</f>
        <v>Spruce</v>
      </c>
      <c r="C1079" t="str" cm="1">
        <f t="array" ref="C1079">IFERROR(INDEX({"Ridgetop","Other"},MATCH(TRUE,ISNUMBER(SEARCH({"Ridgetop","Other"},A1079)),0)),"")</f>
        <v>Ridgetop</v>
      </c>
      <c r="D1079" t="str" cm="1">
        <f t="array" ref="D1079">IFERROR(INDEX({"Small","Medium","Large"},MATCH(TRUE,ISNUMBER(SEARCH({"Small","Medium","Large"},A1079)),0)),"")</f>
        <v>Medium</v>
      </c>
      <c r="E1079" t="str">
        <f t="shared" si="16"/>
        <v>0.092</v>
      </c>
    </row>
    <row r="1080" spans="1:5" x14ac:dyDescent="0.3">
      <c r="A1080" t="s">
        <v>1078</v>
      </c>
      <c r="B1080" t="str" cm="1">
        <f t="array" ref="B1080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hemlock"},A1080)),0)),"")</f>
        <v>Spruce</v>
      </c>
      <c r="C1080" t="str" cm="1">
        <f t="array" ref="C1080">IFERROR(INDEX({"Ridgetop","Other"},MATCH(TRUE,ISNUMBER(SEARCH({"Ridgetop","Other"},A1080)),0)),"")</f>
        <v>Ridgetop</v>
      </c>
      <c r="D1080" t="str" cm="1">
        <f t="array" ref="D1080">IFERROR(INDEX({"Small","Medium","Large"},MATCH(TRUE,ISNUMBER(SEARCH({"Small","Medium","Large"},A1080)),0)),"")</f>
        <v>Large</v>
      </c>
      <c r="E1080" t="str">
        <f t="shared" si="16"/>
        <v>0.086</v>
      </c>
    </row>
    <row r="1081" spans="1:5" x14ac:dyDescent="0.3">
      <c r="A1081" t="s">
        <v>1079</v>
      </c>
      <c r="B1081" t="str" cm="1">
        <f t="array" ref="B1081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hemlock"},A1081)),0)),"")</f>
        <v>Western hemlock</v>
      </c>
      <c r="C1081" t="str" cm="1">
        <f t="array" ref="C1081">IFERROR(INDEX({"Ridgetop","Other"},MATCH(TRUE,ISNUMBER(SEARCH({"Ridgetop","Other"},A1081)),0)),"")</f>
        <v>Other</v>
      </c>
      <c r="D1081" t="str" cm="1">
        <f t="array" ref="D1081">IFERROR(INDEX({"Small","Medium","Large"},MATCH(TRUE,ISNUMBER(SEARCH({"Small","Medium","Large"},A1081)),0)),"")</f>
        <v>Small</v>
      </c>
      <c r="E1081" t="str">
        <f t="shared" si="16"/>
        <v>0.053</v>
      </c>
    </row>
    <row r="1082" spans="1:5" x14ac:dyDescent="0.3">
      <c r="A1082" t="s">
        <v>1080</v>
      </c>
      <c r="B1082" t="str" cm="1">
        <f t="array" ref="B1082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hemlock"},A1082)),0)),"")</f>
        <v>Western hemlock</v>
      </c>
      <c r="C1082" t="str" cm="1">
        <f t="array" ref="C1082">IFERROR(INDEX({"Ridgetop","Other"},MATCH(TRUE,ISNUMBER(SEARCH({"Ridgetop","Other"},A1082)),0)),"")</f>
        <v>Other</v>
      </c>
      <c r="D1082" t="str" cm="1">
        <f t="array" ref="D1082">IFERROR(INDEX({"Small","Medium","Large"},MATCH(TRUE,ISNUMBER(SEARCH({"Small","Medium","Large"},A1082)),0)),"")</f>
        <v>Medium</v>
      </c>
      <c r="E1082" t="str">
        <f t="shared" si="16"/>
        <v>0.032</v>
      </c>
    </row>
    <row r="1083" spans="1:5" x14ac:dyDescent="0.3">
      <c r="A1083" t="s">
        <v>1081</v>
      </c>
      <c r="B1083" t="str" cm="1">
        <f t="array" ref="B1083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hemlock"},A1083)),0)),"")</f>
        <v>Western hemlock</v>
      </c>
      <c r="C1083" t="str" cm="1">
        <f t="array" ref="C1083">IFERROR(INDEX({"Ridgetop","Other"},MATCH(TRUE,ISNUMBER(SEARCH({"Ridgetop","Other"},A1083)),0)),"")</f>
        <v>Other</v>
      </c>
      <c r="D1083" t="str" cm="1">
        <f t="array" ref="D1083">IFERROR(INDEX({"Small","Medium","Large"},MATCH(TRUE,ISNUMBER(SEARCH({"Small","Medium","Large"},A1083)),0)),"")</f>
        <v>Large</v>
      </c>
      <c r="E1083" t="str">
        <f t="shared" si="16"/>
        <v>0.018</v>
      </c>
    </row>
    <row r="1084" spans="1:5" x14ac:dyDescent="0.3">
      <c r="A1084" t="s">
        <v>1082</v>
      </c>
      <c r="B1084" t="str" cm="1">
        <f t="array" ref="B1084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hemlock"},A1084)),0)),"")</f>
        <v>Western hemlock</v>
      </c>
      <c r="C1084" t="str" cm="1">
        <f t="array" ref="C1084">IFERROR(INDEX({"Ridgetop","Other"},MATCH(TRUE,ISNUMBER(SEARCH({"Ridgetop","Other"},A1084)),0)),"")</f>
        <v>Other</v>
      </c>
      <c r="D1084" t="str" cm="1">
        <f t="array" ref="D1084">IFERROR(INDEX({"Small","Medium","Large"},MATCH(TRUE,ISNUMBER(SEARCH({"Small","Medium","Large"},A1084)),0)),"")</f>
        <v>Small</v>
      </c>
      <c r="E1084" t="str">
        <f t="shared" si="16"/>
        <v>0.059</v>
      </c>
    </row>
    <row r="1085" spans="1:5" x14ac:dyDescent="0.3">
      <c r="A1085" t="s">
        <v>1083</v>
      </c>
      <c r="B1085" t="str" cm="1">
        <f t="array" ref="B1085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hemlock"},A1085)),0)),"")</f>
        <v>Western hemlock</v>
      </c>
      <c r="C1085" t="str" cm="1">
        <f t="array" ref="C1085">IFERROR(INDEX({"Ridgetop","Other"},MATCH(TRUE,ISNUMBER(SEARCH({"Ridgetop","Other"},A1085)),0)),"")</f>
        <v>Other</v>
      </c>
      <c r="D1085" t="str" cm="1">
        <f t="array" ref="D1085">IFERROR(INDEX({"Small","Medium","Large"},MATCH(TRUE,ISNUMBER(SEARCH({"Small","Medium","Large"},A1085)),0)),"")</f>
        <v>Medium</v>
      </c>
      <c r="E1085" t="str">
        <f t="shared" si="16"/>
        <v>0.036</v>
      </c>
    </row>
    <row r="1086" spans="1:5" x14ac:dyDescent="0.3">
      <c r="A1086" t="s">
        <v>1084</v>
      </c>
      <c r="B1086" t="str" cm="1">
        <f t="array" ref="B1086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hemlock"},A1086)),0)),"")</f>
        <v>Western hemlock</v>
      </c>
      <c r="C1086" t="str" cm="1">
        <f t="array" ref="C1086">IFERROR(INDEX({"Ridgetop","Other"},MATCH(TRUE,ISNUMBER(SEARCH({"Ridgetop","Other"},A1086)),0)),"")</f>
        <v>Other</v>
      </c>
      <c r="D1086" t="str" cm="1">
        <f t="array" ref="D1086">IFERROR(INDEX({"Small","Medium","Large"},MATCH(TRUE,ISNUMBER(SEARCH({"Small","Medium","Large"},A1086)),0)),"")</f>
        <v>Large</v>
      </c>
      <c r="E1086" t="str">
        <f t="shared" si="16"/>
        <v>0.020</v>
      </c>
    </row>
    <row r="1087" spans="1:5" x14ac:dyDescent="0.3">
      <c r="A1087" t="s">
        <v>1085</v>
      </c>
      <c r="B1087" t="str" cm="1">
        <f t="array" ref="B1087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hemlock"},A1087)),0)),"")</f>
        <v>Western hemlock</v>
      </c>
      <c r="C1087" t="str" cm="1">
        <f t="array" ref="C1087">IFERROR(INDEX({"Ridgetop","Other"},MATCH(TRUE,ISNUMBER(SEARCH({"Ridgetop","Other"},A1087)),0)),"")</f>
        <v>Other</v>
      </c>
      <c r="D1087" t="str" cm="1">
        <f t="array" ref="D1087">IFERROR(INDEX({"Small","Medium","Large"},MATCH(TRUE,ISNUMBER(SEARCH({"Small","Medium","Large"},A1087)),0)),"")</f>
        <v>Small</v>
      </c>
      <c r="E1087" t="str">
        <f t="shared" si="16"/>
        <v>0.073</v>
      </c>
    </row>
    <row r="1088" spans="1:5" x14ac:dyDescent="0.3">
      <c r="A1088" t="s">
        <v>1086</v>
      </c>
      <c r="B1088" t="str" cm="1">
        <f t="array" ref="B1088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hemlock"},A1088)),0)),"")</f>
        <v>Western hemlock</v>
      </c>
      <c r="C1088" t="str" cm="1">
        <f t="array" ref="C1088">IFERROR(INDEX({"Ridgetop","Other"},MATCH(TRUE,ISNUMBER(SEARCH({"Ridgetop","Other"},A1088)),0)),"")</f>
        <v>Other</v>
      </c>
      <c r="D1088" t="str" cm="1">
        <f t="array" ref="D1088">IFERROR(INDEX({"Small","Medium","Large"},MATCH(TRUE,ISNUMBER(SEARCH({"Small","Medium","Large"},A1088)),0)),"")</f>
        <v>Medium</v>
      </c>
      <c r="E1088" t="str">
        <f t="shared" si="16"/>
        <v>0.044</v>
      </c>
    </row>
    <row r="1089" spans="1:5" x14ac:dyDescent="0.3">
      <c r="A1089" t="s">
        <v>1087</v>
      </c>
      <c r="B1089" t="str" cm="1">
        <f t="array" ref="B1089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hemlock"},A1089)),0)),"")</f>
        <v>Western hemlock</v>
      </c>
      <c r="C1089" t="str" cm="1">
        <f t="array" ref="C1089">IFERROR(INDEX({"Ridgetop","Other"},MATCH(TRUE,ISNUMBER(SEARCH({"Ridgetop","Other"},A1089)),0)),"")</f>
        <v>Other</v>
      </c>
      <c r="D1089" t="str" cm="1">
        <f t="array" ref="D1089">IFERROR(INDEX({"Small","Medium","Large"},MATCH(TRUE,ISNUMBER(SEARCH({"Small","Medium","Large"},A1089)),0)),"")</f>
        <v>Large</v>
      </c>
      <c r="E1089" t="str">
        <f t="shared" si="16"/>
        <v>0.024</v>
      </c>
    </row>
    <row r="1090" spans="1:5" x14ac:dyDescent="0.3">
      <c r="A1090" t="s">
        <v>1088</v>
      </c>
      <c r="B1090" t="str" cm="1">
        <f t="array" ref="B1090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hemlock"},A1090)),0)),"")</f>
        <v>Western hemlock</v>
      </c>
      <c r="C1090" t="str" cm="1">
        <f t="array" ref="C1090">IFERROR(INDEX({"Ridgetop","Other"},MATCH(TRUE,ISNUMBER(SEARCH({"Ridgetop","Other"},A1090)),0)),"")</f>
        <v>Ridgetop</v>
      </c>
      <c r="D1090" t="str" cm="1">
        <f t="array" ref="D1090">IFERROR(INDEX({"Small","Medium","Large"},MATCH(TRUE,ISNUMBER(SEARCH({"Small","Medium","Large"},A1090)),0)),"")</f>
        <v>Small</v>
      </c>
      <c r="E1090" t="str">
        <f t="shared" si="16"/>
        <v>0.095</v>
      </c>
    </row>
    <row r="1091" spans="1:5" x14ac:dyDescent="0.3">
      <c r="A1091" t="s">
        <v>1089</v>
      </c>
      <c r="B1091" t="str" cm="1">
        <f t="array" ref="B1091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hemlock"},A1091)),0)),"")</f>
        <v>Western hemlock</v>
      </c>
      <c r="C1091" t="str" cm="1">
        <f t="array" ref="C1091">IFERROR(INDEX({"Ridgetop","Other"},MATCH(TRUE,ISNUMBER(SEARCH({"Ridgetop","Other"},A1091)),0)),"")</f>
        <v>Ridgetop</v>
      </c>
      <c r="D1091" t="str" cm="1">
        <f t="array" ref="D1091">IFERROR(INDEX({"Small","Medium","Large"},MATCH(TRUE,ISNUMBER(SEARCH({"Small","Medium","Large"},A1091)),0)),"")</f>
        <v>Medium</v>
      </c>
      <c r="E1091" t="str">
        <f t="shared" ref="E1091:E1154" si="17">RIGHT(A1091,LEN(A1091)-FIND("@",SUBSTITUTE(A1091," ","@",LEN(A1091)-LEN(SUBSTITUTE(A1091," ","")))))</f>
        <v>0.057</v>
      </c>
    </row>
    <row r="1092" spans="1:5" x14ac:dyDescent="0.3">
      <c r="A1092" t="s">
        <v>1090</v>
      </c>
      <c r="B1092" t="str" cm="1">
        <f t="array" ref="B1092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hemlock"},A1092)),0)),"")</f>
        <v>Western hemlock</v>
      </c>
      <c r="C1092" t="str" cm="1">
        <f t="array" ref="C1092">IFERROR(INDEX({"Ridgetop","Other"},MATCH(TRUE,ISNUMBER(SEARCH({"Ridgetop","Other"},A1092)),0)),"")</f>
        <v>Ridgetop</v>
      </c>
      <c r="D1092" t="str" cm="1">
        <f t="array" ref="D1092">IFERROR(INDEX({"Small","Medium","Large"},MATCH(TRUE,ISNUMBER(SEARCH({"Small","Medium","Large"},A1092)),0)),"")</f>
        <v>Large</v>
      </c>
      <c r="E1092" t="str">
        <f t="shared" si="17"/>
        <v>0.031</v>
      </c>
    </row>
    <row r="1093" spans="1:5" x14ac:dyDescent="0.3">
      <c r="A1093" t="s">
        <v>1091</v>
      </c>
      <c r="B1093" t="str" cm="1">
        <f t="array" ref="B1093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hemlock"},A1093)),0)),"")</f>
        <v>Western hemlock</v>
      </c>
      <c r="C1093" t="str" cm="1">
        <f t="array" ref="C1093">IFERROR(INDEX({"Ridgetop","Other"},MATCH(TRUE,ISNUMBER(SEARCH({"Ridgetop","Other"},A1093)),0)),"")</f>
        <v>Ridgetop</v>
      </c>
      <c r="D1093" t="str" cm="1">
        <f t="array" ref="D1093">IFERROR(INDEX({"Small","Medium","Large"},MATCH(TRUE,ISNUMBER(SEARCH({"Small","Medium","Large"},A1093)),0)),"")</f>
        <v>Small</v>
      </c>
      <c r="E1093" t="str">
        <f t="shared" si="17"/>
        <v>0.098</v>
      </c>
    </row>
    <row r="1094" spans="1:5" x14ac:dyDescent="0.3">
      <c r="A1094" t="s">
        <v>1092</v>
      </c>
      <c r="B1094" t="str" cm="1">
        <f t="array" ref="B1094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hemlock"},A1094)),0)),"")</f>
        <v>Western hemlock</v>
      </c>
      <c r="C1094" t="str" cm="1">
        <f t="array" ref="C1094">IFERROR(INDEX({"Ridgetop","Other"},MATCH(TRUE,ISNUMBER(SEARCH({"Ridgetop","Other"},A1094)),0)),"")</f>
        <v>Ridgetop</v>
      </c>
      <c r="D1094" t="str" cm="1">
        <f t="array" ref="D1094">IFERROR(INDEX({"Small","Medium","Large"},MATCH(TRUE,ISNUMBER(SEARCH({"Small","Medium","Large"},A1094)),0)),"")</f>
        <v>Medium</v>
      </c>
      <c r="E1094" t="str">
        <f t="shared" si="17"/>
        <v>0.059</v>
      </c>
    </row>
    <row r="1095" spans="1:5" x14ac:dyDescent="0.3">
      <c r="A1095" t="s">
        <v>1093</v>
      </c>
      <c r="B1095" t="str" cm="1">
        <f t="array" ref="B1095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hemlock"},A1095)),0)),"")</f>
        <v>Western hemlock</v>
      </c>
      <c r="C1095" t="str" cm="1">
        <f t="array" ref="C1095">IFERROR(INDEX({"Ridgetop","Other"},MATCH(TRUE,ISNUMBER(SEARCH({"Ridgetop","Other"},A1095)),0)),"")</f>
        <v>Ridgetop</v>
      </c>
      <c r="D1095" t="str" cm="1">
        <f t="array" ref="D1095">IFERROR(INDEX({"Small","Medium","Large"},MATCH(TRUE,ISNUMBER(SEARCH({"Small","Medium","Large"},A1095)),0)),"")</f>
        <v>Large</v>
      </c>
      <c r="E1095" t="str">
        <f t="shared" si="17"/>
        <v>0.032</v>
      </c>
    </row>
    <row r="1096" spans="1:5" x14ac:dyDescent="0.3">
      <c r="A1096" t="s">
        <v>1094</v>
      </c>
      <c r="B1096" t="str" cm="1">
        <f t="array" ref="B1096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hemlock"},A1096)),0)),"")</f>
        <v>Western hemlock</v>
      </c>
      <c r="C1096" t="str" cm="1">
        <f t="array" ref="C1096">IFERROR(INDEX({"Ridgetop","Other"},MATCH(TRUE,ISNUMBER(SEARCH({"Ridgetop","Other"},A1096)),0)),"")</f>
        <v>Ridgetop</v>
      </c>
      <c r="D1096" t="str" cm="1">
        <f t="array" ref="D1096">IFERROR(INDEX({"Small","Medium","Large"},MATCH(TRUE,ISNUMBER(SEARCH({"Small","Medium","Large"},A1096)),0)),"")</f>
        <v>Small</v>
      </c>
      <c r="E1096" t="str">
        <f t="shared" si="17"/>
        <v>0.104</v>
      </c>
    </row>
    <row r="1097" spans="1:5" x14ac:dyDescent="0.3">
      <c r="A1097" t="s">
        <v>1095</v>
      </c>
      <c r="B1097" t="str" cm="1">
        <f t="array" ref="B1097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hemlock"},A1097)),0)),"")</f>
        <v>Western hemlock</v>
      </c>
      <c r="C1097" t="str" cm="1">
        <f t="array" ref="C1097">IFERROR(INDEX({"Ridgetop","Other"},MATCH(TRUE,ISNUMBER(SEARCH({"Ridgetop","Other"},A1097)),0)),"")</f>
        <v>Ridgetop</v>
      </c>
      <c r="D1097" t="str" cm="1">
        <f t="array" ref="D1097">IFERROR(INDEX({"Small","Medium","Large"},MATCH(TRUE,ISNUMBER(SEARCH({"Small","Medium","Large"},A1097)),0)),"")</f>
        <v>Medium</v>
      </c>
      <c r="E1097" t="str">
        <f t="shared" si="17"/>
        <v>0.063</v>
      </c>
    </row>
    <row r="1098" spans="1:5" x14ac:dyDescent="0.3">
      <c r="A1098" t="s">
        <v>1096</v>
      </c>
      <c r="B1098" t="str" cm="1">
        <f t="array" ref="B1098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hemlock"},A1098)),0)),"")</f>
        <v>Western hemlock</v>
      </c>
      <c r="C1098" t="str" cm="1">
        <f t="array" ref="C1098">IFERROR(INDEX({"Ridgetop","Other"},MATCH(TRUE,ISNUMBER(SEARCH({"Ridgetop","Other"},A1098)),0)),"")</f>
        <v>Ridgetop</v>
      </c>
      <c r="D1098" t="str" cm="1">
        <f t="array" ref="D1098">IFERROR(INDEX({"Small","Medium","Large"},MATCH(TRUE,ISNUMBER(SEARCH({"Small","Medium","Large"},A1098)),0)),"")</f>
        <v>Large</v>
      </c>
      <c r="E1098" t="str">
        <f t="shared" si="17"/>
        <v>0.034</v>
      </c>
    </row>
    <row r="1099" spans="1:5" x14ac:dyDescent="0.3">
      <c r="A1099" t="s">
        <v>1097</v>
      </c>
      <c r="B1099" t="str" cm="1">
        <f t="array" ref="B1099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hemlock"},A1099)),0)),"")</f>
        <v>Western hemlock</v>
      </c>
      <c r="C1099" t="str" cm="1">
        <f t="array" ref="C1099">IFERROR(INDEX({"Ridgetop","Other"},MATCH(TRUE,ISNUMBER(SEARCH({"Ridgetop","Other"},A1099)),0)),"")</f>
        <v>Other</v>
      </c>
      <c r="D1099" t="str" cm="1">
        <f t="array" ref="D1099">IFERROR(INDEX({"Small","Medium","Large"},MATCH(TRUE,ISNUMBER(SEARCH({"Small","Medium","Large"},A1099)),0)),"")</f>
        <v>Small</v>
      </c>
      <c r="E1099" t="str">
        <f t="shared" si="17"/>
        <v>0.067</v>
      </c>
    </row>
    <row r="1100" spans="1:5" x14ac:dyDescent="0.3">
      <c r="A1100" t="s">
        <v>1098</v>
      </c>
      <c r="B1100" t="str" cm="1">
        <f t="array" ref="B1100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hemlock"},A1100)),0)),"")</f>
        <v>Western hemlock</v>
      </c>
      <c r="C1100" t="str" cm="1">
        <f t="array" ref="C1100">IFERROR(INDEX({"Ridgetop","Other"},MATCH(TRUE,ISNUMBER(SEARCH({"Ridgetop","Other"},A1100)),0)),"")</f>
        <v>Other</v>
      </c>
      <c r="D1100" t="str" cm="1">
        <f t="array" ref="D1100">IFERROR(INDEX({"Small","Medium","Large"},MATCH(TRUE,ISNUMBER(SEARCH({"Small","Medium","Large"},A1100)),0)),"")</f>
        <v>Medium</v>
      </c>
      <c r="E1100" t="str">
        <f t="shared" si="17"/>
        <v>0.041</v>
      </c>
    </row>
    <row r="1101" spans="1:5" x14ac:dyDescent="0.3">
      <c r="A1101" t="s">
        <v>1099</v>
      </c>
      <c r="B1101" t="str" cm="1">
        <f t="array" ref="B1101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hemlock"},A1101)),0)),"")</f>
        <v>Western hemlock</v>
      </c>
      <c r="C1101" t="str" cm="1">
        <f t="array" ref="C1101">IFERROR(INDEX({"Ridgetop","Other"},MATCH(TRUE,ISNUMBER(SEARCH({"Ridgetop","Other"},A1101)),0)),"")</f>
        <v>Other</v>
      </c>
      <c r="D1101" t="str" cm="1">
        <f t="array" ref="D1101">IFERROR(INDEX({"Small","Medium","Large"},MATCH(TRUE,ISNUMBER(SEARCH({"Small","Medium","Large"},A1101)),0)),"")</f>
        <v>Large</v>
      </c>
      <c r="E1101" t="str">
        <f t="shared" si="17"/>
        <v>0.022</v>
      </c>
    </row>
    <row r="1102" spans="1:5" x14ac:dyDescent="0.3">
      <c r="A1102" t="s">
        <v>1100</v>
      </c>
      <c r="B1102" t="str" cm="1">
        <f t="array" ref="B1102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hemlock"},A1102)),0)),"")</f>
        <v>Western hemlock</v>
      </c>
      <c r="C1102" t="str" cm="1">
        <f t="array" ref="C1102">IFERROR(INDEX({"Ridgetop","Other"},MATCH(TRUE,ISNUMBER(SEARCH({"Ridgetop","Other"},A1102)),0)),"")</f>
        <v>Other</v>
      </c>
      <c r="D1102" t="str" cm="1">
        <f t="array" ref="D1102">IFERROR(INDEX({"Small","Medium","Large"},MATCH(TRUE,ISNUMBER(SEARCH({"Small","Medium","Large"},A1102)),0)),"")</f>
        <v>Small</v>
      </c>
      <c r="E1102" t="str">
        <f t="shared" si="17"/>
        <v>0.073</v>
      </c>
    </row>
    <row r="1103" spans="1:5" x14ac:dyDescent="0.3">
      <c r="A1103" t="s">
        <v>1101</v>
      </c>
      <c r="B1103" t="str" cm="1">
        <f t="array" ref="B1103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hemlock"},A1103)),0)),"")</f>
        <v>Western hemlock</v>
      </c>
      <c r="C1103" t="str" cm="1">
        <f t="array" ref="C1103">IFERROR(INDEX({"Ridgetop","Other"},MATCH(TRUE,ISNUMBER(SEARCH({"Ridgetop","Other"},A1103)),0)),"")</f>
        <v>Other</v>
      </c>
      <c r="D1103" t="str" cm="1">
        <f t="array" ref="D1103">IFERROR(INDEX({"Small","Medium","Large"},MATCH(TRUE,ISNUMBER(SEARCH({"Small","Medium","Large"},A1103)),0)),"")</f>
        <v>Medium</v>
      </c>
      <c r="E1103" t="str">
        <f t="shared" si="17"/>
        <v>0.044</v>
      </c>
    </row>
    <row r="1104" spans="1:5" x14ac:dyDescent="0.3">
      <c r="A1104" t="s">
        <v>1102</v>
      </c>
      <c r="B1104" t="str" cm="1">
        <f t="array" ref="B1104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hemlock"},A1104)),0)),"")</f>
        <v>Western hemlock</v>
      </c>
      <c r="C1104" t="str" cm="1">
        <f t="array" ref="C1104">IFERROR(INDEX({"Ridgetop","Other"},MATCH(TRUE,ISNUMBER(SEARCH({"Ridgetop","Other"},A1104)),0)),"")</f>
        <v>Other</v>
      </c>
      <c r="D1104" t="str" cm="1">
        <f t="array" ref="D1104">IFERROR(INDEX({"Small","Medium","Large"},MATCH(TRUE,ISNUMBER(SEARCH({"Small","Medium","Large"},A1104)),0)),"")</f>
        <v>Large</v>
      </c>
      <c r="E1104" t="str">
        <f t="shared" si="17"/>
        <v>0.024</v>
      </c>
    </row>
    <row r="1105" spans="1:5" x14ac:dyDescent="0.3">
      <c r="A1105" t="s">
        <v>1103</v>
      </c>
      <c r="B1105" t="str" cm="1">
        <f t="array" ref="B1105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hemlock"},A1105)),0)),"")</f>
        <v>Western hemlock</v>
      </c>
      <c r="C1105" t="str" cm="1">
        <f t="array" ref="C1105">IFERROR(INDEX({"Ridgetop","Other"},MATCH(TRUE,ISNUMBER(SEARCH({"Ridgetop","Other"},A1105)),0)),"")</f>
        <v>Other</v>
      </c>
      <c r="D1105" t="str" cm="1">
        <f t="array" ref="D1105">IFERROR(INDEX({"Small","Medium","Large"},MATCH(TRUE,ISNUMBER(SEARCH({"Small","Medium","Large"},A1105)),0)),"")</f>
        <v>Small</v>
      </c>
      <c r="E1105" t="str">
        <f t="shared" si="17"/>
        <v>0.073</v>
      </c>
    </row>
    <row r="1106" spans="1:5" x14ac:dyDescent="0.3">
      <c r="A1106" t="s">
        <v>1104</v>
      </c>
      <c r="B1106" t="str" cm="1">
        <f t="array" ref="B1106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hemlock"},A1106)),0)),"")</f>
        <v>Western hemlock</v>
      </c>
      <c r="C1106" t="str" cm="1">
        <f t="array" ref="C1106">IFERROR(INDEX({"Ridgetop","Other"},MATCH(TRUE,ISNUMBER(SEARCH({"Ridgetop","Other"},A1106)),0)),"")</f>
        <v>Other</v>
      </c>
      <c r="D1106" t="str" cm="1">
        <f t="array" ref="D1106">IFERROR(INDEX({"Small","Medium","Large"},MATCH(TRUE,ISNUMBER(SEARCH({"Small","Medium","Large"},A1106)),0)),"")</f>
        <v>Medium</v>
      </c>
      <c r="E1106" t="str">
        <f t="shared" si="17"/>
        <v>0.044</v>
      </c>
    </row>
    <row r="1107" spans="1:5" x14ac:dyDescent="0.3">
      <c r="A1107" t="s">
        <v>1105</v>
      </c>
      <c r="B1107" t="str" cm="1">
        <f t="array" ref="B1107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hemlock"},A1107)),0)),"")</f>
        <v>Western hemlock</v>
      </c>
      <c r="C1107" t="str" cm="1">
        <f t="array" ref="C1107">IFERROR(INDEX({"Ridgetop","Other"},MATCH(TRUE,ISNUMBER(SEARCH({"Ridgetop","Other"},A1107)),0)),"")</f>
        <v>Other</v>
      </c>
      <c r="D1107" t="str" cm="1">
        <f t="array" ref="D1107">IFERROR(INDEX({"Small","Medium","Large"},MATCH(TRUE,ISNUMBER(SEARCH({"Small","Medium","Large"},A1107)),0)),"")</f>
        <v>Large</v>
      </c>
      <c r="E1107" t="str">
        <f t="shared" si="17"/>
        <v>0.024</v>
      </c>
    </row>
    <row r="1108" spans="1:5" x14ac:dyDescent="0.3">
      <c r="A1108" t="s">
        <v>1106</v>
      </c>
      <c r="B1108" t="str" cm="1">
        <f t="array" ref="B1108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hemlock"},A1108)),0)),"")</f>
        <v>Western hemlock</v>
      </c>
      <c r="C1108" t="str" cm="1">
        <f t="array" ref="C1108">IFERROR(INDEX({"Ridgetop","Other"},MATCH(TRUE,ISNUMBER(SEARCH({"Ridgetop","Other"},A1108)),0)),"")</f>
        <v>Ridgetop</v>
      </c>
      <c r="D1108" t="str" cm="1">
        <f t="array" ref="D1108">IFERROR(INDEX({"Small","Medium","Large"},MATCH(TRUE,ISNUMBER(SEARCH({"Small","Medium","Large"},A1108)),0)),"")</f>
        <v>Small</v>
      </c>
      <c r="E1108" t="str">
        <f t="shared" si="17"/>
        <v>0.122</v>
      </c>
    </row>
    <row r="1109" spans="1:5" x14ac:dyDescent="0.3">
      <c r="A1109" t="s">
        <v>1107</v>
      </c>
      <c r="B1109" t="str" cm="1">
        <f t="array" ref="B1109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hemlock"},A1109)),0)),"")</f>
        <v>Western hemlock</v>
      </c>
      <c r="C1109" t="str" cm="1">
        <f t="array" ref="C1109">IFERROR(INDEX({"Ridgetop","Other"},MATCH(TRUE,ISNUMBER(SEARCH({"Ridgetop","Other"},A1109)),0)),"")</f>
        <v>Ridgetop</v>
      </c>
      <c r="D1109" t="str" cm="1">
        <f t="array" ref="D1109">IFERROR(INDEX({"Small","Medium","Large"},MATCH(TRUE,ISNUMBER(SEARCH({"Small","Medium","Large"},A1109)),0)),"")</f>
        <v>Medium</v>
      </c>
      <c r="E1109" t="str">
        <f t="shared" si="17"/>
        <v>0.074</v>
      </c>
    </row>
    <row r="1110" spans="1:5" x14ac:dyDescent="0.3">
      <c r="A1110" t="s">
        <v>1108</v>
      </c>
      <c r="B1110" t="str" cm="1">
        <f t="array" ref="B1110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hemlock"},A1110)),0)),"")</f>
        <v>Western hemlock</v>
      </c>
      <c r="C1110" t="str" cm="1">
        <f t="array" ref="C1110">IFERROR(INDEX({"Ridgetop","Other"},MATCH(TRUE,ISNUMBER(SEARCH({"Ridgetop","Other"},A1110)),0)),"")</f>
        <v>Ridgetop</v>
      </c>
      <c r="D1110" t="str" cm="1">
        <f t="array" ref="D1110">IFERROR(INDEX({"Small","Medium","Large"},MATCH(TRUE,ISNUMBER(SEARCH({"Small","Medium","Large"},A1110)),0)),"")</f>
        <v>Large</v>
      </c>
      <c r="E1110" t="str">
        <f t="shared" si="17"/>
        <v>0.040</v>
      </c>
    </row>
    <row r="1111" spans="1:5" x14ac:dyDescent="0.3">
      <c r="A1111" t="s">
        <v>1109</v>
      </c>
      <c r="B1111" t="str" cm="1">
        <f t="array" ref="B1111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hemlock"},A1111)),0)),"")</f>
        <v>Western hemlock</v>
      </c>
      <c r="C1111" t="str" cm="1">
        <f t="array" ref="C1111">IFERROR(INDEX({"Ridgetop","Other"},MATCH(TRUE,ISNUMBER(SEARCH({"Ridgetop","Other"},A1111)),0)),"")</f>
        <v>Ridgetop</v>
      </c>
      <c r="D1111" t="str" cm="1">
        <f t="array" ref="D1111">IFERROR(INDEX({"Small","Medium","Large"},MATCH(TRUE,ISNUMBER(SEARCH({"Small","Medium","Large"},A1111)),0)),"")</f>
        <v>Small</v>
      </c>
      <c r="E1111" t="str">
        <f t="shared" si="17"/>
        <v>0.122</v>
      </c>
    </row>
    <row r="1112" spans="1:5" x14ac:dyDescent="0.3">
      <c r="A1112" t="s">
        <v>1110</v>
      </c>
      <c r="B1112" t="str" cm="1">
        <f t="array" ref="B1112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hemlock"},A1112)),0)),"")</f>
        <v>Western hemlock</v>
      </c>
      <c r="C1112" t="str" cm="1">
        <f t="array" ref="C1112">IFERROR(INDEX({"Ridgetop","Other"},MATCH(TRUE,ISNUMBER(SEARCH({"Ridgetop","Other"},A1112)),0)),"")</f>
        <v>Ridgetop</v>
      </c>
      <c r="D1112" t="str" cm="1">
        <f t="array" ref="D1112">IFERROR(INDEX({"Small","Medium","Large"},MATCH(TRUE,ISNUMBER(SEARCH({"Small","Medium","Large"},A1112)),0)),"")</f>
        <v>Medium</v>
      </c>
      <c r="E1112" t="str">
        <f t="shared" si="17"/>
        <v>0.074</v>
      </c>
    </row>
    <row r="1113" spans="1:5" x14ac:dyDescent="0.3">
      <c r="A1113" t="s">
        <v>1111</v>
      </c>
      <c r="B1113" t="str" cm="1">
        <f t="array" ref="B1113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hemlock"},A1113)),0)),"")</f>
        <v>Western hemlock</v>
      </c>
      <c r="C1113" t="str" cm="1">
        <f t="array" ref="C1113">IFERROR(INDEX({"Ridgetop","Other"},MATCH(TRUE,ISNUMBER(SEARCH({"Ridgetop","Other"},A1113)),0)),"")</f>
        <v>Ridgetop</v>
      </c>
      <c r="D1113" t="str" cm="1">
        <f t="array" ref="D1113">IFERROR(INDEX({"Small","Medium","Large"},MATCH(TRUE,ISNUMBER(SEARCH({"Small","Medium","Large"},A1113)),0)),"")</f>
        <v>Large</v>
      </c>
      <c r="E1113" t="str">
        <f t="shared" si="17"/>
        <v>0.040</v>
      </c>
    </row>
    <row r="1114" spans="1:5" x14ac:dyDescent="0.3">
      <c r="A1114" t="s">
        <v>1112</v>
      </c>
      <c r="B1114" t="str" cm="1">
        <f t="array" ref="B1114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hemlock"},A1114)),0)),"")</f>
        <v>Western hemlock</v>
      </c>
      <c r="C1114" t="str" cm="1">
        <f t="array" ref="C1114">IFERROR(INDEX({"Ridgetop","Other"},MATCH(TRUE,ISNUMBER(SEARCH({"Ridgetop","Other"},A1114)),0)),"")</f>
        <v>Ridgetop</v>
      </c>
      <c r="D1114" t="str" cm="1">
        <f t="array" ref="D1114">IFERROR(INDEX({"Small","Medium","Large"},MATCH(TRUE,ISNUMBER(SEARCH({"Small","Medium","Large"},A1114)),0)),"")</f>
        <v>Small</v>
      </c>
      <c r="E1114" t="str">
        <f t="shared" si="17"/>
        <v>0.122</v>
      </c>
    </row>
    <row r="1115" spans="1:5" x14ac:dyDescent="0.3">
      <c r="A1115" t="s">
        <v>1113</v>
      </c>
      <c r="B1115" t="str" cm="1">
        <f t="array" ref="B1115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hemlock"},A1115)),0)),"")</f>
        <v>Western hemlock</v>
      </c>
      <c r="C1115" t="str" cm="1">
        <f t="array" ref="C1115">IFERROR(INDEX({"Ridgetop","Other"},MATCH(TRUE,ISNUMBER(SEARCH({"Ridgetop","Other"},A1115)),0)),"")</f>
        <v>Ridgetop</v>
      </c>
      <c r="D1115" t="str" cm="1">
        <f t="array" ref="D1115">IFERROR(INDEX({"Small","Medium","Large"},MATCH(TRUE,ISNUMBER(SEARCH({"Small","Medium","Large"},A1115)),0)),"")</f>
        <v>Medium</v>
      </c>
      <c r="E1115" t="str">
        <f t="shared" si="17"/>
        <v>0.074</v>
      </c>
    </row>
    <row r="1116" spans="1:5" x14ac:dyDescent="0.3">
      <c r="A1116" t="s">
        <v>1114</v>
      </c>
      <c r="B1116" t="str" cm="1">
        <f t="array" ref="B1116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hemlock"},A1116)),0)),"")</f>
        <v>Western hemlock</v>
      </c>
      <c r="C1116" t="str" cm="1">
        <f t="array" ref="C1116">IFERROR(INDEX({"Ridgetop","Other"},MATCH(TRUE,ISNUMBER(SEARCH({"Ridgetop","Other"},A1116)),0)),"")</f>
        <v>Ridgetop</v>
      </c>
      <c r="D1116" t="str" cm="1">
        <f t="array" ref="D1116">IFERROR(INDEX({"Small","Medium","Large"},MATCH(TRUE,ISNUMBER(SEARCH({"Small","Medium","Large"},A1116)),0)),"")</f>
        <v>Large</v>
      </c>
      <c r="E1116" t="str">
        <f t="shared" si="17"/>
        <v>0.040</v>
      </c>
    </row>
    <row r="1117" spans="1:5" x14ac:dyDescent="0.3">
      <c r="A1117" t="s">
        <v>1115</v>
      </c>
      <c r="B1117" t="str" cm="1">
        <f t="array" ref="B1117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hemlock"},A1117)),0)),"")</f>
        <v>Western hemlock</v>
      </c>
      <c r="C1117" t="str" cm="1">
        <f t="array" ref="C1117">IFERROR(INDEX({"Ridgetop","Other"},MATCH(TRUE,ISNUMBER(SEARCH({"Ridgetop","Other"},A1117)),0)),"")</f>
        <v>Other</v>
      </c>
      <c r="D1117" t="str" cm="1">
        <f t="array" ref="D1117">IFERROR(INDEX({"Small","Medium","Large"},MATCH(TRUE,ISNUMBER(SEARCH({"Small","Medium","Large"},A1117)),0)),"")</f>
        <v>Small</v>
      </c>
      <c r="E1117" t="str">
        <f t="shared" si="17"/>
        <v>0.055</v>
      </c>
    </row>
    <row r="1118" spans="1:5" x14ac:dyDescent="0.3">
      <c r="A1118" t="s">
        <v>1116</v>
      </c>
      <c r="B1118" t="str" cm="1">
        <f t="array" ref="B1118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hemlock"},A1118)),0)),"")</f>
        <v>Western hemlock</v>
      </c>
      <c r="C1118" t="str" cm="1">
        <f t="array" ref="C1118">IFERROR(INDEX({"Ridgetop","Other"},MATCH(TRUE,ISNUMBER(SEARCH({"Ridgetop","Other"},A1118)),0)),"")</f>
        <v>Other</v>
      </c>
      <c r="D1118" t="str" cm="1">
        <f t="array" ref="D1118">IFERROR(INDEX({"Small","Medium","Large"},MATCH(TRUE,ISNUMBER(SEARCH({"Small","Medium","Large"},A1118)),0)),"")</f>
        <v>Medium</v>
      </c>
      <c r="E1118" t="str">
        <f t="shared" si="17"/>
        <v>0.033</v>
      </c>
    </row>
    <row r="1119" spans="1:5" x14ac:dyDescent="0.3">
      <c r="A1119" t="s">
        <v>1117</v>
      </c>
      <c r="B1119" t="str" cm="1">
        <f t="array" ref="B1119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hemlock"},A1119)),0)),"")</f>
        <v>Western hemlock</v>
      </c>
      <c r="C1119" t="str" cm="1">
        <f t="array" ref="C1119">IFERROR(INDEX({"Ridgetop","Other"},MATCH(TRUE,ISNUMBER(SEARCH({"Ridgetop","Other"},A1119)),0)),"")</f>
        <v>Other</v>
      </c>
      <c r="D1119" t="str" cm="1">
        <f t="array" ref="D1119">IFERROR(INDEX({"Small","Medium","Large"},MATCH(TRUE,ISNUMBER(SEARCH({"Small","Medium","Large"},A1119)),0)),"")</f>
        <v>Large</v>
      </c>
      <c r="E1119" t="str">
        <f t="shared" si="17"/>
        <v>0.018</v>
      </c>
    </row>
    <row r="1120" spans="1:5" x14ac:dyDescent="0.3">
      <c r="A1120" t="s">
        <v>1118</v>
      </c>
      <c r="B1120" t="str" cm="1">
        <f t="array" ref="B1120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hemlock"},A1120)),0)),"")</f>
        <v>Western hemlock</v>
      </c>
      <c r="C1120" t="str" cm="1">
        <f t="array" ref="C1120">IFERROR(INDEX({"Ridgetop","Other"},MATCH(TRUE,ISNUMBER(SEARCH({"Ridgetop","Other"},A1120)),0)),"")</f>
        <v>Other</v>
      </c>
      <c r="D1120" t="str" cm="1">
        <f t="array" ref="D1120">IFERROR(INDEX({"Small","Medium","Large"},MATCH(TRUE,ISNUMBER(SEARCH({"Small","Medium","Large"},A1120)),0)),"")</f>
        <v>Small</v>
      </c>
      <c r="E1120" t="str">
        <f t="shared" si="17"/>
        <v>0.061</v>
      </c>
    </row>
    <row r="1121" spans="1:5" x14ac:dyDescent="0.3">
      <c r="A1121" t="s">
        <v>1119</v>
      </c>
      <c r="B1121" t="str" cm="1">
        <f t="array" ref="B1121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hemlock"},A1121)),0)),"")</f>
        <v>Western hemlock</v>
      </c>
      <c r="C1121" t="str" cm="1">
        <f t="array" ref="C1121">IFERROR(INDEX({"Ridgetop","Other"},MATCH(TRUE,ISNUMBER(SEARCH({"Ridgetop","Other"},A1121)),0)),"")</f>
        <v>Other</v>
      </c>
      <c r="D1121" t="str" cm="1">
        <f t="array" ref="D1121">IFERROR(INDEX({"Small","Medium","Large"},MATCH(TRUE,ISNUMBER(SEARCH({"Small","Medium","Large"},A1121)),0)),"")</f>
        <v>Medium</v>
      </c>
      <c r="E1121" t="str">
        <f t="shared" si="17"/>
        <v>0.037</v>
      </c>
    </row>
    <row r="1122" spans="1:5" x14ac:dyDescent="0.3">
      <c r="A1122" t="s">
        <v>1120</v>
      </c>
      <c r="B1122" t="str" cm="1">
        <f t="array" ref="B1122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hemlock"},A1122)),0)),"")</f>
        <v>Western hemlock</v>
      </c>
      <c r="C1122" t="str" cm="1">
        <f t="array" ref="C1122">IFERROR(INDEX({"Ridgetop","Other"},MATCH(TRUE,ISNUMBER(SEARCH({"Ridgetop","Other"},A1122)),0)),"")</f>
        <v>Other</v>
      </c>
      <c r="D1122" t="str" cm="1">
        <f t="array" ref="D1122">IFERROR(INDEX({"Small","Medium","Large"},MATCH(TRUE,ISNUMBER(SEARCH({"Small","Medium","Large"},A1122)),0)),"")</f>
        <v>Large</v>
      </c>
      <c r="E1122" t="str">
        <f t="shared" si="17"/>
        <v>0.020</v>
      </c>
    </row>
    <row r="1123" spans="1:5" x14ac:dyDescent="0.3">
      <c r="A1123" t="s">
        <v>1121</v>
      </c>
      <c r="B1123" t="str" cm="1">
        <f t="array" ref="B1123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hemlock"},A1123)),0)),"")</f>
        <v>Western hemlock</v>
      </c>
      <c r="C1123" t="str" cm="1">
        <f t="array" ref="C1123">IFERROR(INDEX({"Ridgetop","Other"},MATCH(TRUE,ISNUMBER(SEARCH({"Ridgetop","Other"},A1123)),0)),"")</f>
        <v>Other</v>
      </c>
      <c r="D1123" t="str" cm="1">
        <f t="array" ref="D1123">IFERROR(INDEX({"Small","Medium","Large"},MATCH(TRUE,ISNUMBER(SEARCH({"Small","Medium","Large"},A1123)),0)),"")</f>
        <v>Small</v>
      </c>
      <c r="E1123" t="str">
        <f t="shared" si="17"/>
        <v>0.073</v>
      </c>
    </row>
    <row r="1124" spans="1:5" x14ac:dyDescent="0.3">
      <c r="A1124" t="s">
        <v>1122</v>
      </c>
      <c r="B1124" t="str" cm="1">
        <f t="array" ref="B1124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hemlock"},A1124)),0)),"")</f>
        <v>Western hemlock</v>
      </c>
      <c r="C1124" t="str" cm="1">
        <f t="array" ref="C1124">IFERROR(INDEX({"Ridgetop","Other"},MATCH(TRUE,ISNUMBER(SEARCH({"Ridgetop","Other"},A1124)),0)),"")</f>
        <v>Other</v>
      </c>
      <c r="D1124" t="str" cm="1">
        <f t="array" ref="D1124">IFERROR(INDEX({"Small","Medium","Large"},MATCH(TRUE,ISNUMBER(SEARCH({"Small","Medium","Large"},A1124)),0)),"")</f>
        <v>Medium</v>
      </c>
      <c r="E1124" t="str">
        <f t="shared" si="17"/>
        <v>0.044</v>
      </c>
    </row>
    <row r="1125" spans="1:5" x14ac:dyDescent="0.3">
      <c r="A1125" t="s">
        <v>1123</v>
      </c>
      <c r="B1125" t="str" cm="1">
        <f t="array" ref="B1125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hemlock"},A1125)),0)),"")</f>
        <v>Western hemlock</v>
      </c>
      <c r="C1125" t="str" cm="1">
        <f t="array" ref="C1125">IFERROR(INDEX({"Ridgetop","Other"},MATCH(TRUE,ISNUMBER(SEARCH({"Ridgetop","Other"},A1125)),0)),"")</f>
        <v>Other</v>
      </c>
      <c r="D1125" t="str" cm="1">
        <f t="array" ref="D1125">IFERROR(INDEX({"Small","Medium","Large"},MATCH(TRUE,ISNUMBER(SEARCH({"Small","Medium","Large"},A1125)),0)),"")</f>
        <v>Large</v>
      </c>
      <c r="E1125" t="str">
        <f t="shared" si="17"/>
        <v>0.024</v>
      </c>
    </row>
    <row r="1126" spans="1:5" x14ac:dyDescent="0.3">
      <c r="A1126" t="s">
        <v>1124</v>
      </c>
      <c r="B1126" t="str" cm="1">
        <f t="array" ref="B1126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hemlock"},A1126)),0)),"")</f>
        <v>Western hemlock</v>
      </c>
      <c r="C1126" t="str" cm="1">
        <f t="array" ref="C1126">IFERROR(INDEX({"Ridgetop","Other"},MATCH(TRUE,ISNUMBER(SEARCH({"Ridgetop","Other"},A1126)),0)),"")</f>
        <v>Ridgetop</v>
      </c>
      <c r="D1126" t="str" cm="1">
        <f t="array" ref="D1126">IFERROR(INDEX({"Small","Medium","Large"},MATCH(TRUE,ISNUMBER(SEARCH({"Small","Medium","Large"},A1126)),0)),"")</f>
        <v>Small</v>
      </c>
      <c r="E1126" t="str">
        <f t="shared" si="17"/>
        <v>0.104</v>
      </c>
    </row>
    <row r="1127" spans="1:5" x14ac:dyDescent="0.3">
      <c r="A1127" t="s">
        <v>1125</v>
      </c>
      <c r="B1127" t="str" cm="1">
        <f t="array" ref="B1127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hemlock"},A1127)),0)),"")</f>
        <v>Western hemlock</v>
      </c>
      <c r="C1127" t="str" cm="1">
        <f t="array" ref="C1127">IFERROR(INDEX({"Ridgetop","Other"},MATCH(TRUE,ISNUMBER(SEARCH({"Ridgetop","Other"},A1127)),0)),"")</f>
        <v>Ridgetop</v>
      </c>
      <c r="D1127" t="str" cm="1">
        <f t="array" ref="D1127">IFERROR(INDEX({"Small","Medium","Large"},MATCH(TRUE,ISNUMBER(SEARCH({"Small","Medium","Large"},A1127)),0)),"")</f>
        <v>Medium</v>
      </c>
      <c r="E1127" t="str">
        <f t="shared" si="17"/>
        <v>0.063</v>
      </c>
    </row>
    <row r="1128" spans="1:5" x14ac:dyDescent="0.3">
      <c r="A1128" t="s">
        <v>1126</v>
      </c>
      <c r="B1128" t="str" cm="1">
        <f t="array" ref="B1128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hemlock"},A1128)),0)),"")</f>
        <v>Western hemlock</v>
      </c>
      <c r="C1128" t="str" cm="1">
        <f t="array" ref="C1128">IFERROR(INDEX({"Ridgetop","Other"},MATCH(TRUE,ISNUMBER(SEARCH({"Ridgetop","Other"},A1128)),0)),"")</f>
        <v>Ridgetop</v>
      </c>
      <c r="D1128" t="str" cm="1">
        <f t="array" ref="D1128">IFERROR(INDEX({"Small","Medium","Large"},MATCH(TRUE,ISNUMBER(SEARCH({"Small","Medium","Large"},A1128)),0)),"")</f>
        <v>Large</v>
      </c>
      <c r="E1128" t="str">
        <f t="shared" si="17"/>
        <v>0.034</v>
      </c>
    </row>
    <row r="1129" spans="1:5" x14ac:dyDescent="0.3">
      <c r="A1129" t="s">
        <v>1127</v>
      </c>
      <c r="B1129" t="str" cm="1">
        <f t="array" ref="B1129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hemlock"},A1129)),0)),"")</f>
        <v>Western hemlock</v>
      </c>
      <c r="C1129" t="str" cm="1">
        <f t="array" ref="C1129">IFERROR(INDEX({"Ridgetop","Other"},MATCH(TRUE,ISNUMBER(SEARCH({"Ridgetop","Other"},A1129)),0)),"")</f>
        <v>Ridgetop</v>
      </c>
      <c r="D1129" t="str" cm="1">
        <f t="array" ref="D1129">IFERROR(INDEX({"Small","Medium","Large"},MATCH(TRUE,ISNUMBER(SEARCH({"Small","Medium","Large"},A1129)),0)),"")</f>
        <v>Small</v>
      </c>
      <c r="E1129" t="str">
        <f t="shared" si="17"/>
        <v>0.104</v>
      </c>
    </row>
    <row r="1130" spans="1:5" x14ac:dyDescent="0.3">
      <c r="A1130" t="s">
        <v>1128</v>
      </c>
      <c r="B1130" t="str" cm="1">
        <f t="array" ref="B1130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hemlock"},A1130)),0)),"")</f>
        <v>Western hemlock</v>
      </c>
      <c r="C1130" t="str" cm="1">
        <f t="array" ref="C1130">IFERROR(INDEX({"Ridgetop","Other"},MATCH(TRUE,ISNUMBER(SEARCH({"Ridgetop","Other"},A1130)),0)),"")</f>
        <v>Ridgetop</v>
      </c>
      <c r="D1130" t="str" cm="1">
        <f t="array" ref="D1130">IFERROR(INDEX({"Small","Medium","Large"},MATCH(TRUE,ISNUMBER(SEARCH({"Small","Medium","Large"},A1130)),0)),"")</f>
        <v>Medium</v>
      </c>
      <c r="E1130" t="str">
        <f t="shared" si="17"/>
        <v>0.063</v>
      </c>
    </row>
    <row r="1131" spans="1:5" x14ac:dyDescent="0.3">
      <c r="A1131" t="s">
        <v>1129</v>
      </c>
      <c r="B1131" t="str" cm="1">
        <f t="array" ref="B1131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hemlock"},A1131)),0)),"")</f>
        <v>Western hemlock</v>
      </c>
      <c r="C1131" t="str" cm="1">
        <f t="array" ref="C1131">IFERROR(INDEX({"Ridgetop","Other"},MATCH(TRUE,ISNUMBER(SEARCH({"Ridgetop","Other"},A1131)),0)),"")</f>
        <v>Ridgetop</v>
      </c>
      <c r="D1131" t="str" cm="1">
        <f t="array" ref="D1131">IFERROR(INDEX({"Small","Medium","Large"},MATCH(TRUE,ISNUMBER(SEARCH({"Small","Medium","Large"},A1131)),0)),"")</f>
        <v>Large</v>
      </c>
      <c r="E1131" t="str">
        <f t="shared" si="17"/>
        <v>0.034</v>
      </c>
    </row>
    <row r="1132" spans="1:5" x14ac:dyDescent="0.3">
      <c r="A1132" t="s">
        <v>1130</v>
      </c>
      <c r="B1132" t="str" cm="1">
        <f t="array" ref="B1132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hemlock"},A1132)),0)),"")</f>
        <v>Western hemlock</v>
      </c>
      <c r="C1132" t="str" cm="1">
        <f t="array" ref="C1132">IFERROR(INDEX({"Ridgetop","Other"},MATCH(TRUE,ISNUMBER(SEARCH({"Ridgetop","Other"},A1132)),0)),"")</f>
        <v>Ridgetop</v>
      </c>
      <c r="D1132" t="str" cm="1">
        <f t="array" ref="D1132">IFERROR(INDEX({"Small","Medium","Large"},MATCH(TRUE,ISNUMBER(SEARCH({"Small","Medium","Large"},A1132)),0)),"")</f>
        <v>Small</v>
      </c>
      <c r="E1132" t="str">
        <f t="shared" si="17"/>
        <v>0.110</v>
      </c>
    </row>
    <row r="1133" spans="1:5" x14ac:dyDescent="0.3">
      <c r="A1133" t="s">
        <v>1131</v>
      </c>
      <c r="B1133" t="str" cm="1">
        <f t="array" ref="B1133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hemlock"},A1133)),0)),"")</f>
        <v>Western hemlock</v>
      </c>
      <c r="C1133" t="str" cm="1">
        <f t="array" ref="C1133">IFERROR(INDEX({"Ridgetop","Other"},MATCH(TRUE,ISNUMBER(SEARCH({"Ridgetop","Other"},A1133)),0)),"")</f>
        <v>Ridgetop</v>
      </c>
      <c r="D1133" t="str" cm="1">
        <f t="array" ref="D1133">IFERROR(INDEX({"Small","Medium","Large"},MATCH(TRUE,ISNUMBER(SEARCH({"Small","Medium","Large"},A1133)),0)),"")</f>
        <v>Medium</v>
      </c>
      <c r="E1133" t="str">
        <f t="shared" si="17"/>
        <v>0.067</v>
      </c>
    </row>
    <row r="1134" spans="1:5" x14ac:dyDescent="0.3">
      <c r="A1134" t="s">
        <v>1132</v>
      </c>
      <c r="B1134" t="str" cm="1">
        <f t="array" ref="B1134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hemlock"},A1134)),0)),"")</f>
        <v>Western hemlock</v>
      </c>
      <c r="C1134" t="str" cm="1">
        <f t="array" ref="C1134">IFERROR(INDEX({"Ridgetop","Other"},MATCH(TRUE,ISNUMBER(SEARCH({"Ridgetop","Other"},A1134)),0)),"")</f>
        <v>Ridgetop</v>
      </c>
      <c r="D1134" t="str" cm="1">
        <f t="array" ref="D1134">IFERROR(INDEX({"Small","Medium","Large"},MATCH(TRUE,ISNUMBER(SEARCH({"Small","Medium","Large"},A1134)),0)),"")</f>
        <v>Large</v>
      </c>
      <c r="E1134" t="str">
        <f t="shared" si="17"/>
        <v>0.036</v>
      </c>
    </row>
    <row r="1135" spans="1:5" x14ac:dyDescent="0.3">
      <c r="A1135" t="s">
        <v>1133</v>
      </c>
      <c r="B1135" t="str" cm="1">
        <f t="array" ref="B1135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hemlock"},A1135)),0)),"")</f>
        <v>Western hemlock</v>
      </c>
      <c r="C1135" t="str" cm="1">
        <f t="array" ref="C1135">IFERROR(INDEX({"Ridgetop","Other"},MATCH(TRUE,ISNUMBER(SEARCH({"Ridgetop","Other"},A1135)),0)),"")</f>
        <v>Other</v>
      </c>
      <c r="D1135" t="str" cm="1">
        <f t="array" ref="D1135">IFERROR(INDEX({"Small","Medium","Large"},MATCH(TRUE,ISNUMBER(SEARCH({"Small","Medium","Large"},A1135)),0)),"")</f>
        <v>Small</v>
      </c>
      <c r="E1135" t="str">
        <f t="shared" si="17"/>
        <v>0.067</v>
      </c>
    </row>
    <row r="1136" spans="1:5" x14ac:dyDescent="0.3">
      <c r="A1136" t="s">
        <v>1134</v>
      </c>
      <c r="B1136" t="str" cm="1">
        <f t="array" ref="B1136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hemlock"},A1136)),0)),"")</f>
        <v>Western hemlock</v>
      </c>
      <c r="C1136" t="str" cm="1">
        <f t="array" ref="C1136">IFERROR(INDEX({"Ridgetop","Other"},MATCH(TRUE,ISNUMBER(SEARCH({"Ridgetop","Other"},A1136)),0)),"")</f>
        <v>Other</v>
      </c>
      <c r="D1136" t="str" cm="1">
        <f t="array" ref="D1136">IFERROR(INDEX({"Small","Medium","Large"},MATCH(TRUE,ISNUMBER(SEARCH({"Small","Medium","Large"},A1136)),0)),"")</f>
        <v>Medium</v>
      </c>
      <c r="E1136" t="str">
        <f t="shared" si="17"/>
        <v>0.041</v>
      </c>
    </row>
    <row r="1137" spans="1:5" x14ac:dyDescent="0.3">
      <c r="A1137" t="s">
        <v>1135</v>
      </c>
      <c r="B1137" t="str" cm="1">
        <f t="array" ref="B1137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hemlock"},A1137)),0)),"")</f>
        <v>Western hemlock</v>
      </c>
      <c r="C1137" t="str" cm="1">
        <f t="array" ref="C1137">IFERROR(INDEX({"Ridgetop","Other"},MATCH(TRUE,ISNUMBER(SEARCH({"Ridgetop","Other"},A1137)),0)),"")</f>
        <v>Other</v>
      </c>
      <c r="D1137" t="str" cm="1">
        <f t="array" ref="D1137">IFERROR(INDEX({"Small","Medium","Large"},MATCH(TRUE,ISNUMBER(SEARCH({"Small","Medium","Large"},A1137)),0)),"")</f>
        <v>Large</v>
      </c>
      <c r="E1137" t="str">
        <f t="shared" si="17"/>
        <v>0.022</v>
      </c>
    </row>
    <row r="1138" spans="1:5" x14ac:dyDescent="0.3">
      <c r="A1138" t="s">
        <v>1136</v>
      </c>
      <c r="B1138" t="str" cm="1">
        <f t="array" ref="B1138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hemlock"},A1138)),0)),"")</f>
        <v>Western hemlock</v>
      </c>
      <c r="C1138" t="str" cm="1">
        <f t="array" ref="C1138">IFERROR(INDEX({"Ridgetop","Other"},MATCH(TRUE,ISNUMBER(SEARCH({"Ridgetop","Other"},A1138)),0)),"")</f>
        <v>Other</v>
      </c>
      <c r="D1138" t="str" cm="1">
        <f t="array" ref="D1138">IFERROR(INDEX({"Small","Medium","Large"},MATCH(TRUE,ISNUMBER(SEARCH({"Small","Medium","Large"},A1138)),0)),"")</f>
        <v>Small</v>
      </c>
      <c r="E1138" t="str">
        <f t="shared" si="17"/>
        <v>0.073</v>
      </c>
    </row>
    <row r="1139" spans="1:5" x14ac:dyDescent="0.3">
      <c r="A1139" t="s">
        <v>1137</v>
      </c>
      <c r="B1139" t="str" cm="1">
        <f t="array" ref="B1139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hemlock"},A1139)),0)),"")</f>
        <v>Western hemlock</v>
      </c>
      <c r="C1139" t="str" cm="1">
        <f t="array" ref="C1139">IFERROR(INDEX({"Ridgetop","Other"},MATCH(TRUE,ISNUMBER(SEARCH({"Ridgetop","Other"},A1139)),0)),"")</f>
        <v>Other</v>
      </c>
      <c r="D1139" t="str" cm="1">
        <f t="array" ref="D1139">IFERROR(INDEX({"Small","Medium","Large"},MATCH(TRUE,ISNUMBER(SEARCH({"Small","Medium","Large"},A1139)),0)),"")</f>
        <v>Medium</v>
      </c>
      <c r="E1139" t="str">
        <f t="shared" si="17"/>
        <v>0.044</v>
      </c>
    </row>
    <row r="1140" spans="1:5" x14ac:dyDescent="0.3">
      <c r="A1140" t="s">
        <v>1138</v>
      </c>
      <c r="B1140" t="str" cm="1">
        <f t="array" ref="B1140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hemlock"},A1140)),0)),"")</f>
        <v>Western hemlock</v>
      </c>
      <c r="C1140" t="str" cm="1">
        <f t="array" ref="C1140">IFERROR(INDEX({"Ridgetop","Other"},MATCH(TRUE,ISNUMBER(SEARCH({"Ridgetop","Other"},A1140)),0)),"")</f>
        <v>Other</v>
      </c>
      <c r="D1140" t="str" cm="1">
        <f t="array" ref="D1140">IFERROR(INDEX({"Small","Medium","Large"},MATCH(TRUE,ISNUMBER(SEARCH({"Small","Medium","Large"},A1140)),0)),"")</f>
        <v>Large</v>
      </c>
      <c r="E1140" t="str">
        <f t="shared" si="17"/>
        <v>0.024</v>
      </c>
    </row>
    <row r="1141" spans="1:5" x14ac:dyDescent="0.3">
      <c r="A1141" t="s">
        <v>1139</v>
      </c>
      <c r="B1141" t="str" cm="1">
        <f t="array" ref="B1141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hemlock"},A1141)),0)),"")</f>
        <v>Western hemlock</v>
      </c>
      <c r="C1141" t="str" cm="1">
        <f t="array" ref="C1141">IFERROR(INDEX({"Ridgetop","Other"},MATCH(TRUE,ISNUMBER(SEARCH({"Ridgetop","Other"},A1141)),0)),"")</f>
        <v>Other</v>
      </c>
      <c r="D1141" t="str" cm="1">
        <f t="array" ref="D1141">IFERROR(INDEX({"Small","Medium","Large"},MATCH(TRUE,ISNUMBER(SEARCH({"Small","Medium","Large"},A1141)),0)),"")</f>
        <v>Small</v>
      </c>
      <c r="E1141" t="str">
        <f t="shared" si="17"/>
        <v>0.073</v>
      </c>
    </row>
    <row r="1142" spans="1:5" x14ac:dyDescent="0.3">
      <c r="A1142" t="s">
        <v>1140</v>
      </c>
      <c r="B1142" t="str" cm="1">
        <f t="array" ref="B1142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hemlock"},A1142)),0)),"")</f>
        <v>Western hemlock</v>
      </c>
      <c r="C1142" t="str" cm="1">
        <f t="array" ref="C1142">IFERROR(INDEX({"Ridgetop","Other"},MATCH(TRUE,ISNUMBER(SEARCH({"Ridgetop","Other"},A1142)),0)),"")</f>
        <v>Other</v>
      </c>
      <c r="D1142" t="str" cm="1">
        <f t="array" ref="D1142">IFERROR(INDEX({"Small","Medium","Large"},MATCH(TRUE,ISNUMBER(SEARCH({"Small","Medium","Large"},A1142)),0)),"")</f>
        <v>Medium</v>
      </c>
      <c r="E1142" t="str">
        <f t="shared" si="17"/>
        <v>0.044</v>
      </c>
    </row>
    <row r="1143" spans="1:5" x14ac:dyDescent="0.3">
      <c r="A1143" t="s">
        <v>1141</v>
      </c>
      <c r="B1143" t="str" cm="1">
        <f t="array" ref="B1143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hemlock"},A1143)),0)),"")</f>
        <v>Western hemlock</v>
      </c>
      <c r="C1143" t="str" cm="1">
        <f t="array" ref="C1143">IFERROR(INDEX({"Ridgetop","Other"},MATCH(TRUE,ISNUMBER(SEARCH({"Ridgetop","Other"},A1143)),0)),"")</f>
        <v>Other</v>
      </c>
      <c r="D1143" t="str" cm="1">
        <f t="array" ref="D1143">IFERROR(INDEX({"Small","Medium","Large"},MATCH(TRUE,ISNUMBER(SEARCH({"Small","Medium","Large"},A1143)),0)),"")</f>
        <v>Large</v>
      </c>
      <c r="E1143" t="str">
        <f t="shared" si="17"/>
        <v>0.024</v>
      </c>
    </row>
    <row r="1144" spans="1:5" x14ac:dyDescent="0.3">
      <c r="A1144" t="s">
        <v>1142</v>
      </c>
      <c r="B1144" t="str" cm="1">
        <f t="array" ref="B1144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hemlock"},A1144)),0)),"")</f>
        <v>Western hemlock</v>
      </c>
      <c r="C1144" t="str" cm="1">
        <f t="array" ref="C1144">IFERROR(INDEX({"Ridgetop","Other"},MATCH(TRUE,ISNUMBER(SEARCH({"Ridgetop","Other"},A1144)),0)),"")</f>
        <v>Ridgetop</v>
      </c>
      <c r="D1144" t="str" cm="1">
        <f t="array" ref="D1144">IFERROR(INDEX({"Small","Medium","Large"},MATCH(TRUE,ISNUMBER(SEARCH({"Small","Medium","Large"},A1144)),0)),"")</f>
        <v>Small</v>
      </c>
      <c r="E1144" t="str">
        <f t="shared" si="17"/>
        <v>0.122</v>
      </c>
    </row>
    <row r="1145" spans="1:5" x14ac:dyDescent="0.3">
      <c r="A1145" t="s">
        <v>1143</v>
      </c>
      <c r="B1145" t="str" cm="1">
        <f t="array" ref="B1145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hemlock"},A1145)),0)),"")</f>
        <v>Western hemlock</v>
      </c>
      <c r="C1145" t="str" cm="1">
        <f t="array" ref="C1145">IFERROR(INDEX({"Ridgetop","Other"},MATCH(TRUE,ISNUMBER(SEARCH({"Ridgetop","Other"},A1145)),0)),"")</f>
        <v>Ridgetop</v>
      </c>
      <c r="D1145" t="str" cm="1">
        <f t="array" ref="D1145">IFERROR(INDEX({"Small","Medium","Large"},MATCH(TRUE,ISNUMBER(SEARCH({"Small","Medium","Large"},A1145)),0)),"")</f>
        <v>Medium</v>
      </c>
      <c r="E1145" t="str">
        <f t="shared" si="17"/>
        <v>0.074</v>
      </c>
    </row>
    <row r="1146" spans="1:5" x14ac:dyDescent="0.3">
      <c r="A1146" t="s">
        <v>1144</v>
      </c>
      <c r="B1146" t="str" cm="1">
        <f t="array" ref="B1146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hemlock"},A1146)),0)),"")</f>
        <v>Western hemlock</v>
      </c>
      <c r="C1146" t="str" cm="1">
        <f t="array" ref="C1146">IFERROR(INDEX({"Ridgetop","Other"},MATCH(TRUE,ISNUMBER(SEARCH({"Ridgetop","Other"},A1146)),0)),"")</f>
        <v>Ridgetop</v>
      </c>
      <c r="D1146" t="str" cm="1">
        <f t="array" ref="D1146">IFERROR(INDEX({"Small","Medium","Large"},MATCH(TRUE,ISNUMBER(SEARCH({"Small","Medium","Large"},A1146)),0)),"")</f>
        <v>Large</v>
      </c>
      <c r="E1146" t="str">
        <f t="shared" si="17"/>
        <v>0.040</v>
      </c>
    </row>
    <row r="1147" spans="1:5" x14ac:dyDescent="0.3">
      <c r="A1147" t="s">
        <v>1145</v>
      </c>
      <c r="B1147" t="str" cm="1">
        <f t="array" ref="B1147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hemlock"},A1147)),0)),"")</f>
        <v>Western hemlock</v>
      </c>
      <c r="C1147" t="str" cm="1">
        <f t="array" ref="C1147">IFERROR(INDEX({"Ridgetop","Other"},MATCH(TRUE,ISNUMBER(SEARCH({"Ridgetop","Other"},A1147)),0)),"")</f>
        <v>Ridgetop</v>
      </c>
      <c r="D1147" t="str" cm="1">
        <f t="array" ref="D1147">IFERROR(INDEX({"Small","Medium","Large"},MATCH(TRUE,ISNUMBER(SEARCH({"Small","Medium","Large"},A1147)),0)),"")</f>
        <v>Small</v>
      </c>
      <c r="E1147" t="str">
        <f t="shared" si="17"/>
        <v>0.122</v>
      </c>
    </row>
    <row r="1148" spans="1:5" x14ac:dyDescent="0.3">
      <c r="A1148" t="s">
        <v>1146</v>
      </c>
      <c r="B1148" t="str" cm="1">
        <f t="array" ref="B1148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hemlock"},A1148)),0)),"")</f>
        <v>Western hemlock</v>
      </c>
      <c r="C1148" t="str" cm="1">
        <f t="array" ref="C1148">IFERROR(INDEX({"Ridgetop","Other"},MATCH(TRUE,ISNUMBER(SEARCH({"Ridgetop","Other"},A1148)),0)),"")</f>
        <v>Ridgetop</v>
      </c>
      <c r="D1148" t="str" cm="1">
        <f t="array" ref="D1148">IFERROR(INDEX({"Small","Medium","Large"},MATCH(TRUE,ISNUMBER(SEARCH({"Small","Medium","Large"},A1148)),0)),"")</f>
        <v>Medium</v>
      </c>
      <c r="E1148" t="str">
        <f t="shared" si="17"/>
        <v>0.074</v>
      </c>
    </row>
    <row r="1149" spans="1:5" x14ac:dyDescent="0.3">
      <c r="A1149" t="s">
        <v>1147</v>
      </c>
      <c r="B1149" t="str" cm="1">
        <f t="array" ref="B1149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hemlock"},A1149)),0)),"")</f>
        <v>Western hemlock</v>
      </c>
      <c r="C1149" t="str" cm="1">
        <f t="array" ref="C1149">IFERROR(INDEX({"Ridgetop","Other"},MATCH(TRUE,ISNUMBER(SEARCH({"Ridgetop","Other"},A1149)),0)),"")</f>
        <v>Ridgetop</v>
      </c>
      <c r="D1149" t="str" cm="1">
        <f t="array" ref="D1149">IFERROR(INDEX({"Small","Medium","Large"},MATCH(TRUE,ISNUMBER(SEARCH({"Small","Medium","Large"},A1149)),0)),"")</f>
        <v>Large</v>
      </c>
      <c r="E1149" t="str">
        <f t="shared" si="17"/>
        <v>0.040</v>
      </c>
    </row>
    <row r="1150" spans="1:5" x14ac:dyDescent="0.3">
      <c r="A1150" t="s">
        <v>1148</v>
      </c>
      <c r="B1150" t="str" cm="1">
        <f t="array" ref="B1150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hemlock"},A1150)),0)),"")</f>
        <v>Western hemlock</v>
      </c>
      <c r="C1150" t="str" cm="1">
        <f t="array" ref="C1150">IFERROR(INDEX({"Ridgetop","Other"},MATCH(TRUE,ISNUMBER(SEARCH({"Ridgetop","Other"},A1150)),0)),"")</f>
        <v>Ridgetop</v>
      </c>
      <c r="D1150" t="str" cm="1">
        <f t="array" ref="D1150">IFERROR(INDEX({"Small","Medium","Large"},MATCH(TRUE,ISNUMBER(SEARCH({"Small","Medium","Large"},A1150)),0)),"")</f>
        <v>Small</v>
      </c>
      <c r="E1150" t="str">
        <f t="shared" si="17"/>
        <v>0.122</v>
      </c>
    </row>
    <row r="1151" spans="1:5" x14ac:dyDescent="0.3">
      <c r="A1151" t="s">
        <v>1149</v>
      </c>
      <c r="B1151" t="str" cm="1">
        <f t="array" ref="B1151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hemlock"},A1151)),0)),"")</f>
        <v>Western hemlock</v>
      </c>
      <c r="C1151" t="str" cm="1">
        <f t="array" ref="C1151">IFERROR(INDEX({"Ridgetop","Other"},MATCH(TRUE,ISNUMBER(SEARCH({"Ridgetop","Other"},A1151)),0)),"")</f>
        <v>Ridgetop</v>
      </c>
      <c r="D1151" t="str" cm="1">
        <f t="array" ref="D1151">IFERROR(INDEX({"Small","Medium","Large"},MATCH(TRUE,ISNUMBER(SEARCH({"Small","Medium","Large"},A1151)),0)),"")</f>
        <v>Medium</v>
      </c>
      <c r="E1151" t="str">
        <f t="shared" si="17"/>
        <v>0.074</v>
      </c>
    </row>
    <row r="1152" spans="1:5" x14ac:dyDescent="0.3">
      <c r="A1152" t="s">
        <v>1150</v>
      </c>
      <c r="B1152" t="str" cm="1">
        <f t="array" ref="B1152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hemlock"},A1152)),0)),"")</f>
        <v>Western hemlock</v>
      </c>
      <c r="C1152" t="str" cm="1">
        <f t="array" ref="C1152">IFERROR(INDEX({"Ridgetop","Other"},MATCH(TRUE,ISNUMBER(SEARCH({"Ridgetop","Other"},A1152)),0)),"")</f>
        <v>Ridgetop</v>
      </c>
      <c r="D1152" t="str" cm="1">
        <f t="array" ref="D1152">IFERROR(INDEX({"Small","Medium","Large"},MATCH(TRUE,ISNUMBER(SEARCH({"Small","Medium","Large"},A1152)),0)),"")</f>
        <v>Large</v>
      </c>
      <c r="E1152" t="str">
        <f t="shared" si="17"/>
        <v>0.040</v>
      </c>
    </row>
    <row r="1153" spans="1:5" x14ac:dyDescent="0.3">
      <c r="A1153" t="s">
        <v>1151</v>
      </c>
      <c r="B1153" t="str" cm="1">
        <f t="array" ref="B1153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hemlock"},A1153)),0)),"")</f>
        <v>Western hemlock</v>
      </c>
      <c r="C1153" t="str" cm="1">
        <f t="array" ref="C1153">IFERROR(INDEX({"Ridgetop","Other"},MATCH(TRUE,ISNUMBER(SEARCH({"Ridgetop","Other"},A1153)),0)),"")</f>
        <v>Other</v>
      </c>
      <c r="D1153" t="str" cm="1">
        <f t="array" ref="D1153">IFERROR(INDEX({"Small","Medium","Large"},MATCH(TRUE,ISNUMBER(SEARCH({"Small","Medium","Large"},A1153)),0)),"")</f>
        <v>Small</v>
      </c>
      <c r="E1153" t="str">
        <f t="shared" si="17"/>
        <v>0.059</v>
      </c>
    </row>
    <row r="1154" spans="1:5" x14ac:dyDescent="0.3">
      <c r="A1154" t="s">
        <v>1152</v>
      </c>
      <c r="B1154" t="str" cm="1">
        <f t="array" ref="B1154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hemlock"},A1154)),0)),"")</f>
        <v>Western hemlock</v>
      </c>
      <c r="C1154" t="str" cm="1">
        <f t="array" ref="C1154">IFERROR(INDEX({"Ridgetop","Other"},MATCH(TRUE,ISNUMBER(SEARCH({"Ridgetop","Other"},A1154)),0)),"")</f>
        <v>Other</v>
      </c>
      <c r="D1154" t="str" cm="1">
        <f t="array" ref="D1154">IFERROR(INDEX({"Small","Medium","Large"},MATCH(TRUE,ISNUMBER(SEARCH({"Small","Medium","Large"},A1154)),0)),"")</f>
        <v>Medium</v>
      </c>
      <c r="E1154" t="str">
        <f t="shared" si="17"/>
        <v>0.036</v>
      </c>
    </row>
    <row r="1155" spans="1:5" x14ac:dyDescent="0.3">
      <c r="A1155" t="s">
        <v>1153</v>
      </c>
      <c r="B1155" t="str" cm="1">
        <f t="array" ref="B1155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hemlock"},A1155)),0)),"")</f>
        <v>Western hemlock</v>
      </c>
      <c r="C1155" t="str" cm="1">
        <f t="array" ref="C1155">IFERROR(INDEX({"Ridgetop","Other"},MATCH(TRUE,ISNUMBER(SEARCH({"Ridgetop","Other"},A1155)),0)),"")</f>
        <v>Other</v>
      </c>
      <c r="D1155" t="str" cm="1">
        <f t="array" ref="D1155">IFERROR(INDEX({"Small","Medium","Large"},MATCH(TRUE,ISNUMBER(SEARCH({"Small","Medium","Large"},A1155)),0)),"")</f>
        <v>Large</v>
      </c>
      <c r="E1155" t="str">
        <f t="shared" ref="E1155:E1218" si="18">RIGHT(A1155,LEN(A1155)-FIND("@",SUBSTITUTE(A1155," ","@",LEN(A1155)-LEN(SUBSTITUTE(A1155," ","")))))</f>
        <v>0.020</v>
      </c>
    </row>
    <row r="1156" spans="1:5" x14ac:dyDescent="0.3">
      <c r="A1156" t="s">
        <v>1154</v>
      </c>
      <c r="B1156" t="str" cm="1">
        <f t="array" ref="B1156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hemlock"},A1156)),0)),"")</f>
        <v>Western hemlock</v>
      </c>
      <c r="C1156" t="str" cm="1">
        <f t="array" ref="C1156">IFERROR(INDEX({"Ridgetop","Other"},MATCH(TRUE,ISNUMBER(SEARCH({"Ridgetop","Other"},A1156)),0)),"")</f>
        <v>Other</v>
      </c>
      <c r="D1156" t="str" cm="1">
        <f t="array" ref="D1156">IFERROR(INDEX({"Small","Medium","Large"},MATCH(TRUE,ISNUMBER(SEARCH({"Small","Medium","Large"},A1156)),0)),"")</f>
        <v>Small</v>
      </c>
      <c r="E1156" t="str">
        <f t="shared" si="18"/>
        <v>0.067</v>
      </c>
    </row>
    <row r="1157" spans="1:5" x14ac:dyDescent="0.3">
      <c r="A1157" t="s">
        <v>1155</v>
      </c>
      <c r="B1157" t="str" cm="1">
        <f t="array" ref="B1157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hemlock"},A1157)),0)),"")</f>
        <v>Western hemlock</v>
      </c>
      <c r="C1157" t="str" cm="1">
        <f t="array" ref="C1157">IFERROR(INDEX({"Ridgetop","Other"},MATCH(TRUE,ISNUMBER(SEARCH({"Ridgetop","Other"},A1157)),0)),"")</f>
        <v>Other</v>
      </c>
      <c r="D1157" t="str" cm="1">
        <f t="array" ref="D1157">IFERROR(INDEX({"Small","Medium","Large"},MATCH(TRUE,ISNUMBER(SEARCH({"Small","Medium","Large"},A1157)),0)),"")</f>
        <v>Medium</v>
      </c>
      <c r="E1157" t="str">
        <f t="shared" si="18"/>
        <v>0.041</v>
      </c>
    </row>
    <row r="1158" spans="1:5" x14ac:dyDescent="0.3">
      <c r="A1158" t="s">
        <v>1156</v>
      </c>
      <c r="B1158" t="str" cm="1">
        <f t="array" ref="B1158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hemlock"},A1158)),0)),"")</f>
        <v>Western hemlock</v>
      </c>
      <c r="C1158" t="str" cm="1">
        <f t="array" ref="C1158">IFERROR(INDEX({"Ridgetop","Other"},MATCH(TRUE,ISNUMBER(SEARCH({"Ridgetop","Other"},A1158)),0)),"")</f>
        <v>Other</v>
      </c>
      <c r="D1158" t="str" cm="1">
        <f t="array" ref="D1158">IFERROR(INDEX({"Small","Medium","Large"},MATCH(TRUE,ISNUMBER(SEARCH({"Small","Medium","Large"},A1158)),0)),"")</f>
        <v>Large</v>
      </c>
      <c r="E1158" t="str">
        <f t="shared" si="18"/>
        <v>0.022</v>
      </c>
    </row>
    <row r="1159" spans="1:5" x14ac:dyDescent="0.3">
      <c r="A1159" t="s">
        <v>1157</v>
      </c>
      <c r="B1159" t="str" cm="1">
        <f t="array" ref="B1159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hemlock"},A1159)),0)),"")</f>
        <v>Western hemlock</v>
      </c>
      <c r="C1159" t="str" cm="1">
        <f t="array" ref="C1159">IFERROR(INDEX({"Ridgetop","Other"},MATCH(TRUE,ISNUMBER(SEARCH({"Ridgetop","Other"},A1159)),0)),"")</f>
        <v>Other</v>
      </c>
      <c r="D1159" t="str" cm="1">
        <f t="array" ref="D1159">IFERROR(INDEX({"Small","Medium","Large"},MATCH(TRUE,ISNUMBER(SEARCH({"Small","Medium","Large"},A1159)),0)),"")</f>
        <v>Small</v>
      </c>
      <c r="E1159" t="str">
        <f t="shared" si="18"/>
        <v>0.073</v>
      </c>
    </row>
    <row r="1160" spans="1:5" x14ac:dyDescent="0.3">
      <c r="A1160" t="s">
        <v>1158</v>
      </c>
      <c r="B1160" t="str" cm="1">
        <f t="array" ref="B1160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hemlock"},A1160)),0)),"")</f>
        <v>Western hemlock</v>
      </c>
      <c r="C1160" t="str" cm="1">
        <f t="array" ref="C1160">IFERROR(INDEX({"Ridgetop","Other"},MATCH(TRUE,ISNUMBER(SEARCH({"Ridgetop","Other"},A1160)),0)),"")</f>
        <v>Other</v>
      </c>
      <c r="D1160" t="str" cm="1">
        <f t="array" ref="D1160">IFERROR(INDEX({"Small","Medium","Large"},MATCH(TRUE,ISNUMBER(SEARCH({"Small","Medium","Large"},A1160)),0)),"")</f>
        <v>Medium</v>
      </c>
      <c r="E1160" t="str">
        <f t="shared" si="18"/>
        <v>0.044</v>
      </c>
    </row>
    <row r="1161" spans="1:5" x14ac:dyDescent="0.3">
      <c r="A1161" t="s">
        <v>1159</v>
      </c>
      <c r="B1161" t="str" cm="1">
        <f t="array" ref="B1161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hemlock"},A1161)),0)),"")</f>
        <v>Western hemlock</v>
      </c>
      <c r="C1161" t="str" cm="1">
        <f t="array" ref="C1161">IFERROR(INDEX({"Ridgetop","Other"},MATCH(TRUE,ISNUMBER(SEARCH({"Ridgetop","Other"},A1161)),0)),"")</f>
        <v>Other</v>
      </c>
      <c r="D1161" t="str" cm="1">
        <f t="array" ref="D1161">IFERROR(INDEX({"Small","Medium","Large"},MATCH(TRUE,ISNUMBER(SEARCH({"Small","Medium","Large"},A1161)),0)),"")</f>
        <v>Large</v>
      </c>
      <c r="E1161" t="str">
        <f t="shared" si="18"/>
        <v>0.024</v>
      </c>
    </row>
    <row r="1162" spans="1:5" x14ac:dyDescent="0.3">
      <c r="A1162" t="s">
        <v>1160</v>
      </c>
      <c r="B1162" t="str" cm="1">
        <f t="array" ref="B1162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hemlock"},A1162)),0)),"")</f>
        <v>Western hemlock</v>
      </c>
      <c r="C1162" t="str" cm="1">
        <f t="array" ref="C1162">IFERROR(INDEX({"Ridgetop","Other"},MATCH(TRUE,ISNUMBER(SEARCH({"Ridgetop","Other"},A1162)),0)),"")</f>
        <v>Ridgetop</v>
      </c>
      <c r="D1162" t="str" cm="1">
        <f t="array" ref="D1162">IFERROR(INDEX({"Small","Medium","Large"},MATCH(TRUE,ISNUMBER(SEARCH({"Small","Medium","Large"},A1162)),0)),"")</f>
        <v>Small</v>
      </c>
      <c r="E1162" t="str">
        <f t="shared" si="18"/>
        <v>0.113</v>
      </c>
    </row>
    <row r="1163" spans="1:5" x14ac:dyDescent="0.3">
      <c r="A1163" t="s">
        <v>1161</v>
      </c>
      <c r="B1163" t="str" cm="1">
        <f t="array" ref="B1163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hemlock"},A1163)),0)),"")</f>
        <v>Western hemlock</v>
      </c>
      <c r="C1163" t="str" cm="1">
        <f t="array" ref="C1163">IFERROR(INDEX({"Ridgetop","Other"},MATCH(TRUE,ISNUMBER(SEARCH({"Ridgetop","Other"},A1163)),0)),"")</f>
        <v>Ridgetop</v>
      </c>
      <c r="D1163" t="str" cm="1">
        <f t="array" ref="D1163">IFERROR(INDEX({"Small","Medium","Large"},MATCH(TRUE,ISNUMBER(SEARCH({"Small","Medium","Large"},A1163)),0)),"")</f>
        <v>Medium</v>
      </c>
      <c r="E1163" t="str">
        <f t="shared" si="18"/>
        <v>0.068</v>
      </c>
    </row>
    <row r="1164" spans="1:5" x14ac:dyDescent="0.3">
      <c r="A1164" t="s">
        <v>1162</v>
      </c>
      <c r="B1164" t="str" cm="1">
        <f t="array" ref="B1164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hemlock"},A1164)),0)),"")</f>
        <v>Western hemlock</v>
      </c>
      <c r="C1164" t="str" cm="1">
        <f t="array" ref="C1164">IFERROR(INDEX({"Ridgetop","Other"},MATCH(TRUE,ISNUMBER(SEARCH({"Ridgetop","Other"},A1164)),0)),"")</f>
        <v>Ridgetop</v>
      </c>
      <c r="D1164" t="str" cm="1">
        <f t="array" ref="D1164">IFERROR(INDEX({"Small","Medium","Large"},MATCH(TRUE,ISNUMBER(SEARCH({"Small","Medium","Large"},A1164)),0)),"")</f>
        <v>Large</v>
      </c>
      <c r="E1164" t="str">
        <f t="shared" si="18"/>
        <v>0.037</v>
      </c>
    </row>
    <row r="1165" spans="1:5" x14ac:dyDescent="0.3">
      <c r="A1165" t="s">
        <v>1163</v>
      </c>
      <c r="B1165" t="str" cm="1">
        <f t="array" ref="B1165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hemlock"},A1165)),0)),"")</f>
        <v>Western hemlock</v>
      </c>
      <c r="C1165" t="str" cm="1">
        <f t="array" ref="C1165">IFERROR(INDEX({"Ridgetop","Other"},MATCH(TRUE,ISNUMBER(SEARCH({"Ridgetop","Other"},A1165)),0)),"")</f>
        <v>Ridgetop</v>
      </c>
      <c r="D1165" t="str" cm="1">
        <f t="array" ref="D1165">IFERROR(INDEX({"Small","Medium","Large"},MATCH(TRUE,ISNUMBER(SEARCH({"Small","Medium","Large"},A1165)),0)),"")</f>
        <v>Small</v>
      </c>
      <c r="E1165" t="str">
        <f t="shared" si="18"/>
        <v>0.113</v>
      </c>
    </row>
    <row r="1166" spans="1:5" x14ac:dyDescent="0.3">
      <c r="A1166" t="s">
        <v>1164</v>
      </c>
      <c r="B1166" t="str" cm="1">
        <f t="array" ref="B1166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hemlock"},A1166)),0)),"")</f>
        <v>Western hemlock</v>
      </c>
      <c r="C1166" t="str" cm="1">
        <f t="array" ref="C1166">IFERROR(INDEX({"Ridgetop","Other"},MATCH(TRUE,ISNUMBER(SEARCH({"Ridgetop","Other"},A1166)),0)),"")</f>
        <v>Ridgetop</v>
      </c>
      <c r="D1166" t="str" cm="1">
        <f t="array" ref="D1166">IFERROR(INDEX({"Small","Medium","Large"},MATCH(TRUE,ISNUMBER(SEARCH({"Small","Medium","Large"},A1166)),0)),"")</f>
        <v>Medium</v>
      </c>
      <c r="E1166" t="str">
        <f t="shared" si="18"/>
        <v>0.068</v>
      </c>
    </row>
    <row r="1167" spans="1:5" x14ac:dyDescent="0.3">
      <c r="A1167" t="s">
        <v>1165</v>
      </c>
      <c r="B1167" t="str" cm="1">
        <f t="array" ref="B1167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hemlock"},A1167)),0)),"")</f>
        <v>Western hemlock</v>
      </c>
      <c r="C1167" t="str" cm="1">
        <f t="array" ref="C1167">IFERROR(INDEX({"Ridgetop","Other"},MATCH(TRUE,ISNUMBER(SEARCH({"Ridgetop","Other"},A1167)),0)),"")</f>
        <v>Ridgetop</v>
      </c>
      <c r="D1167" t="str" cm="1">
        <f t="array" ref="D1167">IFERROR(INDEX({"Small","Medium","Large"},MATCH(TRUE,ISNUMBER(SEARCH({"Small","Medium","Large"},A1167)),0)),"")</f>
        <v>Large</v>
      </c>
      <c r="E1167" t="str">
        <f t="shared" si="18"/>
        <v>0.037</v>
      </c>
    </row>
    <row r="1168" spans="1:5" x14ac:dyDescent="0.3">
      <c r="A1168" t="s">
        <v>1166</v>
      </c>
      <c r="B1168" t="str" cm="1">
        <f t="array" ref="B1168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hemlock"},A1168)),0)),"")</f>
        <v>Western hemlock</v>
      </c>
      <c r="C1168" t="str" cm="1">
        <f t="array" ref="C1168">IFERROR(INDEX({"Ridgetop","Other"},MATCH(TRUE,ISNUMBER(SEARCH({"Ridgetop","Other"},A1168)),0)),"")</f>
        <v>Ridgetop</v>
      </c>
      <c r="D1168" t="str" cm="1">
        <f t="array" ref="D1168">IFERROR(INDEX({"Small","Medium","Large"},MATCH(TRUE,ISNUMBER(SEARCH({"Small","Medium","Large"},A1168)),0)),"")</f>
        <v>Small</v>
      </c>
      <c r="E1168" t="str">
        <f t="shared" si="18"/>
        <v>0.116</v>
      </c>
    </row>
    <row r="1169" spans="1:5" x14ac:dyDescent="0.3">
      <c r="A1169" t="s">
        <v>1167</v>
      </c>
      <c r="B1169" t="str" cm="1">
        <f t="array" ref="B1169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hemlock"},A1169)),0)),"")</f>
        <v>Western hemlock</v>
      </c>
      <c r="C1169" t="str" cm="1">
        <f t="array" ref="C1169">IFERROR(INDEX({"Ridgetop","Other"},MATCH(TRUE,ISNUMBER(SEARCH({"Ridgetop","Other"},A1169)),0)),"")</f>
        <v>Ridgetop</v>
      </c>
      <c r="D1169" t="str" cm="1">
        <f t="array" ref="D1169">IFERROR(INDEX({"Small","Medium","Large"},MATCH(TRUE,ISNUMBER(SEARCH({"Small","Medium","Large"},A1169)),0)),"")</f>
        <v>Medium</v>
      </c>
      <c r="E1169" t="str">
        <f t="shared" si="18"/>
        <v>0.070</v>
      </c>
    </row>
    <row r="1170" spans="1:5" x14ac:dyDescent="0.3">
      <c r="A1170" t="s">
        <v>1168</v>
      </c>
      <c r="B1170" t="str" cm="1">
        <f t="array" ref="B1170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hemlock"},A1170)),0)),"")</f>
        <v>Western hemlock</v>
      </c>
      <c r="C1170" t="str" cm="1">
        <f t="array" ref="C1170">IFERROR(INDEX({"Ridgetop","Other"},MATCH(TRUE,ISNUMBER(SEARCH({"Ridgetop","Other"},A1170)),0)),"")</f>
        <v>Ridgetop</v>
      </c>
      <c r="D1170" t="str" cm="1">
        <f t="array" ref="D1170">IFERROR(INDEX({"Small","Medium","Large"},MATCH(TRUE,ISNUMBER(SEARCH({"Small","Medium","Large"},A1170)),0)),"")</f>
        <v>Large</v>
      </c>
      <c r="E1170" t="str">
        <f t="shared" si="18"/>
        <v>0.038</v>
      </c>
    </row>
    <row r="1171" spans="1:5" x14ac:dyDescent="0.3">
      <c r="A1171" t="s">
        <v>1169</v>
      </c>
      <c r="B1171" t="str" cm="1">
        <f t="array" ref="B1171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hemlock"},A1171)),0)),"")</f>
        <v>Western hemlock</v>
      </c>
      <c r="C1171" t="str" cm="1">
        <f t="array" ref="C1171">IFERROR(INDEX({"Ridgetop","Other"},MATCH(TRUE,ISNUMBER(SEARCH({"Ridgetop","Other"},A1171)),0)),"")</f>
        <v>Other</v>
      </c>
      <c r="D1171" t="str" cm="1">
        <f t="array" ref="D1171">IFERROR(INDEX({"Small","Medium","Large"},MATCH(TRUE,ISNUMBER(SEARCH({"Small","Medium","Large"},A1171)),0)),"")</f>
        <v>Small</v>
      </c>
      <c r="E1171" t="str">
        <f t="shared" si="18"/>
        <v>0.067</v>
      </c>
    </row>
    <row r="1172" spans="1:5" x14ac:dyDescent="0.3">
      <c r="A1172" t="s">
        <v>1170</v>
      </c>
      <c r="B1172" t="str" cm="1">
        <f t="array" ref="B1172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hemlock"},A1172)),0)),"")</f>
        <v>Western hemlock</v>
      </c>
      <c r="C1172" t="str" cm="1">
        <f t="array" ref="C1172">IFERROR(INDEX({"Ridgetop","Other"},MATCH(TRUE,ISNUMBER(SEARCH({"Ridgetop","Other"},A1172)),0)),"")</f>
        <v>Other</v>
      </c>
      <c r="D1172" t="str" cm="1">
        <f t="array" ref="D1172">IFERROR(INDEX({"Small","Medium","Large"},MATCH(TRUE,ISNUMBER(SEARCH({"Small","Medium","Large"},A1172)),0)),"")</f>
        <v>Medium</v>
      </c>
      <c r="E1172" t="str">
        <f t="shared" si="18"/>
        <v>0.041</v>
      </c>
    </row>
    <row r="1173" spans="1:5" x14ac:dyDescent="0.3">
      <c r="A1173" t="s">
        <v>1171</v>
      </c>
      <c r="B1173" t="str" cm="1">
        <f t="array" ref="B1173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hemlock"},A1173)),0)),"")</f>
        <v>Western hemlock</v>
      </c>
      <c r="C1173" t="str" cm="1">
        <f t="array" ref="C1173">IFERROR(INDEX({"Ridgetop","Other"},MATCH(TRUE,ISNUMBER(SEARCH({"Ridgetop","Other"},A1173)),0)),"")</f>
        <v>Other</v>
      </c>
      <c r="D1173" t="str" cm="1">
        <f t="array" ref="D1173">IFERROR(INDEX({"Small","Medium","Large"},MATCH(TRUE,ISNUMBER(SEARCH({"Small","Medium","Large"},A1173)),0)),"")</f>
        <v>Large</v>
      </c>
      <c r="E1173" t="str">
        <f t="shared" si="18"/>
        <v>0.022</v>
      </c>
    </row>
    <row r="1174" spans="1:5" x14ac:dyDescent="0.3">
      <c r="A1174" t="s">
        <v>1172</v>
      </c>
      <c r="B1174" t="str" cm="1">
        <f t="array" ref="B1174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hemlock"},A1174)),0)),"")</f>
        <v>Western hemlock</v>
      </c>
      <c r="C1174" t="str" cm="1">
        <f t="array" ref="C1174">IFERROR(INDEX({"Ridgetop","Other"},MATCH(TRUE,ISNUMBER(SEARCH({"Ridgetop","Other"},A1174)),0)),"")</f>
        <v>Other</v>
      </c>
      <c r="D1174" t="str" cm="1">
        <f t="array" ref="D1174">IFERROR(INDEX({"Small","Medium","Large"},MATCH(TRUE,ISNUMBER(SEARCH({"Small","Medium","Large"},A1174)),0)),"")</f>
        <v>Small</v>
      </c>
      <c r="E1174" t="str">
        <f t="shared" si="18"/>
        <v>0.073</v>
      </c>
    </row>
    <row r="1175" spans="1:5" x14ac:dyDescent="0.3">
      <c r="A1175" t="s">
        <v>1173</v>
      </c>
      <c r="B1175" t="str" cm="1">
        <f t="array" ref="B1175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hemlock"},A1175)),0)),"")</f>
        <v>Western hemlock</v>
      </c>
      <c r="C1175" t="str" cm="1">
        <f t="array" ref="C1175">IFERROR(INDEX({"Ridgetop","Other"},MATCH(TRUE,ISNUMBER(SEARCH({"Ridgetop","Other"},A1175)),0)),"")</f>
        <v>Other</v>
      </c>
      <c r="D1175" t="str" cm="1">
        <f t="array" ref="D1175">IFERROR(INDEX({"Small","Medium","Large"},MATCH(TRUE,ISNUMBER(SEARCH({"Small","Medium","Large"},A1175)),0)),"")</f>
        <v>Medium</v>
      </c>
      <c r="E1175" t="str">
        <f t="shared" si="18"/>
        <v>0.044</v>
      </c>
    </row>
    <row r="1176" spans="1:5" x14ac:dyDescent="0.3">
      <c r="A1176" t="s">
        <v>1174</v>
      </c>
      <c r="B1176" t="str" cm="1">
        <f t="array" ref="B1176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hemlock"},A1176)),0)),"")</f>
        <v>Western hemlock</v>
      </c>
      <c r="C1176" t="str" cm="1">
        <f t="array" ref="C1176">IFERROR(INDEX({"Ridgetop","Other"},MATCH(TRUE,ISNUMBER(SEARCH({"Ridgetop","Other"},A1176)),0)),"")</f>
        <v>Other</v>
      </c>
      <c r="D1176" t="str" cm="1">
        <f t="array" ref="D1176">IFERROR(INDEX({"Small","Medium","Large"},MATCH(TRUE,ISNUMBER(SEARCH({"Small","Medium","Large"},A1176)),0)),"")</f>
        <v>Large</v>
      </c>
      <c r="E1176" t="str">
        <f t="shared" si="18"/>
        <v>0.024</v>
      </c>
    </row>
    <row r="1177" spans="1:5" x14ac:dyDescent="0.3">
      <c r="A1177" t="s">
        <v>1175</v>
      </c>
      <c r="B1177" t="str" cm="1">
        <f t="array" ref="B1177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hemlock"},A1177)),0)),"")</f>
        <v>Western hemlock</v>
      </c>
      <c r="C1177" t="str" cm="1">
        <f t="array" ref="C1177">IFERROR(INDEX({"Ridgetop","Other"},MATCH(TRUE,ISNUMBER(SEARCH({"Ridgetop","Other"},A1177)),0)),"")</f>
        <v>Other</v>
      </c>
      <c r="D1177" t="str" cm="1">
        <f t="array" ref="D1177">IFERROR(INDEX({"Small","Medium","Large"},MATCH(TRUE,ISNUMBER(SEARCH({"Small","Medium","Large"},A1177)),0)),"")</f>
        <v>Small</v>
      </c>
      <c r="E1177" t="str">
        <f t="shared" si="18"/>
        <v>0.073</v>
      </c>
    </row>
    <row r="1178" spans="1:5" x14ac:dyDescent="0.3">
      <c r="A1178" t="s">
        <v>1176</v>
      </c>
      <c r="B1178" t="str" cm="1">
        <f t="array" ref="B1178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hemlock"},A1178)),0)),"")</f>
        <v>Western hemlock</v>
      </c>
      <c r="C1178" t="str" cm="1">
        <f t="array" ref="C1178">IFERROR(INDEX({"Ridgetop","Other"},MATCH(TRUE,ISNUMBER(SEARCH({"Ridgetop","Other"},A1178)),0)),"")</f>
        <v>Other</v>
      </c>
      <c r="D1178" t="str" cm="1">
        <f t="array" ref="D1178">IFERROR(INDEX({"Small","Medium","Large"},MATCH(TRUE,ISNUMBER(SEARCH({"Small","Medium","Large"},A1178)),0)),"")</f>
        <v>Medium</v>
      </c>
      <c r="E1178" t="str">
        <f t="shared" si="18"/>
        <v>0.044</v>
      </c>
    </row>
    <row r="1179" spans="1:5" x14ac:dyDescent="0.3">
      <c r="A1179" t="s">
        <v>1177</v>
      </c>
      <c r="B1179" t="str" cm="1">
        <f t="array" ref="B1179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hemlock"},A1179)),0)),"")</f>
        <v>Western hemlock</v>
      </c>
      <c r="C1179" t="str" cm="1">
        <f t="array" ref="C1179">IFERROR(INDEX({"Ridgetop","Other"},MATCH(TRUE,ISNUMBER(SEARCH({"Ridgetop","Other"},A1179)),0)),"")</f>
        <v>Other</v>
      </c>
      <c r="D1179" t="str" cm="1">
        <f t="array" ref="D1179">IFERROR(INDEX({"Small","Medium","Large"},MATCH(TRUE,ISNUMBER(SEARCH({"Small","Medium","Large"},A1179)),0)),"")</f>
        <v>Large</v>
      </c>
      <c r="E1179" t="str">
        <f t="shared" si="18"/>
        <v>0.024</v>
      </c>
    </row>
    <row r="1180" spans="1:5" x14ac:dyDescent="0.3">
      <c r="A1180" t="s">
        <v>1178</v>
      </c>
      <c r="B1180" t="str" cm="1">
        <f t="array" ref="B1180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hemlock"},A1180)),0)),"")</f>
        <v>Western hemlock</v>
      </c>
      <c r="C1180" t="str" cm="1">
        <f t="array" ref="C1180">IFERROR(INDEX({"Ridgetop","Other"},MATCH(TRUE,ISNUMBER(SEARCH({"Ridgetop","Other"},A1180)),0)),"")</f>
        <v>Ridgetop</v>
      </c>
      <c r="D1180" t="str" cm="1">
        <f t="array" ref="D1180">IFERROR(INDEX({"Small","Medium","Large"},MATCH(TRUE,ISNUMBER(SEARCH({"Small","Medium","Large"},A1180)),0)),"")</f>
        <v>Small</v>
      </c>
      <c r="E1180" t="str">
        <f t="shared" si="18"/>
        <v>0.122</v>
      </c>
    </row>
    <row r="1181" spans="1:5" x14ac:dyDescent="0.3">
      <c r="A1181" t="s">
        <v>1179</v>
      </c>
      <c r="B1181" t="str" cm="1">
        <f t="array" ref="B1181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hemlock"},A1181)),0)),"")</f>
        <v>Western hemlock</v>
      </c>
      <c r="C1181" t="str" cm="1">
        <f t="array" ref="C1181">IFERROR(INDEX({"Ridgetop","Other"},MATCH(TRUE,ISNUMBER(SEARCH({"Ridgetop","Other"},A1181)),0)),"")</f>
        <v>Ridgetop</v>
      </c>
      <c r="D1181" t="str" cm="1">
        <f t="array" ref="D1181">IFERROR(INDEX({"Small","Medium","Large"},MATCH(TRUE,ISNUMBER(SEARCH({"Small","Medium","Large"},A1181)),0)),"")</f>
        <v>Medium</v>
      </c>
      <c r="E1181" t="str">
        <f t="shared" si="18"/>
        <v>0.074</v>
      </c>
    </row>
    <row r="1182" spans="1:5" x14ac:dyDescent="0.3">
      <c r="A1182" t="s">
        <v>1180</v>
      </c>
      <c r="B1182" t="str" cm="1">
        <f t="array" ref="B1182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hemlock"},A1182)),0)),"")</f>
        <v>Western hemlock</v>
      </c>
      <c r="C1182" t="str" cm="1">
        <f t="array" ref="C1182">IFERROR(INDEX({"Ridgetop","Other"},MATCH(TRUE,ISNUMBER(SEARCH({"Ridgetop","Other"},A1182)),0)),"")</f>
        <v>Ridgetop</v>
      </c>
      <c r="D1182" t="str" cm="1">
        <f t="array" ref="D1182">IFERROR(INDEX({"Small","Medium","Large"},MATCH(TRUE,ISNUMBER(SEARCH({"Small","Medium","Large"},A1182)),0)),"")</f>
        <v>Large</v>
      </c>
      <c r="E1182" t="str">
        <f t="shared" si="18"/>
        <v>0.040</v>
      </c>
    </row>
    <row r="1183" spans="1:5" x14ac:dyDescent="0.3">
      <c r="A1183" t="s">
        <v>1181</v>
      </c>
      <c r="B1183" t="str" cm="1">
        <f t="array" ref="B1183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hemlock"},A1183)),0)),"")</f>
        <v>Western hemlock</v>
      </c>
      <c r="C1183" t="str" cm="1">
        <f t="array" ref="C1183">IFERROR(INDEX({"Ridgetop","Other"},MATCH(TRUE,ISNUMBER(SEARCH({"Ridgetop","Other"},A1183)),0)),"")</f>
        <v>Ridgetop</v>
      </c>
      <c r="D1183" t="str" cm="1">
        <f t="array" ref="D1183">IFERROR(INDEX({"Small","Medium","Large"},MATCH(TRUE,ISNUMBER(SEARCH({"Small","Medium","Large"},A1183)),0)),"")</f>
        <v>Small</v>
      </c>
      <c r="E1183" t="str">
        <f t="shared" si="18"/>
        <v>0.122</v>
      </c>
    </row>
    <row r="1184" spans="1:5" x14ac:dyDescent="0.3">
      <c r="A1184" t="s">
        <v>1182</v>
      </c>
      <c r="B1184" t="str" cm="1">
        <f t="array" ref="B1184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hemlock"},A1184)),0)),"")</f>
        <v>Western hemlock</v>
      </c>
      <c r="C1184" t="str" cm="1">
        <f t="array" ref="C1184">IFERROR(INDEX({"Ridgetop","Other"},MATCH(TRUE,ISNUMBER(SEARCH({"Ridgetop","Other"},A1184)),0)),"")</f>
        <v>Ridgetop</v>
      </c>
      <c r="D1184" t="str" cm="1">
        <f t="array" ref="D1184">IFERROR(INDEX({"Small","Medium","Large"},MATCH(TRUE,ISNUMBER(SEARCH({"Small","Medium","Large"},A1184)),0)),"")</f>
        <v>Medium</v>
      </c>
      <c r="E1184" t="str">
        <f t="shared" si="18"/>
        <v>0.074</v>
      </c>
    </row>
    <row r="1185" spans="1:5" x14ac:dyDescent="0.3">
      <c r="A1185" t="s">
        <v>1183</v>
      </c>
      <c r="B1185" t="str" cm="1">
        <f t="array" ref="B1185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hemlock"},A1185)),0)),"")</f>
        <v>Western hemlock</v>
      </c>
      <c r="C1185" t="str" cm="1">
        <f t="array" ref="C1185">IFERROR(INDEX({"Ridgetop","Other"},MATCH(TRUE,ISNUMBER(SEARCH({"Ridgetop","Other"},A1185)),0)),"")</f>
        <v>Ridgetop</v>
      </c>
      <c r="D1185" t="str" cm="1">
        <f t="array" ref="D1185">IFERROR(INDEX({"Small","Medium","Large"},MATCH(TRUE,ISNUMBER(SEARCH({"Small","Medium","Large"},A1185)),0)),"")</f>
        <v>Large</v>
      </c>
      <c r="E1185" t="str">
        <f t="shared" si="18"/>
        <v>0.040</v>
      </c>
    </row>
    <row r="1186" spans="1:5" x14ac:dyDescent="0.3">
      <c r="A1186" t="s">
        <v>1184</v>
      </c>
      <c r="B1186" t="str" cm="1">
        <f t="array" ref="B1186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hemlock"},A1186)),0)),"")</f>
        <v>Western hemlock</v>
      </c>
      <c r="C1186" t="str" cm="1">
        <f t="array" ref="C1186">IFERROR(INDEX({"Ridgetop","Other"},MATCH(TRUE,ISNUMBER(SEARCH({"Ridgetop","Other"},A1186)),0)),"")</f>
        <v>Ridgetop</v>
      </c>
      <c r="D1186" t="str" cm="1">
        <f t="array" ref="D1186">IFERROR(INDEX({"Small","Medium","Large"},MATCH(TRUE,ISNUMBER(SEARCH({"Small","Medium","Large"},A1186)),0)),"")</f>
        <v>Small</v>
      </c>
      <c r="E1186" t="str">
        <f t="shared" si="18"/>
        <v>0.122</v>
      </c>
    </row>
    <row r="1187" spans="1:5" x14ac:dyDescent="0.3">
      <c r="A1187" t="s">
        <v>1185</v>
      </c>
      <c r="B1187" t="str" cm="1">
        <f t="array" ref="B1187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hemlock"},A1187)),0)),"")</f>
        <v>Western hemlock</v>
      </c>
      <c r="C1187" t="str" cm="1">
        <f t="array" ref="C1187">IFERROR(INDEX({"Ridgetop","Other"},MATCH(TRUE,ISNUMBER(SEARCH({"Ridgetop","Other"},A1187)),0)),"")</f>
        <v>Ridgetop</v>
      </c>
      <c r="D1187" t="str" cm="1">
        <f t="array" ref="D1187">IFERROR(INDEX({"Small","Medium","Large"},MATCH(TRUE,ISNUMBER(SEARCH({"Small","Medium","Large"},A1187)),0)),"")</f>
        <v>Medium</v>
      </c>
      <c r="E1187" t="str">
        <f t="shared" si="18"/>
        <v>0.074</v>
      </c>
    </row>
    <row r="1188" spans="1:5" x14ac:dyDescent="0.3">
      <c r="A1188" t="s">
        <v>1186</v>
      </c>
      <c r="B1188" t="str" cm="1">
        <f t="array" ref="B1188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hemlock"},A1188)),0)),"")</f>
        <v>Western hemlock</v>
      </c>
      <c r="C1188" t="str" cm="1">
        <f t="array" ref="C1188">IFERROR(INDEX({"Ridgetop","Other"},MATCH(TRUE,ISNUMBER(SEARCH({"Ridgetop","Other"},A1188)),0)),"")</f>
        <v>Ridgetop</v>
      </c>
      <c r="D1188" t="str" cm="1">
        <f t="array" ref="D1188">IFERROR(INDEX({"Small","Medium","Large"},MATCH(TRUE,ISNUMBER(SEARCH({"Small","Medium","Large"},A1188)),0)),"")</f>
        <v>Large</v>
      </c>
      <c r="E1188" t="str">
        <f t="shared" si="18"/>
        <v>0.040</v>
      </c>
    </row>
    <row r="1189" spans="1:5" x14ac:dyDescent="0.3">
      <c r="A1189" t="s">
        <v>1187</v>
      </c>
      <c r="B1189" t="str" cm="1">
        <f t="array" ref="B1189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hemlock"},A1189)),0)),"")</f>
        <v>Mountain hemlock</v>
      </c>
      <c r="C1189" t="str" cm="1">
        <f t="array" ref="C1189">IFERROR(INDEX({"Ridgetop","Other"},MATCH(TRUE,ISNUMBER(SEARCH({"Ridgetop","Other"},A1189)),0)),"")</f>
        <v>Other</v>
      </c>
      <c r="D1189" t="str" cm="1">
        <f t="array" ref="D1189">IFERROR(INDEX({"Small","Medium","Large"},MATCH(TRUE,ISNUMBER(SEARCH({"Small","Medium","Large"},A1189)),0)),"")</f>
        <v>Small</v>
      </c>
      <c r="E1189" t="str">
        <f t="shared" si="18"/>
        <v>0.042</v>
      </c>
    </row>
    <row r="1190" spans="1:5" x14ac:dyDescent="0.3">
      <c r="A1190" t="s">
        <v>1188</v>
      </c>
      <c r="B1190" t="str" cm="1">
        <f t="array" ref="B1190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hemlock"},A1190)),0)),"")</f>
        <v>Mountain hemlock</v>
      </c>
      <c r="C1190" t="str" cm="1">
        <f t="array" ref="C1190">IFERROR(INDEX({"Ridgetop","Other"},MATCH(TRUE,ISNUMBER(SEARCH({"Ridgetop","Other"},A1190)),0)),"")</f>
        <v>Other</v>
      </c>
      <c r="D1190" t="str" cm="1">
        <f t="array" ref="D1190">IFERROR(INDEX({"Small","Medium","Large"},MATCH(TRUE,ISNUMBER(SEARCH({"Small","Medium","Large"},A1190)),0)),"")</f>
        <v>Medium</v>
      </c>
      <c r="E1190" t="str">
        <f t="shared" si="18"/>
        <v>0.035</v>
      </c>
    </row>
    <row r="1191" spans="1:5" x14ac:dyDescent="0.3">
      <c r="A1191" t="s">
        <v>1189</v>
      </c>
      <c r="B1191" t="str" cm="1">
        <f t="array" ref="B1191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hemlock"},A1191)),0)),"")</f>
        <v>Mountain hemlock</v>
      </c>
      <c r="C1191" t="str" cm="1">
        <f t="array" ref="C1191">IFERROR(INDEX({"Ridgetop","Other"},MATCH(TRUE,ISNUMBER(SEARCH({"Ridgetop","Other"},A1191)),0)),"")</f>
        <v>Other</v>
      </c>
      <c r="D1191" t="str" cm="1">
        <f t="array" ref="D1191">IFERROR(INDEX({"Small","Medium","Large"},MATCH(TRUE,ISNUMBER(SEARCH({"Small","Medium","Large"},A1191)),0)),"")</f>
        <v>Large</v>
      </c>
      <c r="E1191" t="str">
        <f t="shared" si="18"/>
        <v>0.019</v>
      </c>
    </row>
    <row r="1192" spans="1:5" x14ac:dyDescent="0.3">
      <c r="A1192" t="s">
        <v>1190</v>
      </c>
      <c r="B1192" t="str" cm="1">
        <f t="array" ref="B1192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hemlock"},A1192)),0)),"")</f>
        <v>Mountain hemlock</v>
      </c>
      <c r="C1192" t="str" cm="1">
        <f t="array" ref="C1192">IFERROR(INDEX({"Ridgetop","Other"},MATCH(TRUE,ISNUMBER(SEARCH({"Ridgetop","Other"},A1192)),0)),"")</f>
        <v>Other</v>
      </c>
      <c r="D1192" t="str" cm="1">
        <f t="array" ref="D1192">IFERROR(INDEX({"Small","Medium","Large"},MATCH(TRUE,ISNUMBER(SEARCH({"Small","Medium","Large"},A1192)),0)),"")</f>
        <v>Small</v>
      </c>
      <c r="E1192" t="str">
        <f t="shared" si="18"/>
        <v>0.047</v>
      </c>
    </row>
    <row r="1193" spans="1:5" x14ac:dyDescent="0.3">
      <c r="A1193" t="s">
        <v>1191</v>
      </c>
      <c r="B1193" t="str" cm="1">
        <f t="array" ref="B1193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hemlock"},A1193)),0)),"")</f>
        <v>Mountain hemlock</v>
      </c>
      <c r="C1193" t="str" cm="1">
        <f t="array" ref="C1193">IFERROR(INDEX({"Ridgetop","Other"},MATCH(TRUE,ISNUMBER(SEARCH({"Ridgetop","Other"},A1193)),0)),"")</f>
        <v>Other</v>
      </c>
      <c r="D1193" t="str" cm="1">
        <f t="array" ref="D1193">IFERROR(INDEX({"Small","Medium","Large"},MATCH(TRUE,ISNUMBER(SEARCH({"Small","Medium","Large"},A1193)),0)),"")</f>
        <v>Medium</v>
      </c>
      <c r="E1193" t="str">
        <f t="shared" si="18"/>
        <v>0.039</v>
      </c>
    </row>
    <row r="1194" spans="1:5" x14ac:dyDescent="0.3">
      <c r="A1194" t="s">
        <v>1192</v>
      </c>
      <c r="B1194" t="str" cm="1">
        <f t="array" ref="B1194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hemlock"},A1194)),0)),"")</f>
        <v>Mountain hemlock</v>
      </c>
      <c r="C1194" t="str" cm="1">
        <f t="array" ref="C1194">IFERROR(INDEX({"Ridgetop","Other"},MATCH(TRUE,ISNUMBER(SEARCH({"Ridgetop","Other"},A1194)),0)),"")</f>
        <v>Other</v>
      </c>
      <c r="D1194" t="str" cm="1">
        <f t="array" ref="D1194">IFERROR(INDEX({"Small","Medium","Large"},MATCH(TRUE,ISNUMBER(SEARCH({"Small","Medium","Large"},A1194)),0)),"")</f>
        <v>Large</v>
      </c>
      <c r="E1194" t="str">
        <f t="shared" si="18"/>
        <v>0.021</v>
      </c>
    </row>
    <row r="1195" spans="1:5" x14ac:dyDescent="0.3">
      <c r="A1195" t="s">
        <v>1193</v>
      </c>
      <c r="B1195" t="str" cm="1">
        <f t="array" ref="B1195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hemlock"},A1195)),0)),"")</f>
        <v>Mountain hemlock</v>
      </c>
      <c r="C1195" t="str" cm="1">
        <f t="array" ref="C1195">IFERROR(INDEX({"Ridgetop","Other"},MATCH(TRUE,ISNUMBER(SEARCH({"Ridgetop","Other"},A1195)),0)),"")</f>
        <v>Other</v>
      </c>
      <c r="D1195" t="str" cm="1">
        <f t="array" ref="D1195">IFERROR(INDEX({"Small","Medium","Large"},MATCH(TRUE,ISNUMBER(SEARCH({"Small","Medium","Large"},A1195)),0)),"")</f>
        <v>Small</v>
      </c>
      <c r="E1195" t="str">
        <f t="shared" si="18"/>
        <v>0.058</v>
      </c>
    </row>
    <row r="1196" spans="1:5" x14ac:dyDescent="0.3">
      <c r="A1196" t="s">
        <v>1194</v>
      </c>
      <c r="B1196" t="str" cm="1">
        <f t="array" ref="B1196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hemlock"},A1196)),0)),"")</f>
        <v>Mountain hemlock</v>
      </c>
      <c r="C1196" t="str" cm="1">
        <f t="array" ref="C1196">IFERROR(INDEX({"Ridgetop","Other"},MATCH(TRUE,ISNUMBER(SEARCH({"Ridgetop","Other"},A1196)),0)),"")</f>
        <v>Other</v>
      </c>
      <c r="D1196" t="str" cm="1">
        <f t="array" ref="D1196">IFERROR(INDEX({"Small","Medium","Large"},MATCH(TRUE,ISNUMBER(SEARCH({"Small","Medium","Large"},A1196)),0)),"")</f>
        <v>Medium</v>
      </c>
      <c r="E1196" t="str">
        <f t="shared" si="18"/>
        <v>0.048</v>
      </c>
    </row>
    <row r="1197" spans="1:5" x14ac:dyDescent="0.3">
      <c r="A1197" t="s">
        <v>1195</v>
      </c>
      <c r="B1197" t="str" cm="1">
        <f t="array" ref="B1197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hemlock"},A1197)),0)),"")</f>
        <v>Mountain hemlock</v>
      </c>
      <c r="C1197" t="str" cm="1">
        <f t="array" ref="C1197">IFERROR(INDEX({"Ridgetop","Other"},MATCH(TRUE,ISNUMBER(SEARCH({"Ridgetop","Other"},A1197)),0)),"")</f>
        <v>Other</v>
      </c>
      <c r="D1197" t="str" cm="1">
        <f t="array" ref="D1197">IFERROR(INDEX({"Small","Medium","Large"},MATCH(TRUE,ISNUMBER(SEARCH({"Small","Medium","Large"},A1197)),0)),"")</f>
        <v>Large</v>
      </c>
      <c r="E1197" t="str">
        <f t="shared" si="18"/>
        <v>0.026</v>
      </c>
    </row>
    <row r="1198" spans="1:5" x14ac:dyDescent="0.3">
      <c r="A1198" t="s">
        <v>1196</v>
      </c>
      <c r="B1198" t="str" cm="1">
        <f t="array" ref="B1198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hemlock"},A1198)),0)),"")</f>
        <v>Mountain hemlock</v>
      </c>
      <c r="C1198" t="str" cm="1">
        <f t="array" ref="C1198">IFERROR(INDEX({"Ridgetop","Other"},MATCH(TRUE,ISNUMBER(SEARCH({"Ridgetop","Other"},A1198)),0)),"")</f>
        <v>Ridgetop</v>
      </c>
      <c r="D1198" t="str" cm="1">
        <f t="array" ref="D1198">IFERROR(INDEX({"Small","Medium","Large"},MATCH(TRUE,ISNUMBER(SEARCH({"Small","Medium","Large"},A1198)),0)),"")</f>
        <v>Small</v>
      </c>
      <c r="E1198" t="str">
        <f t="shared" si="18"/>
        <v>0.074</v>
      </c>
    </row>
    <row r="1199" spans="1:5" x14ac:dyDescent="0.3">
      <c r="A1199" t="s">
        <v>1197</v>
      </c>
      <c r="B1199" t="str" cm="1">
        <f t="array" ref="B1199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hemlock"},A1199)),0)),"")</f>
        <v>Mountain hemlock</v>
      </c>
      <c r="C1199" t="str" cm="1">
        <f t="array" ref="C1199">IFERROR(INDEX({"Ridgetop","Other"},MATCH(TRUE,ISNUMBER(SEARCH({"Ridgetop","Other"},A1199)),0)),"")</f>
        <v>Ridgetop</v>
      </c>
      <c r="D1199" t="str" cm="1">
        <f t="array" ref="D1199">IFERROR(INDEX({"Small","Medium","Large"},MATCH(TRUE,ISNUMBER(SEARCH({"Small","Medium","Large"},A1199)),0)),"")</f>
        <v>Medium</v>
      </c>
      <c r="E1199" t="str">
        <f t="shared" si="18"/>
        <v>0.062</v>
      </c>
    </row>
    <row r="1200" spans="1:5" x14ac:dyDescent="0.3">
      <c r="A1200" t="s">
        <v>1198</v>
      </c>
      <c r="B1200" t="str" cm="1">
        <f t="array" ref="B1200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hemlock"},A1200)),0)),"")</f>
        <v>Mountain hemlock</v>
      </c>
      <c r="C1200" t="str" cm="1">
        <f t="array" ref="C1200">IFERROR(INDEX({"Ridgetop","Other"},MATCH(TRUE,ISNUMBER(SEARCH({"Ridgetop","Other"},A1200)),0)),"")</f>
        <v>Ridgetop</v>
      </c>
      <c r="D1200" t="str" cm="1">
        <f t="array" ref="D1200">IFERROR(INDEX({"Small","Medium","Large"},MATCH(TRUE,ISNUMBER(SEARCH({"Small","Medium","Large"},A1200)),0)),"")</f>
        <v>Large</v>
      </c>
      <c r="E1200" t="str">
        <f t="shared" si="18"/>
        <v>0.034</v>
      </c>
    </row>
    <row r="1201" spans="1:5" x14ac:dyDescent="0.3">
      <c r="A1201" t="s">
        <v>1199</v>
      </c>
      <c r="B1201" t="str" cm="1">
        <f t="array" ref="B1201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hemlock"},A1201)),0)),"")</f>
        <v>Mountain hemlock</v>
      </c>
      <c r="C1201" t="str" cm="1">
        <f t="array" ref="C1201">IFERROR(INDEX({"Ridgetop","Other"},MATCH(TRUE,ISNUMBER(SEARCH({"Ridgetop","Other"},A1201)),0)),"")</f>
        <v>Ridgetop</v>
      </c>
      <c r="D1201" t="str" cm="1">
        <f t="array" ref="D1201">IFERROR(INDEX({"Small","Medium","Large"},MATCH(TRUE,ISNUMBER(SEARCH({"Small","Medium","Large"},A1201)),0)),"")</f>
        <v>Small</v>
      </c>
      <c r="E1201" t="str">
        <f t="shared" si="18"/>
        <v>0.077</v>
      </c>
    </row>
    <row r="1202" spans="1:5" x14ac:dyDescent="0.3">
      <c r="A1202" t="s">
        <v>1200</v>
      </c>
      <c r="B1202" t="str" cm="1">
        <f t="array" ref="B1202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hemlock"},A1202)),0)),"")</f>
        <v>Mountain hemlock</v>
      </c>
      <c r="C1202" t="str" cm="1">
        <f t="array" ref="C1202">IFERROR(INDEX({"Ridgetop","Other"},MATCH(TRUE,ISNUMBER(SEARCH({"Ridgetop","Other"},A1202)),0)),"")</f>
        <v>Ridgetop</v>
      </c>
      <c r="D1202" t="str" cm="1">
        <f t="array" ref="D1202">IFERROR(INDEX({"Small","Medium","Large"},MATCH(TRUE,ISNUMBER(SEARCH({"Small","Medium","Large"},A1202)),0)),"")</f>
        <v>Medium</v>
      </c>
      <c r="E1202" t="str">
        <f t="shared" si="18"/>
        <v>0.064</v>
      </c>
    </row>
    <row r="1203" spans="1:5" x14ac:dyDescent="0.3">
      <c r="A1203" t="s">
        <v>1201</v>
      </c>
      <c r="B1203" t="str" cm="1">
        <f t="array" ref="B1203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hemlock"},A1203)),0)),"")</f>
        <v>Mountain hemlock</v>
      </c>
      <c r="C1203" t="str" cm="1">
        <f t="array" ref="C1203">IFERROR(INDEX({"Ridgetop","Other"},MATCH(TRUE,ISNUMBER(SEARCH({"Ridgetop","Other"},A1203)),0)),"")</f>
        <v>Ridgetop</v>
      </c>
      <c r="D1203" t="str" cm="1">
        <f t="array" ref="D1203">IFERROR(INDEX({"Small","Medium","Large"},MATCH(TRUE,ISNUMBER(SEARCH({"Small","Medium","Large"},A1203)),0)),"")</f>
        <v>Large</v>
      </c>
      <c r="E1203" t="str">
        <f t="shared" si="18"/>
        <v>0.035</v>
      </c>
    </row>
    <row r="1204" spans="1:5" x14ac:dyDescent="0.3">
      <c r="A1204" t="s">
        <v>1202</v>
      </c>
      <c r="B1204" t="str" cm="1">
        <f t="array" ref="B1204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hemlock"},A1204)),0)),"")</f>
        <v>Mountain hemlock</v>
      </c>
      <c r="C1204" t="str" cm="1">
        <f t="array" ref="C1204">IFERROR(INDEX({"Ridgetop","Other"},MATCH(TRUE,ISNUMBER(SEARCH({"Ridgetop","Other"},A1204)),0)),"")</f>
        <v>Ridgetop</v>
      </c>
      <c r="D1204" t="str" cm="1">
        <f t="array" ref="D1204">IFERROR(INDEX({"Small","Medium","Large"},MATCH(TRUE,ISNUMBER(SEARCH({"Small","Medium","Large"},A1204)),0)),"")</f>
        <v>Small</v>
      </c>
      <c r="E1204" t="str">
        <f t="shared" si="18"/>
        <v>0.082</v>
      </c>
    </row>
    <row r="1205" spans="1:5" x14ac:dyDescent="0.3">
      <c r="A1205" t="s">
        <v>1203</v>
      </c>
      <c r="B1205" t="str" cm="1">
        <f t="array" ref="B1205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hemlock"},A1205)),0)),"")</f>
        <v>Mountain hemlock</v>
      </c>
      <c r="C1205" t="str" cm="1">
        <f t="array" ref="C1205">IFERROR(INDEX({"Ridgetop","Other"},MATCH(TRUE,ISNUMBER(SEARCH({"Ridgetop","Other"},A1205)),0)),"")</f>
        <v>Ridgetop</v>
      </c>
      <c r="D1205" t="str" cm="1">
        <f t="array" ref="D1205">IFERROR(INDEX({"Small","Medium","Large"},MATCH(TRUE,ISNUMBER(SEARCH({"Small","Medium","Large"},A1205)),0)),"")</f>
        <v>Medium</v>
      </c>
      <c r="E1205" t="str">
        <f t="shared" si="18"/>
        <v>0.068</v>
      </c>
    </row>
    <row r="1206" spans="1:5" x14ac:dyDescent="0.3">
      <c r="A1206" t="s">
        <v>1204</v>
      </c>
      <c r="B1206" t="str" cm="1">
        <f t="array" ref="B1206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hemlock"},A1206)),0)),"")</f>
        <v>Mountain hemlock</v>
      </c>
      <c r="C1206" t="str" cm="1">
        <f t="array" ref="C1206">IFERROR(INDEX({"Ridgetop","Other"},MATCH(TRUE,ISNUMBER(SEARCH({"Ridgetop","Other"},A1206)),0)),"")</f>
        <v>Ridgetop</v>
      </c>
      <c r="D1206" t="str" cm="1">
        <f t="array" ref="D1206">IFERROR(INDEX({"Small","Medium","Large"},MATCH(TRUE,ISNUMBER(SEARCH({"Small","Medium","Large"},A1206)),0)),"")</f>
        <v>Large</v>
      </c>
      <c r="E1206" t="str">
        <f t="shared" si="18"/>
        <v>0.037</v>
      </c>
    </row>
    <row r="1207" spans="1:5" x14ac:dyDescent="0.3">
      <c r="A1207" t="s">
        <v>1205</v>
      </c>
      <c r="B1207" t="str" cm="1">
        <f t="array" ref="B1207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hemlock"},A1207)),0)),"")</f>
        <v>Mountain hemlock</v>
      </c>
      <c r="C1207" t="str" cm="1">
        <f t="array" ref="C1207">IFERROR(INDEX({"Ridgetop","Other"},MATCH(TRUE,ISNUMBER(SEARCH({"Ridgetop","Other"},A1207)),0)),"")</f>
        <v>Other</v>
      </c>
      <c r="D1207" t="str" cm="1">
        <f t="array" ref="D1207">IFERROR(INDEX({"Small","Medium","Large"},MATCH(TRUE,ISNUMBER(SEARCH({"Small","Medium","Large"},A1207)),0)),"")</f>
        <v>Small</v>
      </c>
      <c r="E1207" t="str">
        <f t="shared" si="18"/>
        <v>0.053</v>
      </c>
    </row>
    <row r="1208" spans="1:5" x14ac:dyDescent="0.3">
      <c r="A1208" t="s">
        <v>1206</v>
      </c>
      <c r="B1208" t="str" cm="1">
        <f t="array" ref="B1208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hemlock"},A1208)),0)),"")</f>
        <v>Mountain hemlock</v>
      </c>
      <c r="C1208" t="str" cm="1">
        <f t="array" ref="C1208">IFERROR(INDEX({"Ridgetop","Other"},MATCH(TRUE,ISNUMBER(SEARCH({"Ridgetop","Other"},A1208)),0)),"")</f>
        <v>Other</v>
      </c>
      <c r="D1208" t="str" cm="1">
        <f t="array" ref="D1208">IFERROR(INDEX({"Small","Medium","Large"},MATCH(TRUE,ISNUMBER(SEARCH({"Small","Medium","Large"},A1208)),0)),"")</f>
        <v>Medium</v>
      </c>
      <c r="E1208" t="str">
        <f t="shared" si="18"/>
        <v>0.044</v>
      </c>
    </row>
    <row r="1209" spans="1:5" x14ac:dyDescent="0.3">
      <c r="A1209" t="s">
        <v>1207</v>
      </c>
      <c r="B1209" t="str" cm="1">
        <f t="array" ref="B1209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hemlock"},A1209)),0)),"")</f>
        <v>Mountain hemlock</v>
      </c>
      <c r="C1209" t="str" cm="1">
        <f t="array" ref="C1209">IFERROR(INDEX({"Ridgetop","Other"},MATCH(TRUE,ISNUMBER(SEARCH({"Ridgetop","Other"},A1209)),0)),"")</f>
        <v>Other</v>
      </c>
      <c r="D1209" t="str" cm="1">
        <f t="array" ref="D1209">IFERROR(INDEX({"Small","Medium","Large"},MATCH(TRUE,ISNUMBER(SEARCH({"Small","Medium","Large"},A1209)),0)),"")</f>
        <v>Large</v>
      </c>
      <c r="E1209" t="str">
        <f t="shared" si="18"/>
        <v>0.024</v>
      </c>
    </row>
    <row r="1210" spans="1:5" x14ac:dyDescent="0.3">
      <c r="A1210" t="s">
        <v>1208</v>
      </c>
      <c r="B1210" t="str" cm="1">
        <f t="array" ref="B1210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hemlock"},A1210)),0)),"")</f>
        <v>Mountain hemlock</v>
      </c>
      <c r="C1210" t="str" cm="1">
        <f t="array" ref="C1210">IFERROR(INDEX({"Ridgetop","Other"},MATCH(TRUE,ISNUMBER(SEARCH({"Ridgetop","Other"},A1210)),0)),"")</f>
        <v>Other</v>
      </c>
      <c r="D1210" t="str" cm="1">
        <f t="array" ref="D1210">IFERROR(INDEX({"Small","Medium","Large"},MATCH(TRUE,ISNUMBER(SEARCH({"Small","Medium","Large"},A1210)),0)),"")</f>
        <v>Small</v>
      </c>
      <c r="E1210" t="str">
        <f t="shared" si="18"/>
        <v>0.058</v>
      </c>
    </row>
    <row r="1211" spans="1:5" x14ac:dyDescent="0.3">
      <c r="A1211" t="s">
        <v>1209</v>
      </c>
      <c r="B1211" t="str" cm="1">
        <f t="array" ref="B1211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hemlock"},A1211)),0)),"")</f>
        <v>Mountain hemlock</v>
      </c>
      <c r="C1211" t="str" cm="1">
        <f t="array" ref="C1211">IFERROR(INDEX({"Ridgetop","Other"},MATCH(TRUE,ISNUMBER(SEARCH({"Ridgetop","Other"},A1211)),0)),"")</f>
        <v>Other</v>
      </c>
      <c r="D1211" t="str" cm="1">
        <f t="array" ref="D1211">IFERROR(INDEX({"Small","Medium","Large"},MATCH(TRUE,ISNUMBER(SEARCH({"Small","Medium","Large"},A1211)),0)),"")</f>
        <v>Medium</v>
      </c>
      <c r="E1211" t="str">
        <f t="shared" si="18"/>
        <v>0.048</v>
      </c>
    </row>
    <row r="1212" spans="1:5" x14ac:dyDescent="0.3">
      <c r="A1212" t="s">
        <v>1210</v>
      </c>
      <c r="B1212" t="str" cm="1">
        <f t="array" ref="B1212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hemlock"},A1212)),0)),"")</f>
        <v>Mountain hemlock</v>
      </c>
      <c r="C1212" t="str" cm="1">
        <f t="array" ref="C1212">IFERROR(INDEX({"Ridgetop","Other"},MATCH(TRUE,ISNUMBER(SEARCH({"Ridgetop","Other"},A1212)),0)),"")</f>
        <v>Other</v>
      </c>
      <c r="D1212" t="str" cm="1">
        <f t="array" ref="D1212">IFERROR(INDEX({"Small","Medium","Large"},MATCH(TRUE,ISNUMBER(SEARCH({"Small","Medium","Large"},A1212)),0)),"")</f>
        <v>Large</v>
      </c>
      <c r="E1212" t="str">
        <f t="shared" si="18"/>
        <v>0.026</v>
      </c>
    </row>
    <row r="1213" spans="1:5" x14ac:dyDescent="0.3">
      <c r="A1213" t="s">
        <v>1211</v>
      </c>
      <c r="B1213" t="str" cm="1">
        <f t="array" ref="B1213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hemlock"},A1213)),0)),"")</f>
        <v>Mountain hemlock</v>
      </c>
      <c r="C1213" t="str" cm="1">
        <f t="array" ref="C1213">IFERROR(INDEX({"Ridgetop","Other"},MATCH(TRUE,ISNUMBER(SEARCH({"Ridgetop","Other"},A1213)),0)),"")</f>
        <v>Other</v>
      </c>
      <c r="D1213" t="str" cm="1">
        <f t="array" ref="D1213">IFERROR(INDEX({"Small","Medium","Large"},MATCH(TRUE,ISNUMBER(SEARCH({"Small","Medium","Large"},A1213)),0)),"")</f>
        <v>Small</v>
      </c>
      <c r="E1213" t="str">
        <f t="shared" si="18"/>
        <v>0.058</v>
      </c>
    </row>
    <row r="1214" spans="1:5" x14ac:dyDescent="0.3">
      <c r="A1214" t="s">
        <v>1212</v>
      </c>
      <c r="B1214" t="str" cm="1">
        <f t="array" ref="B1214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hemlock"},A1214)),0)),"")</f>
        <v>Mountain hemlock</v>
      </c>
      <c r="C1214" t="str" cm="1">
        <f t="array" ref="C1214">IFERROR(INDEX({"Ridgetop","Other"},MATCH(TRUE,ISNUMBER(SEARCH({"Ridgetop","Other"},A1214)),0)),"")</f>
        <v>Other</v>
      </c>
      <c r="D1214" t="str" cm="1">
        <f t="array" ref="D1214">IFERROR(INDEX({"Small","Medium","Large"},MATCH(TRUE,ISNUMBER(SEARCH({"Small","Medium","Large"},A1214)),0)),"")</f>
        <v>Medium</v>
      </c>
      <c r="E1214" t="str">
        <f t="shared" si="18"/>
        <v>0.048</v>
      </c>
    </row>
    <row r="1215" spans="1:5" x14ac:dyDescent="0.3">
      <c r="A1215" t="s">
        <v>1213</v>
      </c>
      <c r="B1215" t="str" cm="1">
        <f t="array" ref="B1215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hemlock"},A1215)),0)),"")</f>
        <v>Mountain hemlock</v>
      </c>
      <c r="C1215" t="str" cm="1">
        <f t="array" ref="C1215">IFERROR(INDEX({"Ridgetop","Other"},MATCH(TRUE,ISNUMBER(SEARCH({"Ridgetop","Other"},A1215)),0)),"")</f>
        <v>Other</v>
      </c>
      <c r="D1215" t="str" cm="1">
        <f t="array" ref="D1215">IFERROR(INDEX({"Small","Medium","Large"},MATCH(TRUE,ISNUMBER(SEARCH({"Small","Medium","Large"},A1215)),0)),"")</f>
        <v>Large</v>
      </c>
      <c r="E1215" t="str">
        <f t="shared" si="18"/>
        <v>0.026</v>
      </c>
    </row>
    <row r="1216" spans="1:5" x14ac:dyDescent="0.3">
      <c r="A1216" t="s">
        <v>1214</v>
      </c>
      <c r="B1216" t="str" cm="1">
        <f t="array" ref="B1216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hemlock"},A1216)),0)),"")</f>
        <v>Mountain hemlock</v>
      </c>
      <c r="C1216" t="str" cm="1">
        <f t="array" ref="C1216">IFERROR(INDEX({"Ridgetop","Other"},MATCH(TRUE,ISNUMBER(SEARCH({"Ridgetop","Other"},A1216)),0)),"")</f>
        <v>Ridgetop</v>
      </c>
      <c r="D1216" t="str" cm="1">
        <f t="array" ref="D1216">IFERROR(INDEX({"Small","Medium","Large"},MATCH(TRUE,ISNUMBER(SEARCH({"Small","Medium","Large"},A1216)),0)),"")</f>
        <v>Small</v>
      </c>
      <c r="E1216" t="str">
        <f t="shared" si="18"/>
        <v>0.096</v>
      </c>
    </row>
    <row r="1217" spans="1:5" x14ac:dyDescent="0.3">
      <c r="A1217" t="s">
        <v>1215</v>
      </c>
      <c r="B1217" t="str" cm="1">
        <f t="array" ref="B1217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hemlock"},A1217)),0)),"")</f>
        <v>Mountain hemlock</v>
      </c>
      <c r="C1217" t="str" cm="1">
        <f t="array" ref="C1217">IFERROR(INDEX({"Ridgetop","Other"},MATCH(TRUE,ISNUMBER(SEARCH({"Ridgetop","Other"},A1217)),0)),"")</f>
        <v>Ridgetop</v>
      </c>
      <c r="D1217" t="str" cm="1">
        <f t="array" ref="D1217">IFERROR(INDEX({"Small","Medium","Large"},MATCH(TRUE,ISNUMBER(SEARCH({"Small","Medium","Large"},A1217)),0)),"")</f>
        <v>Medium</v>
      </c>
      <c r="E1217" t="str">
        <f t="shared" si="18"/>
        <v>0.080</v>
      </c>
    </row>
    <row r="1218" spans="1:5" x14ac:dyDescent="0.3">
      <c r="A1218" t="s">
        <v>1216</v>
      </c>
      <c r="B1218" t="str" cm="1">
        <f t="array" ref="B1218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hemlock"},A1218)),0)),"")</f>
        <v>Mountain hemlock</v>
      </c>
      <c r="C1218" t="str" cm="1">
        <f t="array" ref="C1218">IFERROR(INDEX({"Ridgetop","Other"},MATCH(TRUE,ISNUMBER(SEARCH({"Ridgetop","Other"},A1218)),0)),"")</f>
        <v>Ridgetop</v>
      </c>
      <c r="D1218" t="str" cm="1">
        <f t="array" ref="D1218">IFERROR(INDEX({"Small","Medium","Large"},MATCH(TRUE,ISNUMBER(SEARCH({"Small","Medium","Large"},A1218)),0)),"")</f>
        <v>Large</v>
      </c>
      <c r="E1218" t="str">
        <f t="shared" si="18"/>
        <v>0.044</v>
      </c>
    </row>
    <row r="1219" spans="1:5" x14ac:dyDescent="0.3">
      <c r="A1219" t="s">
        <v>1217</v>
      </c>
      <c r="B1219" t="str" cm="1">
        <f t="array" ref="B1219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hemlock"},A1219)),0)),"")</f>
        <v>Mountain hemlock</v>
      </c>
      <c r="C1219" t="str" cm="1">
        <f t="array" ref="C1219">IFERROR(INDEX({"Ridgetop","Other"},MATCH(TRUE,ISNUMBER(SEARCH({"Ridgetop","Other"},A1219)),0)),"")</f>
        <v>Ridgetop</v>
      </c>
      <c r="D1219" t="str" cm="1">
        <f t="array" ref="D1219">IFERROR(INDEX({"Small","Medium","Large"},MATCH(TRUE,ISNUMBER(SEARCH({"Small","Medium","Large"},A1219)),0)),"")</f>
        <v>Small</v>
      </c>
      <c r="E1219" t="str">
        <f t="shared" ref="E1219:E1282" si="19">RIGHT(A1219,LEN(A1219)-FIND("@",SUBSTITUTE(A1219," ","@",LEN(A1219)-LEN(SUBSTITUTE(A1219," ","")))))</f>
        <v>0.096</v>
      </c>
    </row>
    <row r="1220" spans="1:5" x14ac:dyDescent="0.3">
      <c r="A1220" t="s">
        <v>1218</v>
      </c>
      <c r="B1220" t="str" cm="1">
        <f t="array" ref="B1220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hemlock"},A1220)),0)),"")</f>
        <v>Mountain hemlock</v>
      </c>
      <c r="C1220" t="str" cm="1">
        <f t="array" ref="C1220">IFERROR(INDEX({"Ridgetop","Other"},MATCH(TRUE,ISNUMBER(SEARCH({"Ridgetop","Other"},A1220)),0)),"")</f>
        <v>Ridgetop</v>
      </c>
      <c r="D1220" t="str" cm="1">
        <f t="array" ref="D1220">IFERROR(INDEX({"Small","Medium","Large"},MATCH(TRUE,ISNUMBER(SEARCH({"Small","Medium","Large"},A1220)),0)),"")</f>
        <v>Medium</v>
      </c>
      <c r="E1220" t="str">
        <f t="shared" si="19"/>
        <v>0.080</v>
      </c>
    </row>
    <row r="1221" spans="1:5" x14ac:dyDescent="0.3">
      <c r="A1221" t="s">
        <v>1219</v>
      </c>
      <c r="B1221" t="str" cm="1">
        <f t="array" ref="B1221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hemlock"},A1221)),0)),"")</f>
        <v>Mountain hemlock</v>
      </c>
      <c r="C1221" t="str" cm="1">
        <f t="array" ref="C1221">IFERROR(INDEX({"Ridgetop","Other"},MATCH(TRUE,ISNUMBER(SEARCH({"Ridgetop","Other"},A1221)),0)),"")</f>
        <v>Ridgetop</v>
      </c>
      <c r="D1221" t="str" cm="1">
        <f t="array" ref="D1221">IFERROR(INDEX({"Small","Medium","Large"},MATCH(TRUE,ISNUMBER(SEARCH({"Small","Medium","Large"},A1221)),0)),"")</f>
        <v>Large</v>
      </c>
      <c r="E1221" t="str">
        <f t="shared" si="19"/>
        <v>0.044</v>
      </c>
    </row>
    <row r="1222" spans="1:5" x14ac:dyDescent="0.3">
      <c r="A1222" t="s">
        <v>1220</v>
      </c>
      <c r="B1222" t="str" cm="1">
        <f t="array" ref="B1222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hemlock"},A1222)),0)),"")</f>
        <v>Mountain hemlock</v>
      </c>
      <c r="C1222" t="str" cm="1">
        <f t="array" ref="C1222">IFERROR(INDEX({"Ridgetop","Other"},MATCH(TRUE,ISNUMBER(SEARCH({"Ridgetop","Other"},A1222)),0)),"")</f>
        <v>Ridgetop</v>
      </c>
      <c r="D1222" t="str" cm="1">
        <f t="array" ref="D1222">IFERROR(INDEX({"Small","Medium","Large"},MATCH(TRUE,ISNUMBER(SEARCH({"Small","Medium","Large"},A1222)),0)),"")</f>
        <v>Small</v>
      </c>
      <c r="E1222" t="str">
        <f t="shared" si="19"/>
        <v>0.096</v>
      </c>
    </row>
    <row r="1223" spans="1:5" x14ac:dyDescent="0.3">
      <c r="A1223" t="s">
        <v>1221</v>
      </c>
      <c r="B1223" t="str" cm="1">
        <f t="array" ref="B1223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hemlock"},A1223)),0)),"")</f>
        <v>Mountain hemlock</v>
      </c>
      <c r="C1223" t="str" cm="1">
        <f t="array" ref="C1223">IFERROR(INDEX({"Ridgetop","Other"},MATCH(TRUE,ISNUMBER(SEARCH({"Ridgetop","Other"},A1223)),0)),"")</f>
        <v>Ridgetop</v>
      </c>
      <c r="D1223" t="str" cm="1">
        <f t="array" ref="D1223">IFERROR(INDEX({"Small","Medium","Large"},MATCH(TRUE,ISNUMBER(SEARCH({"Small","Medium","Large"},A1223)),0)),"")</f>
        <v>Medium</v>
      </c>
      <c r="E1223" t="str">
        <f t="shared" si="19"/>
        <v>0.080</v>
      </c>
    </row>
    <row r="1224" spans="1:5" x14ac:dyDescent="0.3">
      <c r="A1224" t="s">
        <v>1222</v>
      </c>
      <c r="B1224" t="str" cm="1">
        <f t="array" ref="B1224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hemlock"},A1224)),0)),"")</f>
        <v>Mountain hemlock</v>
      </c>
      <c r="C1224" t="str" cm="1">
        <f t="array" ref="C1224">IFERROR(INDEX({"Ridgetop","Other"},MATCH(TRUE,ISNUMBER(SEARCH({"Ridgetop","Other"},A1224)),0)),"")</f>
        <v>Ridgetop</v>
      </c>
      <c r="D1224" t="str" cm="1">
        <f t="array" ref="D1224">IFERROR(INDEX({"Small","Medium","Large"},MATCH(TRUE,ISNUMBER(SEARCH({"Small","Medium","Large"},A1224)),0)),"")</f>
        <v>Large</v>
      </c>
      <c r="E1224" t="str">
        <f t="shared" si="19"/>
        <v>0.044</v>
      </c>
    </row>
    <row r="1225" spans="1:5" x14ac:dyDescent="0.3">
      <c r="A1225" t="s">
        <v>1223</v>
      </c>
      <c r="B1225" t="str" cm="1">
        <f t="array" ref="B1225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hemlock"},A1225)),0)),"")</f>
        <v>Mountain hemlock</v>
      </c>
      <c r="C1225" t="str" cm="1">
        <f t="array" ref="C1225">IFERROR(INDEX({"Ridgetop","Other"},MATCH(TRUE,ISNUMBER(SEARCH({"Ridgetop","Other"},A1225)),0)),"")</f>
        <v>Other</v>
      </c>
      <c r="D1225" t="str" cm="1">
        <f t="array" ref="D1225">IFERROR(INDEX({"Small","Medium","Large"},MATCH(TRUE,ISNUMBER(SEARCH({"Small","Medium","Large"},A1225)),0)),"")</f>
        <v>Small</v>
      </c>
      <c r="E1225" t="str">
        <f t="shared" si="19"/>
        <v>0.043</v>
      </c>
    </row>
    <row r="1226" spans="1:5" x14ac:dyDescent="0.3">
      <c r="A1226" t="s">
        <v>1224</v>
      </c>
      <c r="B1226" t="str" cm="1">
        <f t="array" ref="B1226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hemlock"},A1226)),0)),"")</f>
        <v>Mountain hemlock</v>
      </c>
      <c r="C1226" t="str" cm="1">
        <f t="array" ref="C1226">IFERROR(INDEX({"Ridgetop","Other"},MATCH(TRUE,ISNUMBER(SEARCH({"Ridgetop","Other"},A1226)),0)),"")</f>
        <v>Other</v>
      </c>
      <c r="D1226" t="str" cm="1">
        <f t="array" ref="D1226">IFERROR(INDEX({"Small","Medium","Large"},MATCH(TRUE,ISNUMBER(SEARCH({"Small","Medium","Large"},A1226)),0)),"")</f>
        <v>Medium</v>
      </c>
      <c r="E1226" t="str">
        <f t="shared" si="19"/>
        <v>0.036</v>
      </c>
    </row>
    <row r="1227" spans="1:5" x14ac:dyDescent="0.3">
      <c r="A1227" t="s">
        <v>1225</v>
      </c>
      <c r="B1227" t="str" cm="1">
        <f t="array" ref="B1227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hemlock"},A1227)),0)),"")</f>
        <v>Mountain hemlock</v>
      </c>
      <c r="C1227" t="str" cm="1">
        <f t="array" ref="C1227">IFERROR(INDEX({"Ridgetop","Other"},MATCH(TRUE,ISNUMBER(SEARCH({"Ridgetop","Other"},A1227)),0)),"")</f>
        <v>Other</v>
      </c>
      <c r="D1227" t="str" cm="1">
        <f t="array" ref="D1227">IFERROR(INDEX({"Small","Medium","Large"},MATCH(TRUE,ISNUMBER(SEARCH({"Small","Medium","Large"},A1227)),0)),"")</f>
        <v>Large</v>
      </c>
      <c r="E1227" t="str">
        <f t="shared" si="19"/>
        <v>0.020</v>
      </c>
    </row>
    <row r="1228" spans="1:5" x14ac:dyDescent="0.3">
      <c r="A1228" t="s">
        <v>1226</v>
      </c>
      <c r="B1228" t="str" cm="1">
        <f t="array" ref="B1228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hemlock"},A1228)),0)),"")</f>
        <v>Mountain hemlock</v>
      </c>
      <c r="C1228" t="str" cm="1">
        <f t="array" ref="C1228">IFERROR(INDEX({"Ridgetop","Other"},MATCH(TRUE,ISNUMBER(SEARCH({"Ridgetop","Other"},A1228)),0)),"")</f>
        <v>Other</v>
      </c>
      <c r="D1228" t="str" cm="1">
        <f t="array" ref="D1228">IFERROR(INDEX({"Small","Medium","Large"},MATCH(TRUE,ISNUMBER(SEARCH({"Small","Medium","Large"},A1228)),0)),"")</f>
        <v>Small</v>
      </c>
      <c r="E1228" t="str">
        <f t="shared" si="19"/>
        <v>0.048</v>
      </c>
    </row>
    <row r="1229" spans="1:5" x14ac:dyDescent="0.3">
      <c r="A1229" t="s">
        <v>1227</v>
      </c>
      <c r="B1229" t="str" cm="1">
        <f t="array" ref="B1229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hemlock"},A1229)),0)),"")</f>
        <v>Mountain hemlock</v>
      </c>
      <c r="C1229" t="str" cm="1">
        <f t="array" ref="C1229">IFERROR(INDEX({"Ridgetop","Other"},MATCH(TRUE,ISNUMBER(SEARCH({"Ridgetop","Other"},A1229)),0)),"")</f>
        <v>Other</v>
      </c>
      <c r="D1229" t="str" cm="1">
        <f t="array" ref="D1229">IFERROR(INDEX({"Small","Medium","Large"},MATCH(TRUE,ISNUMBER(SEARCH({"Small","Medium","Large"},A1229)),0)),"")</f>
        <v>Medium</v>
      </c>
      <c r="E1229" t="str">
        <f t="shared" si="19"/>
        <v>0.040</v>
      </c>
    </row>
    <row r="1230" spans="1:5" x14ac:dyDescent="0.3">
      <c r="A1230" t="s">
        <v>1228</v>
      </c>
      <c r="B1230" t="str" cm="1">
        <f t="array" ref="B1230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hemlock"},A1230)),0)),"")</f>
        <v>Mountain hemlock</v>
      </c>
      <c r="C1230" t="str" cm="1">
        <f t="array" ref="C1230">IFERROR(INDEX({"Ridgetop","Other"},MATCH(TRUE,ISNUMBER(SEARCH({"Ridgetop","Other"},A1230)),0)),"")</f>
        <v>Other</v>
      </c>
      <c r="D1230" t="str" cm="1">
        <f t="array" ref="D1230">IFERROR(INDEX({"Small","Medium","Large"},MATCH(TRUE,ISNUMBER(SEARCH({"Small","Medium","Large"},A1230)),0)),"")</f>
        <v>Large</v>
      </c>
      <c r="E1230" t="str">
        <f t="shared" si="19"/>
        <v>0.022</v>
      </c>
    </row>
    <row r="1231" spans="1:5" x14ac:dyDescent="0.3">
      <c r="A1231" t="s">
        <v>1229</v>
      </c>
      <c r="B1231" t="str" cm="1">
        <f t="array" ref="B1231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hemlock"},A1231)),0)),"")</f>
        <v>Mountain hemlock</v>
      </c>
      <c r="C1231" t="str" cm="1">
        <f t="array" ref="C1231">IFERROR(INDEX({"Ridgetop","Other"},MATCH(TRUE,ISNUMBER(SEARCH({"Ridgetop","Other"},A1231)),0)),"")</f>
        <v>Other</v>
      </c>
      <c r="D1231" t="str" cm="1">
        <f t="array" ref="D1231">IFERROR(INDEX({"Small","Medium","Large"},MATCH(TRUE,ISNUMBER(SEARCH({"Small","Medium","Large"},A1231)),0)),"")</f>
        <v>Small</v>
      </c>
      <c r="E1231" t="str">
        <f t="shared" si="19"/>
        <v>0.058</v>
      </c>
    </row>
    <row r="1232" spans="1:5" x14ac:dyDescent="0.3">
      <c r="A1232" t="s">
        <v>1230</v>
      </c>
      <c r="B1232" t="str" cm="1">
        <f t="array" ref="B1232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hemlock"},A1232)),0)),"")</f>
        <v>Mountain hemlock</v>
      </c>
      <c r="C1232" t="str" cm="1">
        <f t="array" ref="C1232">IFERROR(INDEX({"Ridgetop","Other"},MATCH(TRUE,ISNUMBER(SEARCH({"Ridgetop","Other"},A1232)),0)),"")</f>
        <v>Other</v>
      </c>
      <c r="D1232" t="str" cm="1">
        <f t="array" ref="D1232">IFERROR(INDEX({"Small","Medium","Large"},MATCH(TRUE,ISNUMBER(SEARCH({"Small","Medium","Large"},A1232)),0)),"")</f>
        <v>Medium</v>
      </c>
      <c r="E1232" t="str">
        <f t="shared" si="19"/>
        <v>0.048</v>
      </c>
    </row>
    <row r="1233" spans="1:5" x14ac:dyDescent="0.3">
      <c r="A1233" t="s">
        <v>1231</v>
      </c>
      <c r="B1233" t="str" cm="1">
        <f t="array" ref="B1233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hemlock"},A1233)),0)),"")</f>
        <v>Mountain hemlock</v>
      </c>
      <c r="C1233" t="str" cm="1">
        <f t="array" ref="C1233">IFERROR(INDEX({"Ridgetop","Other"},MATCH(TRUE,ISNUMBER(SEARCH({"Ridgetop","Other"},A1233)),0)),"")</f>
        <v>Other</v>
      </c>
      <c r="D1233" t="str" cm="1">
        <f t="array" ref="D1233">IFERROR(INDEX({"Small","Medium","Large"},MATCH(TRUE,ISNUMBER(SEARCH({"Small","Medium","Large"},A1233)),0)),"")</f>
        <v>Large</v>
      </c>
      <c r="E1233" t="str">
        <f t="shared" si="19"/>
        <v>0.026</v>
      </c>
    </row>
    <row r="1234" spans="1:5" x14ac:dyDescent="0.3">
      <c r="A1234" t="s">
        <v>1232</v>
      </c>
      <c r="B1234" t="str" cm="1">
        <f t="array" ref="B1234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hemlock"},A1234)),0)),"")</f>
        <v>Mountain hemlock</v>
      </c>
      <c r="C1234" t="str" cm="1">
        <f t="array" ref="C1234">IFERROR(INDEX({"Ridgetop","Other"},MATCH(TRUE,ISNUMBER(SEARCH({"Ridgetop","Other"},A1234)),0)),"")</f>
        <v>Ridgetop</v>
      </c>
      <c r="D1234" t="str" cm="1">
        <f t="array" ref="D1234">IFERROR(INDEX({"Small","Medium","Large"},MATCH(TRUE,ISNUMBER(SEARCH({"Small","Medium","Large"},A1234)),0)),"")</f>
        <v>Small</v>
      </c>
      <c r="E1234" t="str">
        <f t="shared" si="19"/>
        <v>0.082</v>
      </c>
    </row>
    <row r="1235" spans="1:5" x14ac:dyDescent="0.3">
      <c r="A1235" t="s">
        <v>1233</v>
      </c>
      <c r="B1235" t="str" cm="1">
        <f t="array" ref="B1235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hemlock"},A1235)),0)),"")</f>
        <v>Mountain hemlock</v>
      </c>
      <c r="C1235" t="str" cm="1">
        <f t="array" ref="C1235">IFERROR(INDEX({"Ridgetop","Other"},MATCH(TRUE,ISNUMBER(SEARCH({"Ridgetop","Other"},A1235)),0)),"")</f>
        <v>Ridgetop</v>
      </c>
      <c r="D1235" t="str" cm="1">
        <f t="array" ref="D1235">IFERROR(INDEX({"Small","Medium","Large"},MATCH(TRUE,ISNUMBER(SEARCH({"Small","Medium","Large"},A1235)),0)),"")</f>
        <v>Medium</v>
      </c>
      <c r="E1235" t="str">
        <f t="shared" si="19"/>
        <v>0.068</v>
      </c>
    </row>
    <row r="1236" spans="1:5" x14ac:dyDescent="0.3">
      <c r="A1236" t="s">
        <v>1234</v>
      </c>
      <c r="B1236" t="str" cm="1">
        <f t="array" ref="B1236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hemlock"},A1236)),0)),"")</f>
        <v>Mountain hemlock</v>
      </c>
      <c r="C1236" t="str" cm="1">
        <f t="array" ref="C1236">IFERROR(INDEX({"Ridgetop","Other"},MATCH(TRUE,ISNUMBER(SEARCH({"Ridgetop","Other"},A1236)),0)),"")</f>
        <v>Ridgetop</v>
      </c>
      <c r="D1236" t="str" cm="1">
        <f t="array" ref="D1236">IFERROR(INDEX({"Small","Medium","Large"},MATCH(TRUE,ISNUMBER(SEARCH({"Small","Medium","Large"},A1236)),0)),"")</f>
        <v>Large</v>
      </c>
      <c r="E1236" t="str">
        <f t="shared" si="19"/>
        <v>0.037</v>
      </c>
    </row>
    <row r="1237" spans="1:5" x14ac:dyDescent="0.3">
      <c r="A1237" t="s">
        <v>1235</v>
      </c>
      <c r="B1237" t="str" cm="1">
        <f t="array" ref="B1237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hemlock"},A1237)),0)),"")</f>
        <v>Mountain hemlock</v>
      </c>
      <c r="C1237" t="str" cm="1">
        <f t="array" ref="C1237">IFERROR(INDEX({"Ridgetop","Other"},MATCH(TRUE,ISNUMBER(SEARCH({"Ridgetop","Other"},A1237)),0)),"")</f>
        <v>Ridgetop</v>
      </c>
      <c r="D1237" t="str" cm="1">
        <f t="array" ref="D1237">IFERROR(INDEX({"Small","Medium","Large"},MATCH(TRUE,ISNUMBER(SEARCH({"Small","Medium","Large"},A1237)),0)),"")</f>
        <v>Small</v>
      </c>
      <c r="E1237" t="str">
        <f t="shared" si="19"/>
        <v>0.082</v>
      </c>
    </row>
    <row r="1238" spans="1:5" x14ac:dyDescent="0.3">
      <c r="A1238" t="s">
        <v>1236</v>
      </c>
      <c r="B1238" t="str" cm="1">
        <f t="array" ref="B1238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hemlock"},A1238)),0)),"")</f>
        <v>Mountain hemlock</v>
      </c>
      <c r="C1238" t="str" cm="1">
        <f t="array" ref="C1238">IFERROR(INDEX({"Ridgetop","Other"},MATCH(TRUE,ISNUMBER(SEARCH({"Ridgetop","Other"},A1238)),0)),"")</f>
        <v>Ridgetop</v>
      </c>
      <c r="D1238" t="str" cm="1">
        <f t="array" ref="D1238">IFERROR(INDEX({"Small","Medium","Large"},MATCH(TRUE,ISNUMBER(SEARCH({"Small","Medium","Large"},A1238)),0)),"")</f>
        <v>Medium</v>
      </c>
      <c r="E1238" t="str">
        <f t="shared" si="19"/>
        <v>0.068</v>
      </c>
    </row>
    <row r="1239" spans="1:5" x14ac:dyDescent="0.3">
      <c r="A1239" t="s">
        <v>1237</v>
      </c>
      <c r="B1239" t="str" cm="1">
        <f t="array" ref="B1239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hemlock"},A1239)),0)),"")</f>
        <v>Mountain hemlock</v>
      </c>
      <c r="C1239" t="str" cm="1">
        <f t="array" ref="C1239">IFERROR(INDEX({"Ridgetop","Other"},MATCH(TRUE,ISNUMBER(SEARCH({"Ridgetop","Other"},A1239)),0)),"")</f>
        <v>Ridgetop</v>
      </c>
      <c r="D1239" t="str" cm="1">
        <f t="array" ref="D1239">IFERROR(INDEX({"Small","Medium","Large"},MATCH(TRUE,ISNUMBER(SEARCH({"Small","Medium","Large"},A1239)),0)),"")</f>
        <v>Large</v>
      </c>
      <c r="E1239" t="str">
        <f t="shared" si="19"/>
        <v>0.037</v>
      </c>
    </row>
    <row r="1240" spans="1:5" x14ac:dyDescent="0.3">
      <c r="A1240" t="s">
        <v>1238</v>
      </c>
      <c r="B1240" t="str" cm="1">
        <f t="array" ref="B1240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hemlock"},A1240)),0)),"")</f>
        <v>Mountain hemlock</v>
      </c>
      <c r="C1240" t="str" cm="1">
        <f t="array" ref="C1240">IFERROR(INDEX({"Ridgetop","Other"},MATCH(TRUE,ISNUMBER(SEARCH({"Ridgetop","Other"},A1240)),0)),"")</f>
        <v>Ridgetop</v>
      </c>
      <c r="D1240" t="str" cm="1">
        <f t="array" ref="D1240">IFERROR(INDEX({"Small","Medium","Large"},MATCH(TRUE,ISNUMBER(SEARCH({"Small","Medium","Large"},A1240)),0)),"")</f>
        <v>Small</v>
      </c>
      <c r="E1240" t="str">
        <f t="shared" si="19"/>
        <v>0.086</v>
      </c>
    </row>
    <row r="1241" spans="1:5" x14ac:dyDescent="0.3">
      <c r="A1241" t="s">
        <v>1239</v>
      </c>
      <c r="B1241" t="str" cm="1">
        <f t="array" ref="B1241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hemlock"},A1241)),0)),"")</f>
        <v>Mountain hemlock</v>
      </c>
      <c r="C1241" t="str" cm="1">
        <f t="array" ref="C1241">IFERROR(INDEX({"Ridgetop","Other"},MATCH(TRUE,ISNUMBER(SEARCH({"Ridgetop","Other"},A1241)),0)),"")</f>
        <v>Ridgetop</v>
      </c>
      <c r="D1241" t="str" cm="1">
        <f t="array" ref="D1241">IFERROR(INDEX({"Small","Medium","Large"},MATCH(TRUE,ISNUMBER(SEARCH({"Small","Medium","Large"},A1241)),0)),"")</f>
        <v>Medium</v>
      </c>
      <c r="E1241" t="str">
        <f t="shared" si="19"/>
        <v>0.072</v>
      </c>
    </row>
    <row r="1242" spans="1:5" x14ac:dyDescent="0.3">
      <c r="A1242" t="s">
        <v>1240</v>
      </c>
      <c r="B1242" t="str" cm="1">
        <f t="array" ref="B1242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hemlock"},A1242)),0)),"")</f>
        <v>Mountain hemlock</v>
      </c>
      <c r="C1242" t="str" cm="1">
        <f t="array" ref="C1242">IFERROR(INDEX({"Ridgetop","Other"},MATCH(TRUE,ISNUMBER(SEARCH({"Ridgetop","Other"},A1242)),0)),"")</f>
        <v>Ridgetop</v>
      </c>
      <c r="D1242" t="str" cm="1">
        <f t="array" ref="D1242">IFERROR(INDEX({"Small","Medium","Large"},MATCH(TRUE,ISNUMBER(SEARCH({"Small","Medium","Large"},A1242)),0)),"")</f>
        <v>Large</v>
      </c>
      <c r="E1242" t="str">
        <f t="shared" si="19"/>
        <v>0.040</v>
      </c>
    </row>
    <row r="1243" spans="1:5" x14ac:dyDescent="0.3">
      <c r="A1243" t="s">
        <v>1241</v>
      </c>
      <c r="B1243" t="str" cm="1">
        <f t="array" ref="B1243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hemlock"},A1243)),0)),"")</f>
        <v>Mountain hemlock</v>
      </c>
      <c r="C1243" t="str" cm="1">
        <f t="array" ref="C1243">IFERROR(INDEX({"Ridgetop","Other"},MATCH(TRUE,ISNUMBER(SEARCH({"Ridgetop","Other"},A1243)),0)),"")</f>
        <v>Other</v>
      </c>
      <c r="D1243" t="str" cm="1">
        <f t="array" ref="D1243">IFERROR(INDEX({"Small","Medium","Large"},MATCH(TRUE,ISNUMBER(SEARCH({"Small","Medium","Large"},A1243)),0)),"")</f>
        <v>Small</v>
      </c>
      <c r="E1243" t="str">
        <f t="shared" si="19"/>
        <v>0.053</v>
      </c>
    </row>
    <row r="1244" spans="1:5" x14ac:dyDescent="0.3">
      <c r="A1244" t="s">
        <v>1242</v>
      </c>
      <c r="B1244" t="str" cm="1">
        <f t="array" ref="B1244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hemlock"},A1244)),0)),"")</f>
        <v>Mountain hemlock</v>
      </c>
      <c r="C1244" t="str" cm="1">
        <f t="array" ref="C1244">IFERROR(INDEX({"Ridgetop","Other"},MATCH(TRUE,ISNUMBER(SEARCH({"Ridgetop","Other"},A1244)),0)),"")</f>
        <v>Other</v>
      </c>
      <c r="D1244" t="str" cm="1">
        <f t="array" ref="D1244">IFERROR(INDEX({"Small","Medium","Large"},MATCH(TRUE,ISNUMBER(SEARCH({"Small","Medium","Large"},A1244)),0)),"")</f>
        <v>Medium</v>
      </c>
      <c r="E1244" t="str">
        <f t="shared" si="19"/>
        <v>0.044</v>
      </c>
    </row>
    <row r="1245" spans="1:5" x14ac:dyDescent="0.3">
      <c r="A1245" t="s">
        <v>1243</v>
      </c>
      <c r="B1245" t="str" cm="1">
        <f t="array" ref="B1245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hemlock"},A1245)),0)),"")</f>
        <v>Mountain hemlock</v>
      </c>
      <c r="C1245" t="str" cm="1">
        <f t="array" ref="C1245">IFERROR(INDEX({"Ridgetop","Other"},MATCH(TRUE,ISNUMBER(SEARCH({"Ridgetop","Other"},A1245)),0)),"")</f>
        <v>Other</v>
      </c>
      <c r="D1245" t="str" cm="1">
        <f t="array" ref="D1245">IFERROR(INDEX({"Small","Medium","Large"},MATCH(TRUE,ISNUMBER(SEARCH({"Small","Medium","Large"},A1245)),0)),"")</f>
        <v>Large</v>
      </c>
      <c r="E1245" t="str">
        <f t="shared" si="19"/>
        <v>0.024</v>
      </c>
    </row>
    <row r="1246" spans="1:5" x14ac:dyDescent="0.3">
      <c r="A1246" t="s">
        <v>1244</v>
      </c>
      <c r="B1246" t="str" cm="1">
        <f t="array" ref="B1246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hemlock"},A1246)),0)),"")</f>
        <v>Mountain hemlock</v>
      </c>
      <c r="C1246" t="str" cm="1">
        <f t="array" ref="C1246">IFERROR(INDEX({"Ridgetop","Other"},MATCH(TRUE,ISNUMBER(SEARCH({"Ridgetop","Other"},A1246)),0)),"")</f>
        <v>Other</v>
      </c>
      <c r="D1246" t="str" cm="1">
        <f t="array" ref="D1246">IFERROR(INDEX({"Small","Medium","Large"},MATCH(TRUE,ISNUMBER(SEARCH({"Small","Medium","Large"},A1246)),0)),"")</f>
        <v>Small</v>
      </c>
      <c r="E1246" t="str">
        <f t="shared" si="19"/>
        <v>0.058</v>
      </c>
    </row>
    <row r="1247" spans="1:5" x14ac:dyDescent="0.3">
      <c r="A1247" t="s">
        <v>1245</v>
      </c>
      <c r="B1247" t="str" cm="1">
        <f t="array" ref="B1247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hemlock"},A1247)),0)),"")</f>
        <v>Mountain hemlock</v>
      </c>
      <c r="C1247" t="str" cm="1">
        <f t="array" ref="C1247">IFERROR(INDEX({"Ridgetop","Other"},MATCH(TRUE,ISNUMBER(SEARCH({"Ridgetop","Other"},A1247)),0)),"")</f>
        <v>Other</v>
      </c>
      <c r="D1247" t="str" cm="1">
        <f t="array" ref="D1247">IFERROR(INDEX({"Small","Medium","Large"},MATCH(TRUE,ISNUMBER(SEARCH({"Small","Medium","Large"},A1247)),0)),"")</f>
        <v>Medium</v>
      </c>
      <c r="E1247" t="str">
        <f t="shared" si="19"/>
        <v>0.048</v>
      </c>
    </row>
    <row r="1248" spans="1:5" x14ac:dyDescent="0.3">
      <c r="A1248" t="s">
        <v>1246</v>
      </c>
      <c r="B1248" t="str" cm="1">
        <f t="array" ref="B1248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hemlock"},A1248)),0)),"")</f>
        <v>Mountain hemlock</v>
      </c>
      <c r="C1248" t="str" cm="1">
        <f t="array" ref="C1248">IFERROR(INDEX({"Ridgetop","Other"},MATCH(TRUE,ISNUMBER(SEARCH({"Ridgetop","Other"},A1248)),0)),"")</f>
        <v>Other</v>
      </c>
      <c r="D1248" t="str" cm="1">
        <f t="array" ref="D1248">IFERROR(INDEX({"Small","Medium","Large"},MATCH(TRUE,ISNUMBER(SEARCH({"Small","Medium","Large"},A1248)),0)),"")</f>
        <v>Large</v>
      </c>
      <c r="E1248" t="str">
        <f t="shared" si="19"/>
        <v>0.026</v>
      </c>
    </row>
    <row r="1249" spans="1:5" x14ac:dyDescent="0.3">
      <c r="A1249" t="s">
        <v>1247</v>
      </c>
      <c r="B1249" t="str" cm="1">
        <f t="array" ref="B1249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hemlock"},A1249)),0)),"")</f>
        <v>Mountain hemlock</v>
      </c>
      <c r="C1249" t="str" cm="1">
        <f t="array" ref="C1249">IFERROR(INDEX({"Ridgetop","Other"},MATCH(TRUE,ISNUMBER(SEARCH({"Ridgetop","Other"},A1249)),0)),"")</f>
        <v>Other</v>
      </c>
      <c r="D1249" t="str" cm="1">
        <f t="array" ref="D1249">IFERROR(INDEX({"Small","Medium","Large"},MATCH(TRUE,ISNUMBER(SEARCH({"Small","Medium","Large"},A1249)),0)),"")</f>
        <v>Small</v>
      </c>
      <c r="E1249" t="str">
        <f t="shared" si="19"/>
        <v>0.058</v>
      </c>
    </row>
    <row r="1250" spans="1:5" x14ac:dyDescent="0.3">
      <c r="A1250" t="s">
        <v>1248</v>
      </c>
      <c r="B1250" t="str" cm="1">
        <f t="array" ref="B1250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hemlock"},A1250)),0)),"")</f>
        <v>Mountain hemlock</v>
      </c>
      <c r="C1250" t="str" cm="1">
        <f t="array" ref="C1250">IFERROR(INDEX({"Ridgetop","Other"},MATCH(TRUE,ISNUMBER(SEARCH({"Ridgetop","Other"},A1250)),0)),"")</f>
        <v>Other</v>
      </c>
      <c r="D1250" t="str" cm="1">
        <f t="array" ref="D1250">IFERROR(INDEX({"Small","Medium","Large"},MATCH(TRUE,ISNUMBER(SEARCH({"Small","Medium","Large"},A1250)),0)),"")</f>
        <v>Medium</v>
      </c>
      <c r="E1250" t="str">
        <f t="shared" si="19"/>
        <v>0.048</v>
      </c>
    </row>
    <row r="1251" spans="1:5" x14ac:dyDescent="0.3">
      <c r="A1251" t="s">
        <v>1249</v>
      </c>
      <c r="B1251" t="str" cm="1">
        <f t="array" ref="B1251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hemlock"},A1251)),0)),"")</f>
        <v>Mountain hemlock</v>
      </c>
      <c r="C1251" t="str" cm="1">
        <f t="array" ref="C1251">IFERROR(INDEX({"Ridgetop","Other"},MATCH(TRUE,ISNUMBER(SEARCH({"Ridgetop","Other"},A1251)),0)),"")</f>
        <v>Other</v>
      </c>
      <c r="D1251" t="str" cm="1">
        <f t="array" ref="D1251">IFERROR(INDEX({"Small","Medium","Large"},MATCH(TRUE,ISNUMBER(SEARCH({"Small","Medium","Large"},A1251)),0)),"")</f>
        <v>Large</v>
      </c>
      <c r="E1251" t="str">
        <f t="shared" si="19"/>
        <v>0.026</v>
      </c>
    </row>
    <row r="1252" spans="1:5" x14ac:dyDescent="0.3">
      <c r="A1252" t="s">
        <v>1250</v>
      </c>
      <c r="B1252" t="str" cm="1">
        <f t="array" ref="B1252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hemlock"},A1252)),0)),"")</f>
        <v>Mountain hemlock</v>
      </c>
      <c r="C1252" t="str" cm="1">
        <f t="array" ref="C1252">IFERROR(INDEX({"Ridgetop","Other"},MATCH(TRUE,ISNUMBER(SEARCH({"Ridgetop","Other"},A1252)),0)),"")</f>
        <v>Ridgetop</v>
      </c>
      <c r="D1252" t="str" cm="1">
        <f t="array" ref="D1252">IFERROR(INDEX({"Small","Medium","Large"},MATCH(TRUE,ISNUMBER(SEARCH({"Small","Medium","Large"},A1252)),0)),"")</f>
        <v>Small</v>
      </c>
      <c r="E1252" t="str">
        <f t="shared" si="19"/>
        <v>0.096</v>
      </c>
    </row>
    <row r="1253" spans="1:5" x14ac:dyDescent="0.3">
      <c r="A1253" t="s">
        <v>1251</v>
      </c>
      <c r="B1253" t="str" cm="1">
        <f t="array" ref="B1253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hemlock"},A1253)),0)),"")</f>
        <v>Mountain hemlock</v>
      </c>
      <c r="C1253" t="str" cm="1">
        <f t="array" ref="C1253">IFERROR(INDEX({"Ridgetop","Other"},MATCH(TRUE,ISNUMBER(SEARCH({"Ridgetop","Other"},A1253)),0)),"")</f>
        <v>Ridgetop</v>
      </c>
      <c r="D1253" t="str" cm="1">
        <f t="array" ref="D1253">IFERROR(INDEX({"Small","Medium","Large"},MATCH(TRUE,ISNUMBER(SEARCH({"Small","Medium","Large"},A1253)),0)),"")</f>
        <v>Medium</v>
      </c>
      <c r="E1253" t="str">
        <f t="shared" si="19"/>
        <v>0.080</v>
      </c>
    </row>
    <row r="1254" spans="1:5" x14ac:dyDescent="0.3">
      <c r="A1254" t="s">
        <v>1252</v>
      </c>
      <c r="B1254" t="str" cm="1">
        <f t="array" ref="B1254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hemlock"},A1254)),0)),"")</f>
        <v>Mountain hemlock</v>
      </c>
      <c r="C1254" t="str" cm="1">
        <f t="array" ref="C1254">IFERROR(INDEX({"Ridgetop","Other"},MATCH(TRUE,ISNUMBER(SEARCH({"Ridgetop","Other"},A1254)),0)),"")</f>
        <v>Ridgetop</v>
      </c>
      <c r="D1254" t="str" cm="1">
        <f t="array" ref="D1254">IFERROR(INDEX({"Small","Medium","Large"},MATCH(TRUE,ISNUMBER(SEARCH({"Small","Medium","Large"},A1254)),0)),"")</f>
        <v>Large</v>
      </c>
      <c r="E1254" t="str">
        <f t="shared" si="19"/>
        <v>0.044</v>
      </c>
    </row>
    <row r="1255" spans="1:5" x14ac:dyDescent="0.3">
      <c r="A1255" t="s">
        <v>1253</v>
      </c>
      <c r="B1255" t="str" cm="1">
        <f t="array" ref="B1255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hemlock"},A1255)),0)),"")</f>
        <v>Mountain hemlock</v>
      </c>
      <c r="C1255" t="str" cm="1">
        <f t="array" ref="C1255">IFERROR(INDEX({"Ridgetop","Other"},MATCH(TRUE,ISNUMBER(SEARCH({"Ridgetop","Other"},A1255)),0)),"")</f>
        <v>Ridgetop</v>
      </c>
      <c r="D1255" t="str" cm="1">
        <f t="array" ref="D1255">IFERROR(INDEX({"Small","Medium","Large"},MATCH(TRUE,ISNUMBER(SEARCH({"Small","Medium","Large"},A1255)),0)),"")</f>
        <v>Small</v>
      </c>
      <c r="E1255" t="str">
        <f t="shared" si="19"/>
        <v>0.096</v>
      </c>
    </row>
    <row r="1256" spans="1:5" x14ac:dyDescent="0.3">
      <c r="A1256" t="s">
        <v>1254</v>
      </c>
      <c r="B1256" t="str" cm="1">
        <f t="array" ref="B1256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hemlock"},A1256)),0)),"")</f>
        <v>Mountain hemlock</v>
      </c>
      <c r="C1256" t="str" cm="1">
        <f t="array" ref="C1256">IFERROR(INDEX({"Ridgetop","Other"},MATCH(TRUE,ISNUMBER(SEARCH({"Ridgetop","Other"},A1256)),0)),"")</f>
        <v>Ridgetop</v>
      </c>
      <c r="D1256" t="str" cm="1">
        <f t="array" ref="D1256">IFERROR(INDEX({"Small","Medium","Large"},MATCH(TRUE,ISNUMBER(SEARCH({"Small","Medium","Large"},A1256)),0)),"")</f>
        <v>Medium</v>
      </c>
      <c r="E1256" t="str">
        <f t="shared" si="19"/>
        <v>0.080</v>
      </c>
    </row>
    <row r="1257" spans="1:5" x14ac:dyDescent="0.3">
      <c r="A1257" t="s">
        <v>1255</v>
      </c>
      <c r="B1257" t="str" cm="1">
        <f t="array" ref="B1257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hemlock"},A1257)),0)),"")</f>
        <v>Mountain hemlock</v>
      </c>
      <c r="C1257" t="str" cm="1">
        <f t="array" ref="C1257">IFERROR(INDEX({"Ridgetop","Other"},MATCH(TRUE,ISNUMBER(SEARCH({"Ridgetop","Other"},A1257)),0)),"")</f>
        <v>Ridgetop</v>
      </c>
      <c r="D1257" t="str" cm="1">
        <f t="array" ref="D1257">IFERROR(INDEX({"Small","Medium","Large"},MATCH(TRUE,ISNUMBER(SEARCH({"Small","Medium","Large"},A1257)),0)),"")</f>
        <v>Large</v>
      </c>
      <c r="E1257" t="str">
        <f t="shared" si="19"/>
        <v>0.044</v>
      </c>
    </row>
    <row r="1258" spans="1:5" x14ac:dyDescent="0.3">
      <c r="A1258" t="s">
        <v>1256</v>
      </c>
      <c r="B1258" t="str" cm="1">
        <f t="array" ref="B1258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hemlock"},A1258)),0)),"")</f>
        <v>Mountain hemlock</v>
      </c>
      <c r="C1258" t="str" cm="1">
        <f t="array" ref="C1258">IFERROR(INDEX({"Ridgetop","Other"},MATCH(TRUE,ISNUMBER(SEARCH({"Ridgetop","Other"},A1258)),0)),"")</f>
        <v>Ridgetop</v>
      </c>
      <c r="D1258" t="str" cm="1">
        <f t="array" ref="D1258">IFERROR(INDEX({"Small","Medium","Large"},MATCH(TRUE,ISNUMBER(SEARCH({"Small","Medium","Large"},A1258)),0)),"")</f>
        <v>Small</v>
      </c>
      <c r="E1258" t="str">
        <f t="shared" si="19"/>
        <v>0.096</v>
      </c>
    </row>
    <row r="1259" spans="1:5" x14ac:dyDescent="0.3">
      <c r="A1259" t="s">
        <v>1257</v>
      </c>
      <c r="B1259" t="str" cm="1">
        <f t="array" ref="B1259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hemlock"},A1259)),0)),"")</f>
        <v>Mountain hemlock</v>
      </c>
      <c r="C1259" t="str" cm="1">
        <f t="array" ref="C1259">IFERROR(INDEX({"Ridgetop","Other"},MATCH(TRUE,ISNUMBER(SEARCH({"Ridgetop","Other"},A1259)),0)),"")</f>
        <v>Ridgetop</v>
      </c>
      <c r="D1259" t="str" cm="1">
        <f t="array" ref="D1259">IFERROR(INDEX({"Small","Medium","Large"},MATCH(TRUE,ISNUMBER(SEARCH({"Small","Medium","Large"},A1259)),0)),"")</f>
        <v>Medium</v>
      </c>
      <c r="E1259" t="str">
        <f t="shared" si="19"/>
        <v>0.080</v>
      </c>
    </row>
    <row r="1260" spans="1:5" x14ac:dyDescent="0.3">
      <c r="A1260" t="s">
        <v>1258</v>
      </c>
      <c r="B1260" t="str" cm="1">
        <f t="array" ref="B1260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hemlock"},A1260)),0)),"")</f>
        <v>Mountain hemlock</v>
      </c>
      <c r="C1260" t="str" cm="1">
        <f t="array" ref="C1260">IFERROR(INDEX({"Ridgetop","Other"},MATCH(TRUE,ISNUMBER(SEARCH({"Ridgetop","Other"},A1260)),0)),"")</f>
        <v>Ridgetop</v>
      </c>
      <c r="D1260" t="str" cm="1">
        <f t="array" ref="D1260">IFERROR(INDEX({"Small","Medium","Large"},MATCH(TRUE,ISNUMBER(SEARCH({"Small","Medium","Large"},A1260)),0)),"")</f>
        <v>Large</v>
      </c>
      <c r="E1260" t="str">
        <f t="shared" si="19"/>
        <v>0.044</v>
      </c>
    </row>
    <row r="1261" spans="1:5" x14ac:dyDescent="0.3">
      <c r="A1261" t="s">
        <v>1259</v>
      </c>
      <c r="B1261" t="str" cm="1">
        <f t="array" ref="B1261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hemlock"},A1261)),0)),"")</f>
        <v>Mountain hemlock</v>
      </c>
      <c r="C1261" t="str" cm="1">
        <f t="array" ref="C1261">IFERROR(INDEX({"Ridgetop","Other"},MATCH(TRUE,ISNUMBER(SEARCH({"Ridgetop","Other"},A1261)),0)),"")</f>
        <v>Other</v>
      </c>
      <c r="D1261" t="str" cm="1">
        <f t="array" ref="D1261">IFERROR(INDEX({"Small","Medium","Large"},MATCH(TRUE,ISNUMBER(SEARCH({"Small","Medium","Large"},A1261)),0)),"")</f>
        <v>Small</v>
      </c>
      <c r="E1261" t="str">
        <f t="shared" si="19"/>
        <v>0.047</v>
      </c>
    </row>
    <row r="1262" spans="1:5" x14ac:dyDescent="0.3">
      <c r="A1262" t="s">
        <v>1260</v>
      </c>
      <c r="B1262" t="str" cm="1">
        <f t="array" ref="B1262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hemlock"},A1262)),0)),"")</f>
        <v>Mountain hemlock</v>
      </c>
      <c r="C1262" t="str" cm="1">
        <f t="array" ref="C1262">IFERROR(INDEX({"Ridgetop","Other"},MATCH(TRUE,ISNUMBER(SEARCH({"Ridgetop","Other"},A1262)),0)),"")</f>
        <v>Other</v>
      </c>
      <c r="D1262" t="str" cm="1">
        <f t="array" ref="D1262">IFERROR(INDEX({"Small","Medium","Large"},MATCH(TRUE,ISNUMBER(SEARCH({"Small","Medium","Large"},A1262)),0)),"")</f>
        <v>Medium</v>
      </c>
      <c r="E1262" t="str">
        <f t="shared" si="19"/>
        <v>0.039</v>
      </c>
    </row>
    <row r="1263" spans="1:5" x14ac:dyDescent="0.3">
      <c r="A1263" t="s">
        <v>1261</v>
      </c>
      <c r="B1263" t="str" cm="1">
        <f t="array" ref="B1263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hemlock"},A1263)),0)),"")</f>
        <v>Mountain hemlock</v>
      </c>
      <c r="C1263" t="str" cm="1">
        <f t="array" ref="C1263">IFERROR(INDEX({"Ridgetop","Other"},MATCH(TRUE,ISNUMBER(SEARCH({"Ridgetop","Other"},A1263)),0)),"")</f>
        <v>Other</v>
      </c>
      <c r="D1263" t="str" cm="1">
        <f t="array" ref="D1263">IFERROR(INDEX({"Small","Medium","Large"},MATCH(TRUE,ISNUMBER(SEARCH({"Small","Medium","Large"},A1263)),0)),"")</f>
        <v>Large</v>
      </c>
      <c r="E1263" t="str">
        <f t="shared" si="19"/>
        <v>0.021</v>
      </c>
    </row>
    <row r="1264" spans="1:5" x14ac:dyDescent="0.3">
      <c r="A1264" t="s">
        <v>1262</v>
      </c>
      <c r="B1264" t="str" cm="1">
        <f t="array" ref="B1264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hemlock"},A1264)),0)),"")</f>
        <v>Mountain hemlock</v>
      </c>
      <c r="C1264" t="str" cm="1">
        <f t="array" ref="C1264">IFERROR(INDEX({"Ridgetop","Other"},MATCH(TRUE,ISNUMBER(SEARCH({"Ridgetop","Other"},A1264)),0)),"")</f>
        <v>Other</v>
      </c>
      <c r="D1264" t="str" cm="1">
        <f t="array" ref="D1264">IFERROR(INDEX({"Small","Medium","Large"},MATCH(TRUE,ISNUMBER(SEARCH({"Small","Medium","Large"},A1264)),0)),"")</f>
        <v>Small</v>
      </c>
      <c r="E1264" t="str">
        <f t="shared" si="19"/>
        <v>0.053</v>
      </c>
    </row>
    <row r="1265" spans="1:5" x14ac:dyDescent="0.3">
      <c r="A1265" t="s">
        <v>1263</v>
      </c>
      <c r="B1265" t="str" cm="1">
        <f t="array" ref="B1265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hemlock"},A1265)),0)),"")</f>
        <v>Mountain hemlock</v>
      </c>
      <c r="C1265" t="str" cm="1">
        <f t="array" ref="C1265">IFERROR(INDEX({"Ridgetop","Other"},MATCH(TRUE,ISNUMBER(SEARCH({"Ridgetop","Other"},A1265)),0)),"")</f>
        <v>Other</v>
      </c>
      <c r="D1265" t="str" cm="1">
        <f t="array" ref="D1265">IFERROR(INDEX({"Small","Medium","Large"},MATCH(TRUE,ISNUMBER(SEARCH({"Small","Medium","Large"},A1265)),0)),"")</f>
        <v>Medium</v>
      </c>
      <c r="E1265" t="str">
        <f t="shared" si="19"/>
        <v>0.044</v>
      </c>
    </row>
    <row r="1266" spans="1:5" x14ac:dyDescent="0.3">
      <c r="A1266" t="s">
        <v>1264</v>
      </c>
      <c r="B1266" t="str" cm="1">
        <f t="array" ref="B1266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hemlock"},A1266)),0)),"")</f>
        <v>Mountain hemlock</v>
      </c>
      <c r="C1266" t="str" cm="1">
        <f t="array" ref="C1266">IFERROR(INDEX({"Ridgetop","Other"},MATCH(TRUE,ISNUMBER(SEARCH({"Ridgetop","Other"},A1266)),0)),"")</f>
        <v>Other</v>
      </c>
      <c r="D1266" t="str" cm="1">
        <f t="array" ref="D1266">IFERROR(INDEX({"Small","Medium","Large"},MATCH(TRUE,ISNUMBER(SEARCH({"Small","Medium","Large"},A1266)),0)),"")</f>
        <v>Large</v>
      </c>
      <c r="E1266" t="str">
        <f t="shared" si="19"/>
        <v>0.024</v>
      </c>
    </row>
    <row r="1267" spans="1:5" x14ac:dyDescent="0.3">
      <c r="A1267" t="s">
        <v>1265</v>
      </c>
      <c r="B1267" t="str" cm="1">
        <f t="array" ref="B1267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hemlock"},A1267)),0)),"")</f>
        <v>Mountain hemlock</v>
      </c>
      <c r="C1267" t="str" cm="1">
        <f t="array" ref="C1267">IFERROR(INDEX({"Ridgetop","Other"},MATCH(TRUE,ISNUMBER(SEARCH({"Ridgetop","Other"},A1267)),0)),"")</f>
        <v>Other</v>
      </c>
      <c r="D1267" t="str" cm="1">
        <f t="array" ref="D1267">IFERROR(INDEX({"Small","Medium","Large"},MATCH(TRUE,ISNUMBER(SEARCH({"Small","Medium","Large"},A1267)),0)),"")</f>
        <v>Small</v>
      </c>
      <c r="E1267" t="str">
        <f t="shared" si="19"/>
        <v>0.058</v>
      </c>
    </row>
    <row r="1268" spans="1:5" x14ac:dyDescent="0.3">
      <c r="A1268" t="s">
        <v>1266</v>
      </c>
      <c r="B1268" t="str" cm="1">
        <f t="array" ref="B1268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hemlock"},A1268)),0)),"")</f>
        <v>Mountain hemlock</v>
      </c>
      <c r="C1268" t="str" cm="1">
        <f t="array" ref="C1268">IFERROR(INDEX({"Ridgetop","Other"},MATCH(TRUE,ISNUMBER(SEARCH({"Ridgetop","Other"},A1268)),0)),"")</f>
        <v>Other</v>
      </c>
      <c r="D1268" t="str" cm="1">
        <f t="array" ref="D1268">IFERROR(INDEX({"Small","Medium","Large"},MATCH(TRUE,ISNUMBER(SEARCH({"Small","Medium","Large"},A1268)),0)),"")</f>
        <v>Medium</v>
      </c>
      <c r="E1268" t="str">
        <f t="shared" si="19"/>
        <v>0.048</v>
      </c>
    </row>
    <row r="1269" spans="1:5" x14ac:dyDescent="0.3">
      <c r="A1269" t="s">
        <v>1267</v>
      </c>
      <c r="B1269" t="str" cm="1">
        <f t="array" ref="B1269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hemlock"},A1269)),0)),"")</f>
        <v>Mountain hemlock</v>
      </c>
      <c r="C1269" t="str" cm="1">
        <f t="array" ref="C1269">IFERROR(INDEX({"Ridgetop","Other"},MATCH(TRUE,ISNUMBER(SEARCH({"Ridgetop","Other"},A1269)),0)),"")</f>
        <v>Other</v>
      </c>
      <c r="D1269" t="str" cm="1">
        <f t="array" ref="D1269">IFERROR(INDEX({"Small","Medium","Large"},MATCH(TRUE,ISNUMBER(SEARCH({"Small","Medium","Large"},A1269)),0)),"")</f>
        <v>Large</v>
      </c>
      <c r="E1269" t="str">
        <f t="shared" si="19"/>
        <v>0.026</v>
      </c>
    </row>
    <row r="1270" spans="1:5" x14ac:dyDescent="0.3">
      <c r="A1270" t="s">
        <v>1268</v>
      </c>
      <c r="B1270" t="str" cm="1">
        <f t="array" ref="B1270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hemlock"},A1270)),0)),"")</f>
        <v>Mountain hemlock</v>
      </c>
      <c r="C1270" t="str" cm="1">
        <f t="array" ref="C1270">IFERROR(INDEX({"Ridgetop","Other"},MATCH(TRUE,ISNUMBER(SEARCH({"Ridgetop","Other"},A1270)),0)),"")</f>
        <v>Ridgetop</v>
      </c>
      <c r="D1270" t="str" cm="1">
        <f t="array" ref="D1270">IFERROR(INDEX({"Small","Medium","Large"},MATCH(TRUE,ISNUMBER(SEARCH({"Small","Medium","Large"},A1270)),0)),"")</f>
        <v>Small</v>
      </c>
      <c r="E1270" t="str">
        <f t="shared" si="19"/>
        <v>0.089</v>
      </c>
    </row>
    <row r="1271" spans="1:5" x14ac:dyDescent="0.3">
      <c r="A1271" t="s">
        <v>1269</v>
      </c>
      <c r="B1271" t="str" cm="1">
        <f t="array" ref="B1271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hemlock"},A1271)),0)),"")</f>
        <v>Mountain hemlock</v>
      </c>
      <c r="C1271" t="str" cm="1">
        <f t="array" ref="C1271">IFERROR(INDEX({"Ridgetop","Other"},MATCH(TRUE,ISNUMBER(SEARCH({"Ridgetop","Other"},A1271)),0)),"")</f>
        <v>Ridgetop</v>
      </c>
      <c r="D1271" t="str" cm="1">
        <f t="array" ref="D1271">IFERROR(INDEX({"Small","Medium","Large"},MATCH(TRUE,ISNUMBER(SEARCH({"Small","Medium","Large"},A1271)),0)),"")</f>
        <v>Medium</v>
      </c>
      <c r="E1271" t="str">
        <f t="shared" si="19"/>
        <v>0.074</v>
      </c>
    </row>
    <row r="1272" spans="1:5" x14ac:dyDescent="0.3">
      <c r="A1272" t="s">
        <v>1270</v>
      </c>
      <c r="B1272" t="str" cm="1">
        <f t="array" ref="B1272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hemlock"},A1272)),0)),"")</f>
        <v>Mountain hemlock</v>
      </c>
      <c r="C1272" t="str" cm="1">
        <f t="array" ref="C1272">IFERROR(INDEX({"Ridgetop","Other"},MATCH(TRUE,ISNUMBER(SEARCH({"Ridgetop","Other"},A1272)),0)),"")</f>
        <v>Ridgetop</v>
      </c>
      <c r="D1272" t="str" cm="1">
        <f t="array" ref="D1272">IFERROR(INDEX({"Small","Medium","Large"},MATCH(TRUE,ISNUMBER(SEARCH({"Small","Medium","Large"},A1272)),0)),"")</f>
        <v>Large</v>
      </c>
      <c r="E1272" t="str">
        <f t="shared" si="19"/>
        <v>0.041</v>
      </c>
    </row>
    <row r="1273" spans="1:5" x14ac:dyDescent="0.3">
      <c r="A1273" t="s">
        <v>1271</v>
      </c>
      <c r="B1273" t="str" cm="1">
        <f t="array" ref="B1273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hemlock"},A1273)),0)),"")</f>
        <v>Mountain hemlock</v>
      </c>
      <c r="C1273" t="str" cm="1">
        <f t="array" ref="C1273">IFERROR(INDEX({"Ridgetop","Other"},MATCH(TRUE,ISNUMBER(SEARCH({"Ridgetop","Other"},A1273)),0)),"")</f>
        <v>Ridgetop</v>
      </c>
      <c r="D1273" t="str" cm="1">
        <f t="array" ref="D1273">IFERROR(INDEX({"Small","Medium","Large"},MATCH(TRUE,ISNUMBER(SEARCH({"Small","Medium","Large"},A1273)),0)),"")</f>
        <v>Small</v>
      </c>
      <c r="E1273" t="str">
        <f t="shared" si="19"/>
        <v>0.089</v>
      </c>
    </row>
    <row r="1274" spans="1:5" x14ac:dyDescent="0.3">
      <c r="A1274" t="s">
        <v>1272</v>
      </c>
      <c r="B1274" t="str" cm="1">
        <f t="array" ref="B1274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hemlock"},A1274)),0)),"")</f>
        <v>Mountain hemlock</v>
      </c>
      <c r="C1274" t="str" cm="1">
        <f t="array" ref="C1274">IFERROR(INDEX({"Ridgetop","Other"},MATCH(TRUE,ISNUMBER(SEARCH({"Ridgetop","Other"},A1274)),0)),"")</f>
        <v>Ridgetop</v>
      </c>
      <c r="D1274" t="str" cm="1">
        <f t="array" ref="D1274">IFERROR(INDEX({"Small","Medium","Large"},MATCH(TRUE,ISNUMBER(SEARCH({"Small","Medium","Large"},A1274)),0)),"")</f>
        <v>Medium</v>
      </c>
      <c r="E1274" t="str">
        <f t="shared" si="19"/>
        <v>0.074</v>
      </c>
    </row>
    <row r="1275" spans="1:5" x14ac:dyDescent="0.3">
      <c r="A1275" t="s">
        <v>1273</v>
      </c>
      <c r="B1275" t="str" cm="1">
        <f t="array" ref="B1275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hemlock"},A1275)),0)),"")</f>
        <v>Mountain hemlock</v>
      </c>
      <c r="C1275" t="str" cm="1">
        <f t="array" ref="C1275">IFERROR(INDEX({"Ridgetop","Other"},MATCH(TRUE,ISNUMBER(SEARCH({"Ridgetop","Other"},A1275)),0)),"")</f>
        <v>Ridgetop</v>
      </c>
      <c r="D1275" t="str" cm="1">
        <f t="array" ref="D1275">IFERROR(INDEX({"Small","Medium","Large"},MATCH(TRUE,ISNUMBER(SEARCH({"Small","Medium","Large"},A1275)),0)),"")</f>
        <v>Large</v>
      </c>
      <c r="E1275" t="str">
        <f t="shared" si="19"/>
        <v>0.041</v>
      </c>
    </row>
    <row r="1276" spans="1:5" x14ac:dyDescent="0.3">
      <c r="A1276" t="s">
        <v>1274</v>
      </c>
      <c r="B1276" t="str" cm="1">
        <f t="array" ref="B1276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hemlock"},A1276)),0)),"")</f>
        <v>Mountain hemlock</v>
      </c>
      <c r="C1276" t="str" cm="1">
        <f t="array" ref="C1276">IFERROR(INDEX({"Ridgetop","Other"},MATCH(TRUE,ISNUMBER(SEARCH({"Ridgetop","Other"},A1276)),0)),"")</f>
        <v>Ridgetop</v>
      </c>
      <c r="D1276" t="str" cm="1">
        <f t="array" ref="D1276">IFERROR(INDEX({"Small","Medium","Large"},MATCH(TRUE,ISNUMBER(SEARCH({"Small","Medium","Large"},A1276)),0)),"")</f>
        <v>Small</v>
      </c>
      <c r="E1276" t="str">
        <f t="shared" si="19"/>
        <v>0.091</v>
      </c>
    </row>
    <row r="1277" spans="1:5" x14ac:dyDescent="0.3">
      <c r="A1277" t="s">
        <v>1275</v>
      </c>
      <c r="B1277" t="str" cm="1">
        <f t="array" ref="B1277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hemlock"},A1277)),0)),"")</f>
        <v>Mountain hemlock</v>
      </c>
      <c r="C1277" t="str" cm="1">
        <f t="array" ref="C1277">IFERROR(INDEX({"Ridgetop","Other"},MATCH(TRUE,ISNUMBER(SEARCH({"Ridgetop","Other"},A1277)),0)),"")</f>
        <v>Ridgetop</v>
      </c>
      <c r="D1277" t="str" cm="1">
        <f t="array" ref="D1277">IFERROR(INDEX({"Small","Medium","Large"},MATCH(TRUE,ISNUMBER(SEARCH({"Small","Medium","Large"},A1277)),0)),"")</f>
        <v>Medium</v>
      </c>
      <c r="E1277" t="str">
        <f t="shared" si="19"/>
        <v>0.076</v>
      </c>
    </row>
    <row r="1278" spans="1:5" x14ac:dyDescent="0.3">
      <c r="A1278" t="s">
        <v>1276</v>
      </c>
      <c r="B1278" t="str" cm="1">
        <f t="array" ref="B1278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hemlock"},A1278)),0)),"")</f>
        <v>Mountain hemlock</v>
      </c>
      <c r="C1278" t="str" cm="1">
        <f t="array" ref="C1278">IFERROR(INDEX({"Ridgetop","Other"},MATCH(TRUE,ISNUMBER(SEARCH({"Ridgetop","Other"},A1278)),0)),"")</f>
        <v>Ridgetop</v>
      </c>
      <c r="D1278" t="str" cm="1">
        <f t="array" ref="D1278">IFERROR(INDEX({"Small","Medium","Large"},MATCH(TRUE,ISNUMBER(SEARCH({"Small","Medium","Large"},A1278)),0)),"")</f>
        <v>Large</v>
      </c>
      <c r="E1278" t="str">
        <f t="shared" si="19"/>
        <v>0.042</v>
      </c>
    </row>
    <row r="1279" spans="1:5" x14ac:dyDescent="0.3">
      <c r="A1279" t="s">
        <v>1277</v>
      </c>
      <c r="B1279" t="str" cm="1">
        <f t="array" ref="B1279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hemlock"},A1279)),0)),"")</f>
        <v>Mountain hemlock</v>
      </c>
      <c r="C1279" t="str" cm="1">
        <f t="array" ref="C1279">IFERROR(INDEX({"Ridgetop","Other"},MATCH(TRUE,ISNUMBER(SEARCH({"Ridgetop","Other"},A1279)),0)),"")</f>
        <v>Other</v>
      </c>
      <c r="D1279" t="str" cm="1">
        <f t="array" ref="D1279">IFERROR(INDEX({"Small","Medium","Large"},MATCH(TRUE,ISNUMBER(SEARCH({"Small","Medium","Large"},A1279)),0)),"")</f>
        <v>Small</v>
      </c>
      <c r="E1279" t="str">
        <f t="shared" si="19"/>
        <v>0.053</v>
      </c>
    </row>
    <row r="1280" spans="1:5" x14ac:dyDescent="0.3">
      <c r="A1280" t="s">
        <v>1278</v>
      </c>
      <c r="B1280" t="str" cm="1">
        <f t="array" ref="B1280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hemlock"},A1280)),0)),"")</f>
        <v>Mountain hemlock</v>
      </c>
      <c r="C1280" t="str" cm="1">
        <f t="array" ref="C1280">IFERROR(INDEX({"Ridgetop","Other"},MATCH(TRUE,ISNUMBER(SEARCH({"Ridgetop","Other"},A1280)),0)),"")</f>
        <v>Other</v>
      </c>
      <c r="D1280" t="str" cm="1">
        <f t="array" ref="D1280">IFERROR(INDEX({"Small","Medium","Large"},MATCH(TRUE,ISNUMBER(SEARCH({"Small","Medium","Large"},A1280)),0)),"")</f>
        <v>Medium</v>
      </c>
      <c r="E1280" t="str">
        <f t="shared" si="19"/>
        <v>0.044</v>
      </c>
    </row>
    <row r="1281" spans="1:5" x14ac:dyDescent="0.3">
      <c r="A1281" t="s">
        <v>1279</v>
      </c>
      <c r="B1281" t="str" cm="1">
        <f t="array" ref="B1281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hemlock"},A1281)),0)),"")</f>
        <v>Mountain hemlock</v>
      </c>
      <c r="C1281" t="str" cm="1">
        <f t="array" ref="C1281">IFERROR(INDEX({"Ridgetop","Other"},MATCH(TRUE,ISNUMBER(SEARCH({"Ridgetop","Other"},A1281)),0)),"")</f>
        <v>Other</v>
      </c>
      <c r="D1281" t="str" cm="1">
        <f t="array" ref="D1281">IFERROR(INDEX({"Small","Medium","Large"},MATCH(TRUE,ISNUMBER(SEARCH({"Small","Medium","Large"},A1281)),0)),"")</f>
        <v>Large</v>
      </c>
      <c r="E1281" t="str">
        <f t="shared" si="19"/>
        <v>0.024</v>
      </c>
    </row>
    <row r="1282" spans="1:5" x14ac:dyDescent="0.3">
      <c r="A1282" t="s">
        <v>1280</v>
      </c>
      <c r="B1282" t="str" cm="1">
        <f t="array" ref="B1282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hemlock"},A1282)),0)),"")</f>
        <v>Mountain hemlock</v>
      </c>
      <c r="C1282" t="str" cm="1">
        <f t="array" ref="C1282">IFERROR(INDEX({"Ridgetop","Other"},MATCH(TRUE,ISNUMBER(SEARCH({"Ridgetop","Other"},A1282)),0)),"")</f>
        <v>Other</v>
      </c>
      <c r="D1282" t="str" cm="1">
        <f t="array" ref="D1282">IFERROR(INDEX({"Small","Medium","Large"},MATCH(TRUE,ISNUMBER(SEARCH({"Small","Medium","Large"},A1282)),0)),"")</f>
        <v>Small</v>
      </c>
      <c r="E1282" t="str">
        <f t="shared" si="19"/>
        <v>0.058</v>
      </c>
    </row>
    <row r="1283" spans="1:5" x14ac:dyDescent="0.3">
      <c r="A1283" t="s">
        <v>1281</v>
      </c>
      <c r="B1283" t="str" cm="1">
        <f t="array" ref="B1283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hemlock"},A1283)),0)),"")</f>
        <v>Mountain hemlock</v>
      </c>
      <c r="C1283" t="str" cm="1">
        <f t="array" ref="C1283">IFERROR(INDEX({"Ridgetop","Other"},MATCH(TRUE,ISNUMBER(SEARCH({"Ridgetop","Other"},A1283)),0)),"")</f>
        <v>Other</v>
      </c>
      <c r="D1283" t="str" cm="1">
        <f t="array" ref="D1283">IFERROR(INDEX({"Small","Medium","Large"},MATCH(TRUE,ISNUMBER(SEARCH({"Small","Medium","Large"},A1283)),0)),"")</f>
        <v>Medium</v>
      </c>
      <c r="E1283" t="str">
        <f t="shared" ref="E1283:E1346" si="20">RIGHT(A1283,LEN(A1283)-FIND("@",SUBSTITUTE(A1283," ","@",LEN(A1283)-LEN(SUBSTITUTE(A1283," ","")))))</f>
        <v>0.048</v>
      </c>
    </row>
    <row r="1284" spans="1:5" x14ac:dyDescent="0.3">
      <c r="A1284" t="s">
        <v>1282</v>
      </c>
      <c r="B1284" t="str" cm="1">
        <f t="array" ref="B1284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hemlock"},A1284)),0)),"")</f>
        <v>Mountain hemlock</v>
      </c>
      <c r="C1284" t="str" cm="1">
        <f t="array" ref="C1284">IFERROR(INDEX({"Ridgetop","Other"},MATCH(TRUE,ISNUMBER(SEARCH({"Ridgetop","Other"},A1284)),0)),"")</f>
        <v>Other</v>
      </c>
      <c r="D1284" t="str" cm="1">
        <f t="array" ref="D1284">IFERROR(INDEX({"Small","Medium","Large"},MATCH(TRUE,ISNUMBER(SEARCH({"Small","Medium","Large"},A1284)),0)),"")</f>
        <v>Large</v>
      </c>
      <c r="E1284" t="str">
        <f t="shared" si="20"/>
        <v>0.026</v>
      </c>
    </row>
    <row r="1285" spans="1:5" x14ac:dyDescent="0.3">
      <c r="A1285" t="s">
        <v>1283</v>
      </c>
      <c r="B1285" t="str" cm="1">
        <f t="array" ref="B1285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hemlock"},A1285)),0)),"")</f>
        <v>Mountain hemlock</v>
      </c>
      <c r="C1285" t="str" cm="1">
        <f t="array" ref="C1285">IFERROR(INDEX({"Ridgetop","Other"},MATCH(TRUE,ISNUMBER(SEARCH({"Ridgetop","Other"},A1285)),0)),"")</f>
        <v>Other</v>
      </c>
      <c r="D1285" t="str" cm="1">
        <f t="array" ref="D1285">IFERROR(INDEX({"Small","Medium","Large"},MATCH(TRUE,ISNUMBER(SEARCH({"Small","Medium","Large"},A1285)),0)),"")</f>
        <v>Small</v>
      </c>
      <c r="E1285" t="str">
        <f t="shared" si="20"/>
        <v>0.058</v>
      </c>
    </row>
    <row r="1286" spans="1:5" x14ac:dyDescent="0.3">
      <c r="A1286" t="s">
        <v>1284</v>
      </c>
      <c r="B1286" t="str" cm="1">
        <f t="array" ref="B1286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hemlock"},A1286)),0)),"")</f>
        <v>Mountain hemlock</v>
      </c>
      <c r="C1286" t="str" cm="1">
        <f t="array" ref="C1286">IFERROR(INDEX({"Ridgetop","Other"},MATCH(TRUE,ISNUMBER(SEARCH({"Ridgetop","Other"},A1286)),0)),"")</f>
        <v>Other</v>
      </c>
      <c r="D1286" t="str" cm="1">
        <f t="array" ref="D1286">IFERROR(INDEX({"Small","Medium","Large"},MATCH(TRUE,ISNUMBER(SEARCH({"Small","Medium","Large"},A1286)),0)),"")</f>
        <v>Medium</v>
      </c>
      <c r="E1286" t="str">
        <f t="shared" si="20"/>
        <v>0.048</v>
      </c>
    </row>
    <row r="1287" spans="1:5" x14ac:dyDescent="0.3">
      <c r="A1287" t="s">
        <v>1285</v>
      </c>
      <c r="B1287" t="str" cm="1">
        <f t="array" ref="B1287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hemlock"},A1287)),0)),"")</f>
        <v>Mountain hemlock</v>
      </c>
      <c r="C1287" t="str" cm="1">
        <f t="array" ref="C1287">IFERROR(INDEX({"Ridgetop","Other"},MATCH(TRUE,ISNUMBER(SEARCH({"Ridgetop","Other"},A1287)),0)),"")</f>
        <v>Other</v>
      </c>
      <c r="D1287" t="str" cm="1">
        <f t="array" ref="D1287">IFERROR(INDEX({"Small","Medium","Large"},MATCH(TRUE,ISNUMBER(SEARCH({"Small","Medium","Large"},A1287)),0)),"")</f>
        <v>Large</v>
      </c>
      <c r="E1287" t="str">
        <f t="shared" si="20"/>
        <v>0.026</v>
      </c>
    </row>
    <row r="1288" spans="1:5" x14ac:dyDescent="0.3">
      <c r="A1288" t="s">
        <v>1286</v>
      </c>
      <c r="B1288" t="str" cm="1">
        <f t="array" ref="B1288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hemlock"},A1288)),0)),"")</f>
        <v>Mountain hemlock</v>
      </c>
      <c r="C1288" t="str" cm="1">
        <f t="array" ref="C1288">IFERROR(INDEX({"Ridgetop","Other"},MATCH(TRUE,ISNUMBER(SEARCH({"Ridgetop","Other"},A1288)),0)),"")</f>
        <v>Ridgetop</v>
      </c>
      <c r="D1288" t="str" cm="1">
        <f t="array" ref="D1288">IFERROR(INDEX({"Small","Medium","Large"},MATCH(TRUE,ISNUMBER(SEARCH({"Small","Medium","Large"},A1288)),0)),"")</f>
        <v>Small</v>
      </c>
      <c r="E1288" t="str">
        <f t="shared" si="20"/>
        <v>0.096</v>
      </c>
    </row>
    <row r="1289" spans="1:5" x14ac:dyDescent="0.3">
      <c r="A1289" t="s">
        <v>1287</v>
      </c>
      <c r="B1289" t="str" cm="1">
        <f t="array" ref="B1289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hemlock"},A1289)),0)),"")</f>
        <v>Mountain hemlock</v>
      </c>
      <c r="C1289" t="str" cm="1">
        <f t="array" ref="C1289">IFERROR(INDEX({"Ridgetop","Other"},MATCH(TRUE,ISNUMBER(SEARCH({"Ridgetop","Other"},A1289)),0)),"")</f>
        <v>Ridgetop</v>
      </c>
      <c r="D1289" t="str" cm="1">
        <f t="array" ref="D1289">IFERROR(INDEX({"Small","Medium","Large"},MATCH(TRUE,ISNUMBER(SEARCH({"Small","Medium","Large"},A1289)),0)),"")</f>
        <v>Medium</v>
      </c>
      <c r="E1289" t="str">
        <f t="shared" si="20"/>
        <v>0.080</v>
      </c>
    </row>
    <row r="1290" spans="1:5" x14ac:dyDescent="0.3">
      <c r="A1290" t="s">
        <v>1288</v>
      </c>
      <c r="B1290" t="str" cm="1">
        <f t="array" ref="B1290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hemlock"},A1290)),0)),"")</f>
        <v>Mountain hemlock</v>
      </c>
      <c r="C1290" t="str" cm="1">
        <f t="array" ref="C1290">IFERROR(INDEX({"Ridgetop","Other"},MATCH(TRUE,ISNUMBER(SEARCH({"Ridgetop","Other"},A1290)),0)),"")</f>
        <v>Ridgetop</v>
      </c>
      <c r="D1290" t="str" cm="1">
        <f t="array" ref="D1290">IFERROR(INDEX({"Small","Medium","Large"},MATCH(TRUE,ISNUMBER(SEARCH({"Small","Medium","Large"},A1290)),0)),"")</f>
        <v>Large</v>
      </c>
      <c r="E1290" t="str">
        <f t="shared" si="20"/>
        <v>0.044</v>
      </c>
    </row>
    <row r="1291" spans="1:5" x14ac:dyDescent="0.3">
      <c r="A1291" t="s">
        <v>1289</v>
      </c>
      <c r="B1291" t="str" cm="1">
        <f t="array" ref="B1291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hemlock"},A1291)),0)),"")</f>
        <v>Mountain hemlock</v>
      </c>
      <c r="C1291" t="str" cm="1">
        <f t="array" ref="C1291">IFERROR(INDEX({"Ridgetop","Other"},MATCH(TRUE,ISNUMBER(SEARCH({"Ridgetop","Other"},A1291)),0)),"")</f>
        <v>Ridgetop</v>
      </c>
      <c r="D1291" t="str" cm="1">
        <f t="array" ref="D1291">IFERROR(INDEX({"Small","Medium","Large"},MATCH(TRUE,ISNUMBER(SEARCH({"Small","Medium","Large"},A1291)),0)),"")</f>
        <v>Small</v>
      </c>
      <c r="E1291" t="str">
        <f t="shared" si="20"/>
        <v>0.096</v>
      </c>
    </row>
    <row r="1292" spans="1:5" x14ac:dyDescent="0.3">
      <c r="A1292" t="s">
        <v>1290</v>
      </c>
      <c r="B1292" t="str" cm="1">
        <f t="array" ref="B1292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hemlock"},A1292)),0)),"")</f>
        <v>Mountain hemlock</v>
      </c>
      <c r="C1292" t="str" cm="1">
        <f t="array" ref="C1292">IFERROR(INDEX({"Ridgetop","Other"},MATCH(TRUE,ISNUMBER(SEARCH({"Ridgetop","Other"},A1292)),0)),"")</f>
        <v>Ridgetop</v>
      </c>
      <c r="D1292" t="str" cm="1">
        <f t="array" ref="D1292">IFERROR(INDEX({"Small","Medium","Large"},MATCH(TRUE,ISNUMBER(SEARCH({"Small","Medium","Large"},A1292)),0)),"")</f>
        <v>Medium</v>
      </c>
      <c r="E1292" t="str">
        <f t="shared" si="20"/>
        <v>0.080</v>
      </c>
    </row>
    <row r="1293" spans="1:5" x14ac:dyDescent="0.3">
      <c r="A1293" t="s">
        <v>1291</v>
      </c>
      <c r="B1293" t="str" cm="1">
        <f t="array" ref="B1293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hemlock"},A1293)),0)),"")</f>
        <v>Mountain hemlock</v>
      </c>
      <c r="C1293" t="str" cm="1">
        <f t="array" ref="C1293">IFERROR(INDEX({"Ridgetop","Other"},MATCH(TRUE,ISNUMBER(SEARCH({"Ridgetop","Other"},A1293)),0)),"")</f>
        <v>Ridgetop</v>
      </c>
      <c r="D1293" t="str" cm="1">
        <f t="array" ref="D1293">IFERROR(INDEX({"Small","Medium","Large"},MATCH(TRUE,ISNUMBER(SEARCH({"Small","Medium","Large"},A1293)),0)),"")</f>
        <v>Large</v>
      </c>
      <c r="E1293" t="str">
        <f t="shared" si="20"/>
        <v>0.044</v>
      </c>
    </row>
    <row r="1294" spans="1:5" x14ac:dyDescent="0.3">
      <c r="A1294" t="s">
        <v>1292</v>
      </c>
      <c r="B1294" t="str" cm="1">
        <f t="array" ref="B1294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hemlock"},A1294)),0)),"")</f>
        <v>Mountain hemlock</v>
      </c>
      <c r="C1294" t="str" cm="1">
        <f t="array" ref="C1294">IFERROR(INDEX({"Ridgetop","Other"},MATCH(TRUE,ISNUMBER(SEARCH({"Ridgetop","Other"},A1294)),0)),"")</f>
        <v>Ridgetop</v>
      </c>
      <c r="D1294" t="str" cm="1">
        <f t="array" ref="D1294">IFERROR(INDEX({"Small","Medium","Large"},MATCH(TRUE,ISNUMBER(SEARCH({"Small","Medium","Large"},A1294)),0)),"")</f>
        <v>Small</v>
      </c>
      <c r="E1294" t="str">
        <f t="shared" si="20"/>
        <v>0.096</v>
      </c>
    </row>
    <row r="1295" spans="1:5" x14ac:dyDescent="0.3">
      <c r="A1295" t="s">
        <v>1293</v>
      </c>
      <c r="B1295" t="str" cm="1">
        <f t="array" ref="B1295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hemlock"},A1295)),0)),"")</f>
        <v>Mountain hemlock</v>
      </c>
      <c r="C1295" t="str" cm="1">
        <f t="array" ref="C1295">IFERROR(INDEX({"Ridgetop","Other"},MATCH(TRUE,ISNUMBER(SEARCH({"Ridgetop","Other"},A1295)),0)),"")</f>
        <v>Ridgetop</v>
      </c>
      <c r="D1295" t="str" cm="1">
        <f t="array" ref="D1295">IFERROR(INDEX({"Small","Medium","Large"},MATCH(TRUE,ISNUMBER(SEARCH({"Small","Medium","Large"},A1295)),0)),"")</f>
        <v>Medium</v>
      </c>
      <c r="E1295" t="str">
        <f t="shared" si="20"/>
        <v>0.080</v>
      </c>
    </row>
    <row r="1296" spans="1:5" x14ac:dyDescent="0.3">
      <c r="A1296" t="s">
        <v>1294</v>
      </c>
      <c r="B1296" t="str" cm="1">
        <f t="array" ref="B1296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hemlock"},A1296)),0)),"")</f>
        <v>Mountain hemlock</v>
      </c>
      <c r="C1296" t="str" cm="1">
        <f t="array" ref="C1296">IFERROR(INDEX({"Ridgetop","Other"},MATCH(TRUE,ISNUMBER(SEARCH({"Ridgetop","Other"},A1296)),0)),"")</f>
        <v>Ridgetop</v>
      </c>
      <c r="D1296" t="str" cm="1">
        <f t="array" ref="D1296">IFERROR(INDEX({"Small","Medium","Large"},MATCH(TRUE,ISNUMBER(SEARCH({"Small","Medium","Large"},A1296)),0)),"")</f>
        <v>Large</v>
      </c>
      <c r="E1296" t="str">
        <f t="shared" si="20"/>
        <v>0.044</v>
      </c>
    </row>
    <row r="1297" spans="1:5" x14ac:dyDescent="0.3">
      <c r="A1297" t="s">
        <v>1295</v>
      </c>
      <c r="B1297" t="str" cm="1">
        <f t="array" ref="B1297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hemlock"},A1297)),0)),"")</f>
        <v>Ponderosa pine (OR)</v>
      </c>
      <c r="C1297" t="str" cm="1">
        <f t="array" ref="C1297">IFERROR(INDEX({"Ridgetop","Other"},MATCH(TRUE,ISNUMBER(SEARCH({"Ridgetop","Other"},A1297)),0)),"")</f>
        <v>Other</v>
      </c>
      <c r="D1297" t="str" cm="1">
        <f t="array" ref="D1297">IFERROR(INDEX({"Small","Medium","Large"},MATCH(TRUE,ISNUMBER(SEARCH({"Small","Medium","Large"},A1297)),0)),"")</f>
        <v>Small</v>
      </c>
      <c r="E1297" t="str">
        <f t="shared" si="20"/>
        <v>0.123</v>
      </c>
    </row>
    <row r="1298" spans="1:5" x14ac:dyDescent="0.3">
      <c r="A1298" t="s">
        <v>1296</v>
      </c>
      <c r="B1298" t="str" cm="1">
        <f t="array" ref="B1298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hemlock"},A1298)),0)),"")</f>
        <v>Ponderosa pine (OR)</v>
      </c>
      <c r="C1298" t="str" cm="1">
        <f t="array" ref="C1298">IFERROR(INDEX({"Ridgetop","Other"},MATCH(TRUE,ISNUMBER(SEARCH({"Ridgetop","Other"},A1298)),0)),"")</f>
        <v>Other</v>
      </c>
      <c r="D1298" t="str" cm="1">
        <f t="array" ref="D1298">IFERROR(INDEX({"Small","Medium","Large"},MATCH(TRUE,ISNUMBER(SEARCH({"Small","Medium","Large"},A1298)),0)),"")</f>
        <v>Medium</v>
      </c>
      <c r="E1298" t="str">
        <f t="shared" si="20"/>
        <v>0.059</v>
      </c>
    </row>
    <row r="1299" spans="1:5" x14ac:dyDescent="0.3">
      <c r="A1299" t="s">
        <v>1297</v>
      </c>
      <c r="B1299" t="str" cm="1">
        <f t="array" ref="B1299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hemlock"},A1299)),0)),"")</f>
        <v>Ponderosa pine (OR)</v>
      </c>
      <c r="C1299" t="str" cm="1">
        <f t="array" ref="C1299">IFERROR(INDEX({"Ridgetop","Other"},MATCH(TRUE,ISNUMBER(SEARCH({"Ridgetop","Other"},A1299)),0)),"")</f>
        <v>Other</v>
      </c>
      <c r="D1299" t="str" cm="1">
        <f t="array" ref="D1299">IFERROR(INDEX({"Small","Medium","Large"},MATCH(TRUE,ISNUMBER(SEARCH({"Small","Medium","Large"},A1299)),0)),"")</f>
        <v>Large</v>
      </c>
      <c r="E1299" t="str">
        <f t="shared" si="20"/>
        <v>0.025</v>
      </c>
    </row>
    <row r="1300" spans="1:5" x14ac:dyDescent="0.3">
      <c r="A1300" t="s">
        <v>1298</v>
      </c>
      <c r="B1300" t="str" cm="1">
        <f t="array" ref="B1300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hemlock"},A1300)),0)),"")</f>
        <v>Ponderosa pine (OR)</v>
      </c>
      <c r="C1300" t="str" cm="1">
        <f t="array" ref="C1300">IFERROR(INDEX({"Ridgetop","Other"},MATCH(TRUE,ISNUMBER(SEARCH({"Ridgetop","Other"},A1300)),0)),"")</f>
        <v>Other</v>
      </c>
      <c r="D1300" t="str" cm="1">
        <f t="array" ref="D1300">IFERROR(INDEX({"Small","Medium","Large"},MATCH(TRUE,ISNUMBER(SEARCH({"Small","Medium","Large"},A1300)),0)),"")</f>
        <v>Small</v>
      </c>
      <c r="E1300" t="str">
        <f t="shared" si="20"/>
        <v>0.137</v>
      </c>
    </row>
    <row r="1301" spans="1:5" x14ac:dyDescent="0.3">
      <c r="A1301" t="s">
        <v>1299</v>
      </c>
      <c r="B1301" t="str" cm="1">
        <f t="array" ref="B1301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hemlock"},A1301)),0)),"")</f>
        <v>Ponderosa pine (OR)</v>
      </c>
      <c r="C1301" t="str" cm="1">
        <f t="array" ref="C1301">IFERROR(INDEX({"Ridgetop","Other"},MATCH(TRUE,ISNUMBER(SEARCH({"Ridgetop","Other"},A1301)),0)),"")</f>
        <v>Other</v>
      </c>
      <c r="D1301" t="str" cm="1">
        <f t="array" ref="D1301">IFERROR(INDEX({"Small","Medium","Large"},MATCH(TRUE,ISNUMBER(SEARCH({"Small","Medium","Large"},A1301)),0)),"")</f>
        <v>Medium</v>
      </c>
      <c r="E1301" t="str">
        <f t="shared" si="20"/>
        <v>0.065</v>
      </c>
    </row>
    <row r="1302" spans="1:5" x14ac:dyDescent="0.3">
      <c r="A1302" t="s">
        <v>1300</v>
      </c>
      <c r="B1302" t="str" cm="1">
        <f t="array" ref="B1302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hemlock"},A1302)),0)),"")</f>
        <v>Ponderosa pine (OR)</v>
      </c>
      <c r="C1302" t="str" cm="1">
        <f t="array" ref="C1302">IFERROR(INDEX({"Ridgetop","Other"},MATCH(TRUE,ISNUMBER(SEARCH({"Ridgetop","Other"},A1302)),0)),"")</f>
        <v>Other</v>
      </c>
      <c r="D1302" t="str" cm="1">
        <f t="array" ref="D1302">IFERROR(INDEX({"Small","Medium","Large"},MATCH(TRUE,ISNUMBER(SEARCH({"Small","Medium","Large"},A1302)),0)),"")</f>
        <v>Large</v>
      </c>
      <c r="E1302" t="str">
        <f t="shared" si="20"/>
        <v>0.027</v>
      </c>
    </row>
    <row r="1303" spans="1:5" x14ac:dyDescent="0.3">
      <c r="A1303" t="s">
        <v>1301</v>
      </c>
      <c r="B1303" t="str" cm="1">
        <f t="array" ref="B1303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hemlock"},A1303)),0)),"")</f>
        <v>Ponderosa pine (OR)</v>
      </c>
      <c r="C1303" t="str" cm="1">
        <f t="array" ref="C1303">IFERROR(INDEX({"Ridgetop","Other"},MATCH(TRUE,ISNUMBER(SEARCH({"Ridgetop","Other"},A1303)),0)),"")</f>
        <v>Other</v>
      </c>
      <c r="D1303" t="str" cm="1">
        <f t="array" ref="D1303">IFERROR(INDEX({"Small","Medium","Large"},MATCH(TRUE,ISNUMBER(SEARCH({"Small","Medium","Large"},A1303)),0)),"")</f>
        <v>Small</v>
      </c>
      <c r="E1303" t="str">
        <f t="shared" si="20"/>
        <v>0.169</v>
      </c>
    </row>
    <row r="1304" spans="1:5" x14ac:dyDescent="0.3">
      <c r="A1304" t="s">
        <v>1302</v>
      </c>
      <c r="B1304" t="str" cm="1">
        <f t="array" ref="B1304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hemlock"},A1304)),0)),"")</f>
        <v>Ponderosa pine (OR)</v>
      </c>
      <c r="C1304" t="str" cm="1">
        <f t="array" ref="C1304">IFERROR(INDEX({"Ridgetop","Other"},MATCH(TRUE,ISNUMBER(SEARCH({"Ridgetop","Other"},A1304)),0)),"")</f>
        <v>Other</v>
      </c>
      <c r="D1304" t="str" cm="1">
        <f t="array" ref="D1304">IFERROR(INDEX({"Small","Medium","Large"},MATCH(TRUE,ISNUMBER(SEARCH({"Small","Medium","Large"},A1304)),0)),"")</f>
        <v>Medium</v>
      </c>
      <c r="E1304" t="str">
        <f t="shared" si="20"/>
        <v>0.080</v>
      </c>
    </row>
    <row r="1305" spans="1:5" x14ac:dyDescent="0.3">
      <c r="A1305" t="s">
        <v>1303</v>
      </c>
      <c r="B1305" t="str" cm="1">
        <f t="array" ref="B1305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hemlock"},A1305)),0)),"")</f>
        <v>Ponderosa pine (OR)</v>
      </c>
      <c r="C1305" t="str" cm="1">
        <f t="array" ref="C1305">IFERROR(INDEX({"Ridgetop","Other"},MATCH(TRUE,ISNUMBER(SEARCH({"Ridgetop","Other"},A1305)),0)),"")</f>
        <v>Other</v>
      </c>
      <c r="D1305" t="str" cm="1">
        <f t="array" ref="D1305">IFERROR(INDEX({"Small","Medium","Large"},MATCH(TRUE,ISNUMBER(SEARCH({"Small","Medium","Large"},A1305)),0)),"")</f>
        <v>Large</v>
      </c>
      <c r="E1305" t="str">
        <f t="shared" si="20"/>
        <v>0.034</v>
      </c>
    </row>
    <row r="1306" spans="1:5" x14ac:dyDescent="0.3">
      <c r="A1306" t="s">
        <v>1304</v>
      </c>
      <c r="B1306" t="str" cm="1">
        <f t="array" ref="B1306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hemlock"},A1306)),0)),"")</f>
        <v>Ponderosa pine (OR)</v>
      </c>
      <c r="C1306" t="str" cm="1">
        <f t="array" ref="C1306">IFERROR(INDEX({"Ridgetop","Other"},MATCH(TRUE,ISNUMBER(SEARCH({"Ridgetop","Other"},A1306)),0)),"")</f>
        <v>Ridgetop</v>
      </c>
      <c r="D1306" t="str" cm="1">
        <f t="array" ref="D1306">IFERROR(INDEX({"Small","Medium","Large"},MATCH(TRUE,ISNUMBER(SEARCH({"Small","Medium","Large"},A1306)),0)),"")</f>
        <v>Small</v>
      </c>
      <c r="E1306" t="str">
        <f t="shared" si="20"/>
        <v>0.219</v>
      </c>
    </row>
    <row r="1307" spans="1:5" x14ac:dyDescent="0.3">
      <c r="A1307" t="s">
        <v>1305</v>
      </c>
      <c r="B1307" t="str" cm="1">
        <f t="array" ref="B1307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hemlock"},A1307)),0)),"")</f>
        <v>Ponderosa pine (OR)</v>
      </c>
      <c r="C1307" t="str" cm="1">
        <f t="array" ref="C1307">IFERROR(INDEX({"Ridgetop","Other"},MATCH(TRUE,ISNUMBER(SEARCH({"Ridgetop","Other"},A1307)),0)),"")</f>
        <v>Ridgetop</v>
      </c>
      <c r="D1307" t="str" cm="1">
        <f t="array" ref="D1307">IFERROR(INDEX({"Small","Medium","Large"},MATCH(TRUE,ISNUMBER(SEARCH({"Small","Medium","Large"},A1307)),0)),"")</f>
        <v>Medium</v>
      </c>
      <c r="E1307" t="str">
        <f t="shared" si="20"/>
        <v>0.104</v>
      </c>
    </row>
    <row r="1308" spans="1:5" x14ac:dyDescent="0.3">
      <c r="A1308" t="s">
        <v>1306</v>
      </c>
      <c r="B1308" t="str" cm="1">
        <f t="array" ref="B1308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hemlock"},A1308)),0)),"")</f>
        <v>Ponderosa pine (OR)</v>
      </c>
      <c r="C1308" t="str" cm="1">
        <f t="array" ref="C1308">IFERROR(INDEX({"Ridgetop","Other"},MATCH(TRUE,ISNUMBER(SEARCH({"Ridgetop","Other"},A1308)),0)),"")</f>
        <v>Ridgetop</v>
      </c>
      <c r="D1308" t="str" cm="1">
        <f t="array" ref="D1308">IFERROR(INDEX({"Small","Medium","Large"},MATCH(TRUE,ISNUMBER(SEARCH({"Small","Medium","Large"},A1308)),0)),"")</f>
        <v>Large</v>
      </c>
      <c r="E1308" t="str">
        <f t="shared" si="20"/>
        <v>0.043</v>
      </c>
    </row>
    <row r="1309" spans="1:5" x14ac:dyDescent="0.3">
      <c r="A1309" t="s">
        <v>1307</v>
      </c>
      <c r="B1309" t="str" cm="1">
        <f t="array" ref="B1309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hemlock"},A1309)),0)),"")</f>
        <v>Ponderosa pine (OR)</v>
      </c>
      <c r="C1309" t="str" cm="1">
        <f t="array" ref="C1309">IFERROR(INDEX({"Ridgetop","Other"},MATCH(TRUE,ISNUMBER(SEARCH({"Ridgetop","Other"},A1309)),0)),"")</f>
        <v>Ridgetop</v>
      </c>
      <c r="D1309" t="str" cm="1">
        <f t="array" ref="D1309">IFERROR(INDEX({"Small","Medium","Large"},MATCH(TRUE,ISNUMBER(SEARCH({"Small","Medium","Large"},A1309)),0)),"")</f>
        <v>Small</v>
      </c>
      <c r="E1309" t="str">
        <f t="shared" si="20"/>
        <v>0.226</v>
      </c>
    </row>
    <row r="1310" spans="1:5" x14ac:dyDescent="0.3">
      <c r="A1310" t="s">
        <v>1308</v>
      </c>
      <c r="B1310" t="str" cm="1">
        <f t="array" ref="B1310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hemlock"},A1310)),0)),"")</f>
        <v>Ponderosa pine (OR)</v>
      </c>
      <c r="C1310" t="str" cm="1">
        <f t="array" ref="C1310">IFERROR(INDEX({"Ridgetop","Other"},MATCH(TRUE,ISNUMBER(SEARCH({"Ridgetop","Other"},A1310)),0)),"")</f>
        <v>Ridgetop</v>
      </c>
      <c r="D1310" t="str" cm="1">
        <f t="array" ref="D1310">IFERROR(INDEX({"Small","Medium","Large"},MATCH(TRUE,ISNUMBER(SEARCH({"Small","Medium","Large"},A1310)),0)),"")</f>
        <v>Medium</v>
      </c>
      <c r="E1310" t="str">
        <f t="shared" si="20"/>
        <v>0.107</v>
      </c>
    </row>
    <row r="1311" spans="1:5" x14ac:dyDescent="0.3">
      <c r="A1311" t="s">
        <v>1309</v>
      </c>
      <c r="B1311" t="str" cm="1">
        <f t="array" ref="B1311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hemlock"},A1311)),0)),"")</f>
        <v>Ponderosa pine (OR)</v>
      </c>
      <c r="C1311" t="str" cm="1">
        <f t="array" ref="C1311">IFERROR(INDEX({"Ridgetop","Other"},MATCH(TRUE,ISNUMBER(SEARCH({"Ridgetop","Other"},A1311)),0)),"")</f>
        <v>Ridgetop</v>
      </c>
      <c r="D1311" t="str" cm="1">
        <f t="array" ref="D1311">IFERROR(INDEX({"Small","Medium","Large"},MATCH(TRUE,ISNUMBER(SEARCH({"Small","Medium","Large"},A1311)),0)),"")</f>
        <v>Large</v>
      </c>
      <c r="E1311" t="str">
        <f t="shared" si="20"/>
        <v>0.045</v>
      </c>
    </row>
    <row r="1312" spans="1:5" x14ac:dyDescent="0.3">
      <c r="A1312" t="s">
        <v>1310</v>
      </c>
      <c r="B1312" t="str" cm="1">
        <f t="array" ref="B1312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hemlock"},A1312)),0)),"")</f>
        <v>Ponderosa pine (OR)</v>
      </c>
      <c r="C1312" t="str" cm="1">
        <f t="array" ref="C1312">IFERROR(INDEX({"Ridgetop","Other"},MATCH(TRUE,ISNUMBER(SEARCH({"Ridgetop","Other"},A1312)),0)),"")</f>
        <v>Ridgetop</v>
      </c>
      <c r="D1312" t="str" cm="1">
        <f t="array" ref="D1312">IFERROR(INDEX({"Small","Medium","Large"},MATCH(TRUE,ISNUMBER(SEARCH({"Small","Medium","Large"},A1312)),0)),"")</f>
        <v>Small</v>
      </c>
      <c r="E1312" t="str">
        <f t="shared" si="20"/>
        <v>0.240</v>
      </c>
    </row>
    <row r="1313" spans="1:5" x14ac:dyDescent="0.3">
      <c r="A1313" t="s">
        <v>1311</v>
      </c>
      <c r="B1313" t="str" cm="1">
        <f t="array" ref="B1313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hemlock"},A1313)),0)),"")</f>
        <v>Ponderosa pine (OR)</v>
      </c>
      <c r="C1313" t="str" cm="1">
        <f t="array" ref="C1313">IFERROR(INDEX({"Ridgetop","Other"},MATCH(TRUE,ISNUMBER(SEARCH({"Ridgetop","Other"},A1313)),0)),"")</f>
        <v>Ridgetop</v>
      </c>
      <c r="D1313" t="str" cm="1">
        <f t="array" ref="D1313">IFERROR(INDEX({"Small","Medium","Large"},MATCH(TRUE,ISNUMBER(SEARCH({"Small","Medium","Large"},A1313)),0)),"")</f>
        <v>Medium</v>
      </c>
      <c r="E1313" t="str">
        <f t="shared" si="20"/>
        <v>0.114</v>
      </c>
    </row>
    <row r="1314" spans="1:5" x14ac:dyDescent="0.3">
      <c r="A1314" t="s">
        <v>1312</v>
      </c>
      <c r="B1314" t="str" cm="1">
        <f t="array" ref="B1314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hemlock"},A1314)),0)),"")</f>
        <v>Ponderosa pine (OR)</v>
      </c>
      <c r="C1314" t="str" cm="1">
        <f t="array" ref="C1314">IFERROR(INDEX({"Ridgetop","Other"},MATCH(TRUE,ISNUMBER(SEARCH({"Ridgetop","Other"},A1314)),0)),"")</f>
        <v>Ridgetop</v>
      </c>
      <c r="D1314" t="str" cm="1">
        <f t="array" ref="D1314">IFERROR(INDEX({"Small","Medium","Large"},MATCH(TRUE,ISNUMBER(SEARCH({"Small","Medium","Large"},A1314)),0)),"")</f>
        <v>Large</v>
      </c>
      <c r="E1314" t="str">
        <f t="shared" si="20"/>
        <v>0.048</v>
      </c>
    </row>
    <row r="1315" spans="1:5" x14ac:dyDescent="0.3">
      <c r="A1315" t="s">
        <v>1313</v>
      </c>
      <c r="B1315" t="str" cm="1">
        <f t="array" ref="B1315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hemlock"},A1315)),0)),"")</f>
        <v>Ponderosa pine (OR)</v>
      </c>
      <c r="C1315" t="str" cm="1">
        <f t="array" ref="C1315">IFERROR(INDEX({"Ridgetop","Other"},MATCH(TRUE,ISNUMBER(SEARCH({"Ridgetop","Other"},A1315)),0)),"")</f>
        <v>Other</v>
      </c>
      <c r="D1315" t="str" cm="1">
        <f t="array" ref="D1315">IFERROR(INDEX({"Small","Medium","Large"},MATCH(TRUE,ISNUMBER(SEARCH({"Small","Medium","Large"},A1315)),0)),"")</f>
        <v>Small</v>
      </c>
      <c r="E1315" t="str">
        <f t="shared" si="20"/>
        <v>0.155</v>
      </c>
    </row>
    <row r="1316" spans="1:5" x14ac:dyDescent="0.3">
      <c r="A1316" t="s">
        <v>1314</v>
      </c>
      <c r="B1316" t="str" cm="1">
        <f t="array" ref="B1316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hemlock"},A1316)),0)),"")</f>
        <v>Ponderosa pine (OR)</v>
      </c>
      <c r="C1316" t="str" cm="1">
        <f t="array" ref="C1316">IFERROR(INDEX({"Ridgetop","Other"},MATCH(TRUE,ISNUMBER(SEARCH({"Ridgetop","Other"},A1316)),0)),"")</f>
        <v>Other</v>
      </c>
      <c r="D1316" t="str" cm="1">
        <f t="array" ref="D1316">IFERROR(INDEX({"Small","Medium","Large"},MATCH(TRUE,ISNUMBER(SEARCH({"Small","Medium","Large"},A1316)),0)),"")</f>
        <v>Medium</v>
      </c>
      <c r="E1316" t="str">
        <f t="shared" si="20"/>
        <v>0.074</v>
      </c>
    </row>
    <row r="1317" spans="1:5" x14ac:dyDescent="0.3">
      <c r="A1317" t="s">
        <v>1315</v>
      </c>
      <c r="B1317" t="str" cm="1">
        <f t="array" ref="B1317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hemlock"},A1317)),0)),"")</f>
        <v>Ponderosa pine (OR)</v>
      </c>
      <c r="C1317" t="str" cm="1">
        <f t="array" ref="C1317">IFERROR(INDEX({"Ridgetop","Other"},MATCH(TRUE,ISNUMBER(SEARCH({"Ridgetop","Other"},A1317)),0)),"")</f>
        <v>Other</v>
      </c>
      <c r="D1317" t="str" cm="1">
        <f t="array" ref="D1317">IFERROR(INDEX({"Small","Medium","Large"},MATCH(TRUE,ISNUMBER(SEARCH({"Small","Medium","Large"},A1317)),0)),"")</f>
        <v>Large</v>
      </c>
      <c r="E1317" t="str">
        <f t="shared" si="20"/>
        <v>0.031</v>
      </c>
    </row>
    <row r="1318" spans="1:5" x14ac:dyDescent="0.3">
      <c r="A1318" t="s">
        <v>1316</v>
      </c>
      <c r="B1318" t="str" cm="1">
        <f t="array" ref="B1318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hemlock"},A1318)),0)),"")</f>
        <v>Ponderosa pine (OR)</v>
      </c>
      <c r="C1318" t="str" cm="1">
        <f t="array" ref="C1318">IFERROR(INDEX({"Ridgetop","Other"},MATCH(TRUE,ISNUMBER(SEARCH({"Ridgetop","Other"},A1318)),0)),"")</f>
        <v>Other</v>
      </c>
      <c r="D1318" t="str" cm="1">
        <f t="array" ref="D1318">IFERROR(INDEX({"Small","Medium","Large"},MATCH(TRUE,ISNUMBER(SEARCH({"Small","Medium","Large"},A1318)),0)),"")</f>
        <v>Small</v>
      </c>
      <c r="E1318" t="str">
        <f t="shared" si="20"/>
        <v>0.169</v>
      </c>
    </row>
    <row r="1319" spans="1:5" x14ac:dyDescent="0.3">
      <c r="A1319" t="s">
        <v>1317</v>
      </c>
      <c r="B1319" t="str" cm="1">
        <f t="array" ref="B1319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hemlock"},A1319)),0)),"")</f>
        <v>Ponderosa pine (OR)</v>
      </c>
      <c r="C1319" t="str" cm="1">
        <f t="array" ref="C1319">IFERROR(INDEX({"Ridgetop","Other"},MATCH(TRUE,ISNUMBER(SEARCH({"Ridgetop","Other"},A1319)),0)),"")</f>
        <v>Other</v>
      </c>
      <c r="D1319" t="str" cm="1">
        <f t="array" ref="D1319">IFERROR(INDEX({"Small","Medium","Large"},MATCH(TRUE,ISNUMBER(SEARCH({"Small","Medium","Large"},A1319)),0)),"")</f>
        <v>Medium</v>
      </c>
      <c r="E1319" t="str">
        <f t="shared" si="20"/>
        <v>0.080</v>
      </c>
    </row>
    <row r="1320" spans="1:5" x14ac:dyDescent="0.3">
      <c r="A1320" t="s">
        <v>1318</v>
      </c>
      <c r="B1320" t="str" cm="1">
        <f t="array" ref="B1320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hemlock"},A1320)),0)),"")</f>
        <v>Ponderosa pine (OR)</v>
      </c>
      <c r="C1320" t="str" cm="1">
        <f t="array" ref="C1320">IFERROR(INDEX({"Ridgetop","Other"},MATCH(TRUE,ISNUMBER(SEARCH({"Ridgetop","Other"},A1320)),0)),"")</f>
        <v>Other</v>
      </c>
      <c r="D1320" t="str" cm="1">
        <f t="array" ref="D1320">IFERROR(INDEX({"Small","Medium","Large"},MATCH(TRUE,ISNUMBER(SEARCH({"Small","Medium","Large"},A1320)),0)),"")</f>
        <v>Large</v>
      </c>
      <c r="E1320" t="str">
        <f t="shared" si="20"/>
        <v>0.034</v>
      </c>
    </row>
    <row r="1321" spans="1:5" x14ac:dyDescent="0.3">
      <c r="A1321" t="s">
        <v>1319</v>
      </c>
      <c r="B1321" t="str" cm="1">
        <f t="array" ref="B1321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hemlock"},A1321)),0)),"")</f>
        <v>Ponderosa pine (OR)</v>
      </c>
      <c r="C1321" t="str" cm="1">
        <f t="array" ref="C1321">IFERROR(INDEX({"Ridgetop","Other"},MATCH(TRUE,ISNUMBER(SEARCH({"Ridgetop","Other"},A1321)),0)),"")</f>
        <v>Other</v>
      </c>
      <c r="D1321" t="str" cm="1">
        <f t="array" ref="D1321">IFERROR(INDEX({"Small","Medium","Large"},MATCH(TRUE,ISNUMBER(SEARCH({"Small","Medium","Large"},A1321)),0)),"")</f>
        <v>Small</v>
      </c>
      <c r="E1321" t="str">
        <f t="shared" si="20"/>
        <v>0.169</v>
      </c>
    </row>
    <row r="1322" spans="1:5" x14ac:dyDescent="0.3">
      <c r="A1322" t="s">
        <v>1320</v>
      </c>
      <c r="B1322" t="str" cm="1">
        <f t="array" ref="B1322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hemlock"},A1322)),0)),"")</f>
        <v>Ponderosa pine (OR)</v>
      </c>
      <c r="C1322" t="str" cm="1">
        <f t="array" ref="C1322">IFERROR(INDEX({"Ridgetop","Other"},MATCH(TRUE,ISNUMBER(SEARCH({"Ridgetop","Other"},A1322)),0)),"")</f>
        <v>Other</v>
      </c>
      <c r="D1322" t="str" cm="1">
        <f t="array" ref="D1322">IFERROR(INDEX({"Small","Medium","Large"},MATCH(TRUE,ISNUMBER(SEARCH({"Small","Medium","Large"},A1322)),0)),"")</f>
        <v>Medium</v>
      </c>
      <c r="E1322" t="str">
        <f t="shared" si="20"/>
        <v>0.080</v>
      </c>
    </row>
    <row r="1323" spans="1:5" x14ac:dyDescent="0.3">
      <c r="A1323" t="s">
        <v>1321</v>
      </c>
      <c r="B1323" t="str" cm="1">
        <f t="array" ref="B1323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hemlock"},A1323)),0)),"")</f>
        <v>Ponderosa pine (OR)</v>
      </c>
      <c r="C1323" t="str" cm="1">
        <f t="array" ref="C1323">IFERROR(INDEX({"Ridgetop","Other"},MATCH(TRUE,ISNUMBER(SEARCH({"Ridgetop","Other"},A1323)),0)),"")</f>
        <v>Other</v>
      </c>
      <c r="D1323" t="str" cm="1">
        <f t="array" ref="D1323">IFERROR(INDEX({"Small","Medium","Large"},MATCH(TRUE,ISNUMBER(SEARCH({"Small","Medium","Large"},A1323)),0)),"")</f>
        <v>Large</v>
      </c>
      <c r="E1323" t="str">
        <f t="shared" si="20"/>
        <v>0.034</v>
      </c>
    </row>
    <row r="1324" spans="1:5" x14ac:dyDescent="0.3">
      <c r="A1324" t="s">
        <v>1322</v>
      </c>
      <c r="B1324" t="str" cm="1">
        <f t="array" ref="B1324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hemlock"},A1324)),0)),"")</f>
        <v>Ponderosa pine (OR)</v>
      </c>
      <c r="C1324" t="str" cm="1">
        <f t="array" ref="C1324">IFERROR(INDEX({"Ridgetop","Other"},MATCH(TRUE,ISNUMBER(SEARCH({"Ridgetop","Other"},A1324)),0)),"")</f>
        <v>Ridgetop</v>
      </c>
      <c r="D1324" t="str" cm="1">
        <f t="array" ref="D1324">IFERROR(INDEX({"Small","Medium","Large"},MATCH(TRUE,ISNUMBER(SEARCH({"Small","Medium","Large"},A1324)),0)),"")</f>
        <v>Small</v>
      </c>
      <c r="E1324" t="str">
        <f t="shared" si="20"/>
        <v>0.282</v>
      </c>
    </row>
    <row r="1325" spans="1:5" x14ac:dyDescent="0.3">
      <c r="A1325" t="s">
        <v>1323</v>
      </c>
      <c r="B1325" t="str" cm="1">
        <f t="array" ref="B1325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hemlock"},A1325)),0)),"")</f>
        <v>Ponderosa pine (OR)</v>
      </c>
      <c r="C1325" t="str" cm="1">
        <f t="array" ref="C1325">IFERROR(INDEX({"Ridgetop","Other"},MATCH(TRUE,ISNUMBER(SEARCH({"Ridgetop","Other"},A1325)),0)),"")</f>
        <v>Ridgetop</v>
      </c>
      <c r="D1325" t="str" cm="1">
        <f t="array" ref="D1325">IFERROR(INDEX({"Small","Medium","Large"},MATCH(TRUE,ISNUMBER(SEARCH({"Small","Medium","Large"},A1325)),0)),"")</f>
        <v>Medium</v>
      </c>
      <c r="E1325" t="str">
        <f t="shared" si="20"/>
        <v>0.134</v>
      </c>
    </row>
    <row r="1326" spans="1:5" x14ac:dyDescent="0.3">
      <c r="A1326" t="s">
        <v>1324</v>
      </c>
      <c r="B1326" t="str" cm="1">
        <f t="array" ref="B1326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hemlock"},A1326)),0)),"")</f>
        <v>Ponderosa pine (OR)</v>
      </c>
      <c r="C1326" t="str" cm="1">
        <f t="array" ref="C1326">IFERROR(INDEX({"Ridgetop","Other"},MATCH(TRUE,ISNUMBER(SEARCH({"Ridgetop","Other"},A1326)),0)),"")</f>
        <v>Ridgetop</v>
      </c>
      <c r="D1326" t="str" cm="1">
        <f t="array" ref="D1326">IFERROR(INDEX({"Small","Medium","Large"},MATCH(TRUE,ISNUMBER(SEARCH({"Small","Medium","Large"},A1326)),0)),"")</f>
        <v>Large</v>
      </c>
      <c r="E1326" t="str">
        <f t="shared" si="20"/>
        <v>0.056</v>
      </c>
    </row>
    <row r="1327" spans="1:5" x14ac:dyDescent="0.3">
      <c r="A1327" t="s">
        <v>1325</v>
      </c>
      <c r="B1327" t="str" cm="1">
        <f t="array" ref="B1327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hemlock"},A1327)),0)),"")</f>
        <v>Ponderosa pine (OR)</v>
      </c>
      <c r="C1327" t="str" cm="1">
        <f t="array" ref="C1327">IFERROR(INDEX({"Ridgetop","Other"},MATCH(TRUE,ISNUMBER(SEARCH({"Ridgetop","Other"},A1327)),0)),"")</f>
        <v>Ridgetop</v>
      </c>
      <c r="D1327" t="str" cm="1">
        <f t="array" ref="D1327">IFERROR(INDEX({"Small","Medium","Large"},MATCH(TRUE,ISNUMBER(SEARCH({"Small","Medium","Large"},A1327)),0)),"")</f>
        <v>Small</v>
      </c>
      <c r="E1327" t="str">
        <f t="shared" si="20"/>
        <v>0.282</v>
      </c>
    </row>
    <row r="1328" spans="1:5" x14ac:dyDescent="0.3">
      <c r="A1328" t="s">
        <v>1326</v>
      </c>
      <c r="B1328" t="str" cm="1">
        <f t="array" ref="B1328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hemlock"},A1328)),0)),"")</f>
        <v>Ponderosa pine (OR)</v>
      </c>
      <c r="C1328" t="str" cm="1">
        <f t="array" ref="C1328">IFERROR(INDEX({"Ridgetop","Other"},MATCH(TRUE,ISNUMBER(SEARCH({"Ridgetop","Other"},A1328)),0)),"")</f>
        <v>Ridgetop</v>
      </c>
      <c r="D1328" t="str" cm="1">
        <f t="array" ref="D1328">IFERROR(INDEX({"Small","Medium","Large"},MATCH(TRUE,ISNUMBER(SEARCH({"Small","Medium","Large"},A1328)),0)),"")</f>
        <v>Medium</v>
      </c>
      <c r="E1328" t="str">
        <f t="shared" si="20"/>
        <v>0.134</v>
      </c>
    </row>
    <row r="1329" spans="1:5" x14ac:dyDescent="0.3">
      <c r="A1329" t="s">
        <v>1327</v>
      </c>
      <c r="B1329" t="str" cm="1">
        <f t="array" ref="B1329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hemlock"},A1329)),0)),"")</f>
        <v>Ponderosa pine (OR)</v>
      </c>
      <c r="C1329" t="str" cm="1">
        <f t="array" ref="C1329">IFERROR(INDEX({"Ridgetop","Other"},MATCH(TRUE,ISNUMBER(SEARCH({"Ridgetop","Other"},A1329)),0)),"")</f>
        <v>Ridgetop</v>
      </c>
      <c r="D1329" t="str" cm="1">
        <f t="array" ref="D1329">IFERROR(INDEX({"Small","Medium","Large"},MATCH(TRUE,ISNUMBER(SEARCH({"Small","Medium","Large"},A1329)),0)),"")</f>
        <v>Large</v>
      </c>
      <c r="E1329" t="str">
        <f t="shared" si="20"/>
        <v>0.056</v>
      </c>
    </row>
    <row r="1330" spans="1:5" x14ac:dyDescent="0.3">
      <c r="A1330" t="s">
        <v>1328</v>
      </c>
      <c r="B1330" t="str" cm="1">
        <f t="array" ref="B1330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hemlock"},A1330)),0)),"")</f>
        <v>Ponderosa pine (OR)</v>
      </c>
      <c r="C1330" t="str" cm="1">
        <f t="array" ref="C1330">IFERROR(INDEX({"Ridgetop","Other"},MATCH(TRUE,ISNUMBER(SEARCH({"Ridgetop","Other"},A1330)),0)),"")</f>
        <v>Ridgetop</v>
      </c>
      <c r="D1330" t="str" cm="1">
        <f t="array" ref="D1330">IFERROR(INDEX({"Small","Medium","Large"},MATCH(TRUE,ISNUMBER(SEARCH({"Small","Medium","Large"},A1330)),0)),"")</f>
        <v>Small</v>
      </c>
      <c r="E1330" t="str">
        <f t="shared" si="20"/>
        <v>0.282</v>
      </c>
    </row>
    <row r="1331" spans="1:5" x14ac:dyDescent="0.3">
      <c r="A1331" t="s">
        <v>1329</v>
      </c>
      <c r="B1331" t="str" cm="1">
        <f t="array" ref="B1331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hemlock"},A1331)),0)),"")</f>
        <v>Ponderosa pine (OR)</v>
      </c>
      <c r="C1331" t="str" cm="1">
        <f t="array" ref="C1331">IFERROR(INDEX({"Ridgetop","Other"},MATCH(TRUE,ISNUMBER(SEARCH({"Ridgetop","Other"},A1331)),0)),"")</f>
        <v>Ridgetop</v>
      </c>
      <c r="D1331" t="str" cm="1">
        <f t="array" ref="D1331">IFERROR(INDEX({"Small","Medium","Large"},MATCH(TRUE,ISNUMBER(SEARCH({"Small","Medium","Large"},A1331)),0)),"")</f>
        <v>Medium</v>
      </c>
      <c r="E1331" t="str">
        <f t="shared" si="20"/>
        <v>0.134</v>
      </c>
    </row>
    <row r="1332" spans="1:5" x14ac:dyDescent="0.3">
      <c r="A1332" t="s">
        <v>1330</v>
      </c>
      <c r="B1332" t="str" cm="1">
        <f t="array" ref="B1332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hemlock"},A1332)),0)),"")</f>
        <v>Ponderosa pine (OR)</v>
      </c>
      <c r="C1332" t="str" cm="1">
        <f t="array" ref="C1332">IFERROR(INDEX({"Ridgetop","Other"},MATCH(TRUE,ISNUMBER(SEARCH({"Ridgetop","Other"},A1332)),0)),"")</f>
        <v>Ridgetop</v>
      </c>
      <c r="D1332" t="str" cm="1">
        <f t="array" ref="D1332">IFERROR(INDEX({"Small","Medium","Large"},MATCH(TRUE,ISNUMBER(SEARCH({"Small","Medium","Large"},A1332)),0)),"")</f>
        <v>Large</v>
      </c>
      <c r="E1332" t="str">
        <f t="shared" si="20"/>
        <v>0.056</v>
      </c>
    </row>
    <row r="1333" spans="1:5" x14ac:dyDescent="0.3">
      <c r="A1333" t="s">
        <v>1331</v>
      </c>
      <c r="B1333" t="str" cm="1">
        <f t="array" ref="B1333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hemlock"},A1333)),0)),"")</f>
        <v>Ponderosa pine (OR)</v>
      </c>
      <c r="C1333" t="str" cm="1">
        <f t="array" ref="C1333">IFERROR(INDEX({"Ridgetop","Other"},MATCH(TRUE,ISNUMBER(SEARCH({"Ridgetop","Other"},A1333)),0)),"")</f>
        <v>Other</v>
      </c>
      <c r="D1333" t="str" cm="1">
        <f t="array" ref="D1333">IFERROR(INDEX({"Small","Medium","Large"},MATCH(TRUE,ISNUMBER(SEARCH({"Small","Medium","Large"},A1333)),0)),"")</f>
        <v>Small</v>
      </c>
      <c r="E1333" t="str">
        <f t="shared" si="20"/>
        <v>0.127</v>
      </c>
    </row>
    <row r="1334" spans="1:5" x14ac:dyDescent="0.3">
      <c r="A1334" t="s">
        <v>1332</v>
      </c>
      <c r="B1334" t="str" cm="1">
        <f t="array" ref="B1334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hemlock"},A1334)),0)),"")</f>
        <v>Ponderosa pine (OR)</v>
      </c>
      <c r="C1334" t="str" cm="1">
        <f t="array" ref="C1334">IFERROR(INDEX({"Ridgetop","Other"},MATCH(TRUE,ISNUMBER(SEARCH({"Ridgetop","Other"},A1334)),0)),"")</f>
        <v>Other</v>
      </c>
      <c r="D1334" t="str" cm="1">
        <f t="array" ref="D1334">IFERROR(INDEX({"Small","Medium","Large"},MATCH(TRUE,ISNUMBER(SEARCH({"Small","Medium","Large"},A1334)),0)),"")</f>
        <v>Medium</v>
      </c>
      <c r="E1334" t="str">
        <f t="shared" si="20"/>
        <v>0.060</v>
      </c>
    </row>
    <row r="1335" spans="1:5" x14ac:dyDescent="0.3">
      <c r="A1335" t="s">
        <v>1333</v>
      </c>
      <c r="B1335" t="str" cm="1">
        <f t="array" ref="B1335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hemlock"},A1335)),0)),"")</f>
        <v>Ponderosa pine (OR)</v>
      </c>
      <c r="C1335" t="str" cm="1">
        <f t="array" ref="C1335">IFERROR(INDEX({"Ridgetop","Other"},MATCH(TRUE,ISNUMBER(SEARCH({"Ridgetop","Other"},A1335)),0)),"")</f>
        <v>Other</v>
      </c>
      <c r="D1335" t="str" cm="1">
        <f t="array" ref="D1335">IFERROR(INDEX({"Small","Medium","Large"},MATCH(TRUE,ISNUMBER(SEARCH({"Small","Medium","Large"},A1335)),0)),"")</f>
        <v>Large</v>
      </c>
      <c r="E1335" t="str">
        <f t="shared" si="20"/>
        <v>0.025</v>
      </c>
    </row>
    <row r="1336" spans="1:5" x14ac:dyDescent="0.3">
      <c r="A1336" t="s">
        <v>1334</v>
      </c>
      <c r="B1336" t="str" cm="1">
        <f t="array" ref="B1336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hemlock"},A1336)),0)),"")</f>
        <v>Ponderosa pine (OR)</v>
      </c>
      <c r="C1336" t="str" cm="1">
        <f t="array" ref="C1336">IFERROR(INDEX({"Ridgetop","Other"},MATCH(TRUE,ISNUMBER(SEARCH({"Ridgetop","Other"},A1336)),0)),"")</f>
        <v>Other</v>
      </c>
      <c r="D1336" t="str" cm="1">
        <f t="array" ref="D1336">IFERROR(INDEX({"Small","Medium","Large"},MATCH(TRUE,ISNUMBER(SEARCH({"Small","Medium","Large"},A1336)),0)),"")</f>
        <v>Small</v>
      </c>
      <c r="E1336" t="str">
        <f t="shared" si="20"/>
        <v>0.141</v>
      </c>
    </row>
    <row r="1337" spans="1:5" x14ac:dyDescent="0.3">
      <c r="A1337" t="s">
        <v>1335</v>
      </c>
      <c r="B1337" t="str" cm="1">
        <f t="array" ref="B1337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hemlock"},A1337)),0)),"")</f>
        <v>Ponderosa pine (OR)</v>
      </c>
      <c r="C1337" t="str" cm="1">
        <f t="array" ref="C1337">IFERROR(INDEX({"Ridgetop","Other"},MATCH(TRUE,ISNUMBER(SEARCH({"Ridgetop","Other"},A1337)),0)),"")</f>
        <v>Other</v>
      </c>
      <c r="D1337" t="str" cm="1">
        <f t="array" ref="D1337">IFERROR(INDEX({"Small","Medium","Large"},MATCH(TRUE,ISNUMBER(SEARCH({"Small","Medium","Large"},A1337)),0)),"")</f>
        <v>Medium</v>
      </c>
      <c r="E1337" t="str">
        <f t="shared" si="20"/>
        <v>0.067</v>
      </c>
    </row>
    <row r="1338" spans="1:5" x14ac:dyDescent="0.3">
      <c r="A1338" t="s">
        <v>1336</v>
      </c>
      <c r="B1338" t="str" cm="1">
        <f t="array" ref="B1338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hemlock"},A1338)),0)),"")</f>
        <v>Ponderosa pine (OR)</v>
      </c>
      <c r="C1338" t="str" cm="1">
        <f t="array" ref="C1338">IFERROR(INDEX({"Ridgetop","Other"},MATCH(TRUE,ISNUMBER(SEARCH({"Ridgetop","Other"},A1338)),0)),"")</f>
        <v>Other</v>
      </c>
      <c r="D1338" t="str" cm="1">
        <f t="array" ref="D1338">IFERROR(INDEX({"Small","Medium","Large"},MATCH(TRUE,ISNUMBER(SEARCH({"Small","Medium","Large"},A1338)),0)),"")</f>
        <v>Large</v>
      </c>
      <c r="E1338" t="str">
        <f t="shared" si="20"/>
        <v>0.028</v>
      </c>
    </row>
    <row r="1339" spans="1:5" x14ac:dyDescent="0.3">
      <c r="A1339" t="s">
        <v>1337</v>
      </c>
      <c r="B1339" t="str" cm="1">
        <f t="array" ref="B1339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hemlock"},A1339)),0)),"")</f>
        <v>Ponderosa pine (OR)</v>
      </c>
      <c r="C1339" t="str" cm="1">
        <f t="array" ref="C1339">IFERROR(INDEX({"Ridgetop","Other"},MATCH(TRUE,ISNUMBER(SEARCH({"Ridgetop","Other"},A1339)),0)),"")</f>
        <v>Other</v>
      </c>
      <c r="D1339" t="str" cm="1">
        <f t="array" ref="D1339">IFERROR(INDEX({"Small","Medium","Large"},MATCH(TRUE,ISNUMBER(SEARCH({"Small","Medium","Large"},A1339)),0)),"")</f>
        <v>Small</v>
      </c>
      <c r="E1339" t="str">
        <f t="shared" si="20"/>
        <v>0.169</v>
      </c>
    </row>
    <row r="1340" spans="1:5" x14ac:dyDescent="0.3">
      <c r="A1340" t="s">
        <v>1338</v>
      </c>
      <c r="B1340" t="str" cm="1">
        <f t="array" ref="B1340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hemlock"},A1340)),0)),"")</f>
        <v>Ponderosa pine (OR)</v>
      </c>
      <c r="C1340" t="str" cm="1">
        <f t="array" ref="C1340">IFERROR(INDEX({"Ridgetop","Other"},MATCH(TRUE,ISNUMBER(SEARCH({"Ridgetop","Other"},A1340)),0)),"")</f>
        <v>Other</v>
      </c>
      <c r="D1340" t="str" cm="1">
        <f t="array" ref="D1340">IFERROR(INDEX({"Small","Medium","Large"},MATCH(TRUE,ISNUMBER(SEARCH({"Small","Medium","Large"},A1340)),0)),"")</f>
        <v>Medium</v>
      </c>
      <c r="E1340" t="str">
        <f t="shared" si="20"/>
        <v>0.080</v>
      </c>
    </row>
    <row r="1341" spans="1:5" x14ac:dyDescent="0.3">
      <c r="A1341" t="s">
        <v>1339</v>
      </c>
      <c r="B1341" t="str" cm="1">
        <f t="array" ref="B1341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hemlock"},A1341)),0)),"")</f>
        <v>Ponderosa pine (OR)</v>
      </c>
      <c r="C1341" t="str" cm="1">
        <f t="array" ref="C1341">IFERROR(INDEX({"Ridgetop","Other"},MATCH(TRUE,ISNUMBER(SEARCH({"Ridgetop","Other"},A1341)),0)),"")</f>
        <v>Other</v>
      </c>
      <c r="D1341" t="str" cm="1">
        <f t="array" ref="D1341">IFERROR(INDEX({"Small","Medium","Large"},MATCH(TRUE,ISNUMBER(SEARCH({"Small","Medium","Large"},A1341)),0)),"")</f>
        <v>Large</v>
      </c>
      <c r="E1341" t="str">
        <f t="shared" si="20"/>
        <v>0.034</v>
      </c>
    </row>
    <row r="1342" spans="1:5" x14ac:dyDescent="0.3">
      <c r="A1342" t="s">
        <v>1340</v>
      </c>
      <c r="B1342" t="str" cm="1">
        <f t="array" ref="B1342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hemlock"},A1342)),0)),"")</f>
        <v>Ponderosa pine (OR)</v>
      </c>
      <c r="C1342" t="str" cm="1">
        <f t="array" ref="C1342">IFERROR(INDEX({"Ridgetop","Other"},MATCH(TRUE,ISNUMBER(SEARCH({"Ridgetop","Other"},A1342)),0)),"")</f>
        <v>Ridgetop</v>
      </c>
      <c r="D1342" t="str" cm="1">
        <f t="array" ref="D1342">IFERROR(INDEX({"Small","Medium","Large"},MATCH(TRUE,ISNUMBER(SEARCH({"Small","Medium","Large"},A1342)),0)),"")</f>
        <v>Small</v>
      </c>
      <c r="E1342" t="str">
        <f t="shared" si="20"/>
        <v>0.240</v>
      </c>
    </row>
    <row r="1343" spans="1:5" x14ac:dyDescent="0.3">
      <c r="A1343" t="s">
        <v>1341</v>
      </c>
      <c r="B1343" t="str" cm="1">
        <f t="array" ref="B1343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hemlock"},A1343)),0)),"")</f>
        <v>Ponderosa pine (OR)</v>
      </c>
      <c r="C1343" t="str" cm="1">
        <f t="array" ref="C1343">IFERROR(INDEX({"Ridgetop","Other"},MATCH(TRUE,ISNUMBER(SEARCH({"Ridgetop","Other"},A1343)),0)),"")</f>
        <v>Ridgetop</v>
      </c>
      <c r="D1343" t="str" cm="1">
        <f t="array" ref="D1343">IFERROR(INDEX({"Small","Medium","Large"},MATCH(TRUE,ISNUMBER(SEARCH({"Small","Medium","Large"},A1343)),0)),"")</f>
        <v>Medium</v>
      </c>
      <c r="E1343" t="str">
        <f t="shared" si="20"/>
        <v>0.114</v>
      </c>
    </row>
    <row r="1344" spans="1:5" x14ac:dyDescent="0.3">
      <c r="A1344" t="s">
        <v>1342</v>
      </c>
      <c r="B1344" t="str" cm="1">
        <f t="array" ref="B1344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hemlock"},A1344)),0)),"")</f>
        <v>Ponderosa pine (OR)</v>
      </c>
      <c r="C1344" t="str" cm="1">
        <f t="array" ref="C1344">IFERROR(INDEX({"Ridgetop","Other"},MATCH(TRUE,ISNUMBER(SEARCH({"Ridgetop","Other"},A1344)),0)),"")</f>
        <v>Ridgetop</v>
      </c>
      <c r="D1344" t="str" cm="1">
        <f t="array" ref="D1344">IFERROR(INDEX({"Small","Medium","Large"},MATCH(TRUE,ISNUMBER(SEARCH({"Small","Medium","Large"},A1344)),0)),"")</f>
        <v>Large</v>
      </c>
      <c r="E1344" t="str">
        <f t="shared" si="20"/>
        <v>0.048</v>
      </c>
    </row>
    <row r="1345" spans="1:5" x14ac:dyDescent="0.3">
      <c r="A1345" t="s">
        <v>1343</v>
      </c>
      <c r="B1345" t="str" cm="1">
        <f t="array" ref="B1345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hemlock"},A1345)),0)),"")</f>
        <v>Ponderosa pine (OR)</v>
      </c>
      <c r="C1345" t="str" cm="1">
        <f t="array" ref="C1345">IFERROR(INDEX({"Ridgetop","Other"},MATCH(TRUE,ISNUMBER(SEARCH({"Ridgetop","Other"},A1345)),0)),"")</f>
        <v>Ridgetop</v>
      </c>
      <c r="D1345" t="str" cm="1">
        <f t="array" ref="D1345">IFERROR(INDEX({"Small","Medium","Large"},MATCH(TRUE,ISNUMBER(SEARCH({"Small","Medium","Large"},A1345)),0)),"")</f>
        <v>Small</v>
      </c>
      <c r="E1345" t="str">
        <f t="shared" si="20"/>
        <v>0.240</v>
      </c>
    </row>
    <row r="1346" spans="1:5" x14ac:dyDescent="0.3">
      <c r="A1346" t="s">
        <v>1344</v>
      </c>
      <c r="B1346" t="str" cm="1">
        <f t="array" ref="B1346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hemlock"},A1346)),0)),"")</f>
        <v>Ponderosa pine (OR)</v>
      </c>
      <c r="C1346" t="str" cm="1">
        <f t="array" ref="C1346">IFERROR(INDEX({"Ridgetop","Other"},MATCH(TRUE,ISNUMBER(SEARCH({"Ridgetop","Other"},A1346)),0)),"")</f>
        <v>Ridgetop</v>
      </c>
      <c r="D1346" t="str" cm="1">
        <f t="array" ref="D1346">IFERROR(INDEX({"Small","Medium","Large"},MATCH(TRUE,ISNUMBER(SEARCH({"Small","Medium","Large"},A1346)),0)),"")</f>
        <v>Medium</v>
      </c>
      <c r="E1346" t="str">
        <f t="shared" si="20"/>
        <v>0.114</v>
      </c>
    </row>
    <row r="1347" spans="1:5" x14ac:dyDescent="0.3">
      <c r="A1347" t="s">
        <v>1345</v>
      </c>
      <c r="B1347" t="str" cm="1">
        <f t="array" ref="B1347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hemlock"},A1347)),0)),"")</f>
        <v>Ponderosa pine (OR)</v>
      </c>
      <c r="C1347" t="str" cm="1">
        <f t="array" ref="C1347">IFERROR(INDEX({"Ridgetop","Other"},MATCH(TRUE,ISNUMBER(SEARCH({"Ridgetop","Other"},A1347)),0)),"")</f>
        <v>Ridgetop</v>
      </c>
      <c r="D1347" t="str" cm="1">
        <f t="array" ref="D1347">IFERROR(INDEX({"Small","Medium","Large"},MATCH(TRUE,ISNUMBER(SEARCH({"Small","Medium","Large"},A1347)),0)),"")</f>
        <v>Large</v>
      </c>
      <c r="E1347" t="str">
        <f t="shared" ref="E1347:E1410" si="21">RIGHT(A1347,LEN(A1347)-FIND("@",SUBSTITUTE(A1347," ","@",LEN(A1347)-LEN(SUBSTITUTE(A1347," ","")))))</f>
        <v>0.048</v>
      </c>
    </row>
    <row r="1348" spans="1:5" x14ac:dyDescent="0.3">
      <c r="A1348" t="s">
        <v>1346</v>
      </c>
      <c r="B1348" t="str" cm="1">
        <f t="array" ref="B1348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hemlock"},A1348)),0)),"")</f>
        <v>Ponderosa pine (OR)</v>
      </c>
      <c r="C1348" t="str" cm="1">
        <f t="array" ref="C1348">IFERROR(INDEX({"Ridgetop","Other"},MATCH(TRUE,ISNUMBER(SEARCH({"Ridgetop","Other"},A1348)),0)),"")</f>
        <v>Ridgetop</v>
      </c>
      <c r="D1348" t="str" cm="1">
        <f t="array" ref="D1348">IFERROR(INDEX({"Small","Medium","Large"},MATCH(TRUE,ISNUMBER(SEARCH({"Small","Medium","Large"},A1348)),0)),"")</f>
        <v>Small</v>
      </c>
      <c r="E1348" t="str">
        <f t="shared" si="21"/>
        <v>0.254</v>
      </c>
    </row>
    <row r="1349" spans="1:5" x14ac:dyDescent="0.3">
      <c r="A1349" t="s">
        <v>1347</v>
      </c>
      <c r="B1349" t="str" cm="1">
        <f t="array" ref="B1349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hemlock"},A1349)),0)),"")</f>
        <v>Ponderosa pine (OR)</v>
      </c>
      <c r="C1349" t="str" cm="1">
        <f t="array" ref="C1349">IFERROR(INDEX({"Ridgetop","Other"},MATCH(TRUE,ISNUMBER(SEARCH({"Ridgetop","Other"},A1349)),0)),"")</f>
        <v>Ridgetop</v>
      </c>
      <c r="D1349" t="str" cm="1">
        <f t="array" ref="D1349">IFERROR(INDEX({"Small","Medium","Large"},MATCH(TRUE,ISNUMBER(SEARCH({"Small","Medium","Large"},A1349)),0)),"")</f>
        <v>Medium</v>
      </c>
      <c r="E1349" t="str">
        <f t="shared" si="21"/>
        <v>0.121</v>
      </c>
    </row>
    <row r="1350" spans="1:5" x14ac:dyDescent="0.3">
      <c r="A1350" t="s">
        <v>1348</v>
      </c>
      <c r="B1350" t="str" cm="1">
        <f t="array" ref="B1350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hemlock"},A1350)),0)),"")</f>
        <v>Ponderosa pine (OR)</v>
      </c>
      <c r="C1350" t="str" cm="1">
        <f t="array" ref="C1350">IFERROR(INDEX({"Ridgetop","Other"},MATCH(TRUE,ISNUMBER(SEARCH({"Ridgetop","Other"},A1350)),0)),"")</f>
        <v>Ridgetop</v>
      </c>
      <c r="D1350" t="str" cm="1">
        <f t="array" ref="D1350">IFERROR(INDEX({"Small","Medium","Large"},MATCH(TRUE,ISNUMBER(SEARCH({"Small","Medium","Large"},A1350)),0)),"")</f>
        <v>Large</v>
      </c>
      <c r="E1350" t="str">
        <f t="shared" si="21"/>
        <v>0.050</v>
      </c>
    </row>
    <row r="1351" spans="1:5" x14ac:dyDescent="0.3">
      <c r="A1351" t="s">
        <v>1349</v>
      </c>
      <c r="B1351" t="str" cm="1">
        <f t="array" ref="B1351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hemlock"},A1351)),0)),"")</f>
        <v>Ponderosa pine (OR)</v>
      </c>
      <c r="C1351" t="str" cm="1">
        <f t="array" ref="C1351">IFERROR(INDEX({"Ridgetop","Other"},MATCH(TRUE,ISNUMBER(SEARCH({"Ridgetop","Other"},A1351)),0)),"")</f>
        <v>Other</v>
      </c>
      <c r="D1351" t="str" cm="1">
        <f t="array" ref="D1351">IFERROR(INDEX({"Small","Medium","Large"},MATCH(TRUE,ISNUMBER(SEARCH({"Small","Medium","Large"},A1351)),0)),"")</f>
        <v>Small</v>
      </c>
      <c r="E1351" t="str">
        <f t="shared" si="21"/>
        <v>0.155</v>
      </c>
    </row>
    <row r="1352" spans="1:5" x14ac:dyDescent="0.3">
      <c r="A1352" t="s">
        <v>1350</v>
      </c>
      <c r="B1352" t="str" cm="1">
        <f t="array" ref="B1352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hemlock"},A1352)),0)),"")</f>
        <v>Ponderosa pine (OR)</v>
      </c>
      <c r="C1352" t="str" cm="1">
        <f t="array" ref="C1352">IFERROR(INDEX({"Ridgetop","Other"},MATCH(TRUE,ISNUMBER(SEARCH({"Ridgetop","Other"},A1352)),0)),"")</f>
        <v>Other</v>
      </c>
      <c r="D1352" t="str" cm="1">
        <f t="array" ref="D1352">IFERROR(INDEX({"Small","Medium","Large"},MATCH(TRUE,ISNUMBER(SEARCH({"Small","Medium","Large"},A1352)),0)),"")</f>
        <v>Medium</v>
      </c>
      <c r="E1352" t="str">
        <f t="shared" si="21"/>
        <v>0.074</v>
      </c>
    </row>
    <row r="1353" spans="1:5" x14ac:dyDescent="0.3">
      <c r="A1353" t="s">
        <v>1351</v>
      </c>
      <c r="B1353" t="str" cm="1">
        <f t="array" ref="B1353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hemlock"},A1353)),0)),"")</f>
        <v>Ponderosa pine (OR)</v>
      </c>
      <c r="C1353" t="str" cm="1">
        <f t="array" ref="C1353">IFERROR(INDEX({"Ridgetop","Other"},MATCH(TRUE,ISNUMBER(SEARCH({"Ridgetop","Other"},A1353)),0)),"")</f>
        <v>Other</v>
      </c>
      <c r="D1353" t="str" cm="1">
        <f t="array" ref="D1353">IFERROR(INDEX({"Small","Medium","Large"},MATCH(TRUE,ISNUMBER(SEARCH({"Small","Medium","Large"},A1353)),0)),"")</f>
        <v>Large</v>
      </c>
      <c r="E1353" t="str">
        <f t="shared" si="21"/>
        <v>0.031</v>
      </c>
    </row>
    <row r="1354" spans="1:5" x14ac:dyDescent="0.3">
      <c r="A1354" t="s">
        <v>1352</v>
      </c>
      <c r="B1354" t="str" cm="1">
        <f t="array" ref="B1354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hemlock"},A1354)),0)),"")</f>
        <v>Ponderosa pine (OR)</v>
      </c>
      <c r="C1354" t="str" cm="1">
        <f t="array" ref="C1354">IFERROR(INDEX({"Ridgetop","Other"},MATCH(TRUE,ISNUMBER(SEARCH({"Ridgetop","Other"},A1354)),0)),"")</f>
        <v>Other</v>
      </c>
      <c r="D1354" t="str" cm="1">
        <f t="array" ref="D1354">IFERROR(INDEX({"Small","Medium","Large"},MATCH(TRUE,ISNUMBER(SEARCH({"Small","Medium","Large"},A1354)),0)),"")</f>
        <v>Small</v>
      </c>
      <c r="E1354" t="str">
        <f t="shared" si="21"/>
        <v>0.169</v>
      </c>
    </row>
    <row r="1355" spans="1:5" x14ac:dyDescent="0.3">
      <c r="A1355" t="s">
        <v>1353</v>
      </c>
      <c r="B1355" t="str" cm="1">
        <f t="array" ref="B1355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hemlock"},A1355)),0)),"")</f>
        <v>Ponderosa pine (OR)</v>
      </c>
      <c r="C1355" t="str" cm="1">
        <f t="array" ref="C1355">IFERROR(INDEX({"Ridgetop","Other"},MATCH(TRUE,ISNUMBER(SEARCH({"Ridgetop","Other"},A1355)),0)),"")</f>
        <v>Other</v>
      </c>
      <c r="D1355" t="str" cm="1">
        <f t="array" ref="D1355">IFERROR(INDEX({"Small","Medium","Large"},MATCH(TRUE,ISNUMBER(SEARCH({"Small","Medium","Large"},A1355)),0)),"")</f>
        <v>Medium</v>
      </c>
      <c r="E1355" t="str">
        <f t="shared" si="21"/>
        <v>0.080</v>
      </c>
    </row>
    <row r="1356" spans="1:5" x14ac:dyDescent="0.3">
      <c r="A1356" t="s">
        <v>1354</v>
      </c>
      <c r="B1356" t="str" cm="1">
        <f t="array" ref="B1356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hemlock"},A1356)),0)),"")</f>
        <v>Ponderosa pine (OR)</v>
      </c>
      <c r="C1356" t="str" cm="1">
        <f t="array" ref="C1356">IFERROR(INDEX({"Ridgetop","Other"},MATCH(TRUE,ISNUMBER(SEARCH({"Ridgetop","Other"},A1356)),0)),"")</f>
        <v>Other</v>
      </c>
      <c r="D1356" t="str" cm="1">
        <f t="array" ref="D1356">IFERROR(INDEX({"Small","Medium","Large"},MATCH(TRUE,ISNUMBER(SEARCH({"Small","Medium","Large"},A1356)),0)),"")</f>
        <v>Large</v>
      </c>
      <c r="E1356" t="str">
        <f t="shared" si="21"/>
        <v>0.034</v>
      </c>
    </row>
    <row r="1357" spans="1:5" x14ac:dyDescent="0.3">
      <c r="A1357" t="s">
        <v>1355</v>
      </c>
      <c r="B1357" t="str" cm="1">
        <f t="array" ref="B1357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hemlock"},A1357)),0)),"")</f>
        <v>Ponderosa pine (OR)</v>
      </c>
      <c r="C1357" t="str" cm="1">
        <f t="array" ref="C1357">IFERROR(INDEX({"Ridgetop","Other"},MATCH(TRUE,ISNUMBER(SEARCH({"Ridgetop","Other"},A1357)),0)),"")</f>
        <v>Other</v>
      </c>
      <c r="D1357" t="str" cm="1">
        <f t="array" ref="D1357">IFERROR(INDEX({"Small","Medium","Large"},MATCH(TRUE,ISNUMBER(SEARCH({"Small","Medium","Large"},A1357)),0)),"")</f>
        <v>Small</v>
      </c>
      <c r="E1357" t="str">
        <f t="shared" si="21"/>
        <v>0.169</v>
      </c>
    </row>
    <row r="1358" spans="1:5" x14ac:dyDescent="0.3">
      <c r="A1358" t="s">
        <v>1356</v>
      </c>
      <c r="B1358" t="str" cm="1">
        <f t="array" ref="B1358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hemlock"},A1358)),0)),"")</f>
        <v>Ponderosa pine (OR)</v>
      </c>
      <c r="C1358" t="str" cm="1">
        <f t="array" ref="C1358">IFERROR(INDEX({"Ridgetop","Other"},MATCH(TRUE,ISNUMBER(SEARCH({"Ridgetop","Other"},A1358)),0)),"")</f>
        <v>Other</v>
      </c>
      <c r="D1358" t="str" cm="1">
        <f t="array" ref="D1358">IFERROR(INDEX({"Small","Medium","Large"},MATCH(TRUE,ISNUMBER(SEARCH({"Small","Medium","Large"},A1358)),0)),"")</f>
        <v>Medium</v>
      </c>
      <c r="E1358" t="str">
        <f t="shared" si="21"/>
        <v>0.080</v>
      </c>
    </row>
    <row r="1359" spans="1:5" x14ac:dyDescent="0.3">
      <c r="A1359" t="s">
        <v>1357</v>
      </c>
      <c r="B1359" t="str" cm="1">
        <f t="array" ref="B1359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hemlock"},A1359)),0)),"")</f>
        <v>Ponderosa pine (OR)</v>
      </c>
      <c r="C1359" t="str" cm="1">
        <f t="array" ref="C1359">IFERROR(INDEX({"Ridgetop","Other"},MATCH(TRUE,ISNUMBER(SEARCH({"Ridgetop","Other"},A1359)),0)),"")</f>
        <v>Other</v>
      </c>
      <c r="D1359" t="str" cm="1">
        <f t="array" ref="D1359">IFERROR(INDEX({"Small","Medium","Large"},MATCH(TRUE,ISNUMBER(SEARCH({"Small","Medium","Large"},A1359)),0)),"")</f>
        <v>Large</v>
      </c>
      <c r="E1359" t="str">
        <f t="shared" si="21"/>
        <v>0.034</v>
      </c>
    </row>
    <row r="1360" spans="1:5" x14ac:dyDescent="0.3">
      <c r="A1360" t="s">
        <v>1358</v>
      </c>
      <c r="B1360" t="str" cm="1">
        <f t="array" ref="B1360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hemlock"},A1360)),0)),"")</f>
        <v>Ponderosa pine (OR)</v>
      </c>
      <c r="C1360" t="str" cm="1">
        <f t="array" ref="C1360">IFERROR(INDEX({"Ridgetop","Other"},MATCH(TRUE,ISNUMBER(SEARCH({"Ridgetop","Other"},A1360)),0)),"")</f>
        <v>Ridgetop</v>
      </c>
      <c r="D1360" t="str" cm="1">
        <f t="array" ref="D1360">IFERROR(INDEX({"Small","Medium","Large"},MATCH(TRUE,ISNUMBER(SEARCH({"Small","Medium","Large"},A1360)),0)),"")</f>
        <v>Small</v>
      </c>
      <c r="E1360" t="str">
        <f t="shared" si="21"/>
        <v>0.282</v>
      </c>
    </row>
    <row r="1361" spans="1:5" x14ac:dyDescent="0.3">
      <c r="A1361" t="s">
        <v>1359</v>
      </c>
      <c r="B1361" t="str" cm="1">
        <f t="array" ref="B1361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hemlock"},A1361)),0)),"")</f>
        <v>Ponderosa pine (OR)</v>
      </c>
      <c r="C1361" t="str" cm="1">
        <f t="array" ref="C1361">IFERROR(INDEX({"Ridgetop","Other"},MATCH(TRUE,ISNUMBER(SEARCH({"Ridgetop","Other"},A1361)),0)),"")</f>
        <v>Ridgetop</v>
      </c>
      <c r="D1361" t="str" cm="1">
        <f t="array" ref="D1361">IFERROR(INDEX({"Small","Medium","Large"},MATCH(TRUE,ISNUMBER(SEARCH({"Small","Medium","Large"},A1361)),0)),"")</f>
        <v>Medium</v>
      </c>
      <c r="E1361" t="str">
        <f t="shared" si="21"/>
        <v>0.134</v>
      </c>
    </row>
    <row r="1362" spans="1:5" x14ac:dyDescent="0.3">
      <c r="A1362" t="s">
        <v>1360</v>
      </c>
      <c r="B1362" t="str" cm="1">
        <f t="array" ref="B1362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hemlock"},A1362)),0)),"")</f>
        <v>Ponderosa pine (OR)</v>
      </c>
      <c r="C1362" t="str" cm="1">
        <f t="array" ref="C1362">IFERROR(INDEX({"Ridgetop","Other"},MATCH(TRUE,ISNUMBER(SEARCH({"Ridgetop","Other"},A1362)),0)),"")</f>
        <v>Ridgetop</v>
      </c>
      <c r="D1362" t="str" cm="1">
        <f t="array" ref="D1362">IFERROR(INDEX({"Small","Medium","Large"},MATCH(TRUE,ISNUMBER(SEARCH({"Small","Medium","Large"},A1362)),0)),"")</f>
        <v>Large</v>
      </c>
      <c r="E1362" t="str">
        <f t="shared" si="21"/>
        <v>0.056</v>
      </c>
    </row>
    <row r="1363" spans="1:5" x14ac:dyDescent="0.3">
      <c r="A1363" t="s">
        <v>1361</v>
      </c>
      <c r="B1363" t="str" cm="1">
        <f t="array" ref="B1363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hemlock"},A1363)),0)),"")</f>
        <v>Ponderosa pine (OR)</v>
      </c>
      <c r="C1363" t="str" cm="1">
        <f t="array" ref="C1363">IFERROR(INDEX({"Ridgetop","Other"},MATCH(TRUE,ISNUMBER(SEARCH({"Ridgetop","Other"},A1363)),0)),"")</f>
        <v>Ridgetop</v>
      </c>
      <c r="D1363" t="str" cm="1">
        <f t="array" ref="D1363">IFERROR(INDEX({"Small","Medium","Large"},MATCH(TRUE,ISNUMBER(SEARCH({"Small","Medium","Large"},A1363)),0)),"")</f>
        <v>Small</v>
      </c>
      <c r="E1363" t="str">
        <f t="shared" si="21"/>
        <v>0.282</v>
      </c>
    </row>
    <row r="1364" spans="1:5" x14ac:dyDescent="0.3">
      <c r="A1364" t="s">
        <v>1362</v>
      </c>
      <c r="B1364" t="str" cm="1">
        <f t="array" ref="B1364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hemlock"},A1364)),0)),"")</f>
        <v>Ponderosa pine (OR)</v>
      </c>
      <c r="C1364" t="str" cm="1">
        <f t="array" ref="C1364">IFERROR(INDEX({"Ridgetop","Other"},MATCH(TRUE,ISNUMBER(SEARCH({"Ridgetop","Other"},A1364)),0)),"")</f>
        <v>Ridgetop</v>
      </c>
      <c r="D1364" t="str" cm="1">
        <f t="array" ref="D1364">IFERROR(INDEX({"Small","Medium","Large"},MATCH(TRUE,ISNUMBER(SEARCH({"Small","Medium","Large"},A1364)),0)),"")</f>
        <v>Medium</v>
      </c>
      <c r="E1364" t="str">
        <f t="shared" si="21"/>
        <v>0.134</v>
      </c>
    </row>
    <row r="1365" spans="1:5" x14ac:dyDescent="0.3">
      <c r="A1365" t="s">
        <v>1363</v>
      </c>
      <c r="B1365" t="str" cm="1">
        <f t="array" ref="B1365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hemlock"},A1365)),0)),"")</f>
        <v>Ponderosa pine (OR)</v>
      </c>
      <c r="C1365" t="str" cm="1">
        <f t="array" ref="C1365">IFERROR(INDEX({"Ridgetop","Other"},MATCH(TRUE,ISNUMBER(SEARCH({"Ridgetop","Other"},A1365)),0)),"")</f>
        <v>Ridgetop</v>
      </c>
      <c r="D1365" t="str" cm="1">
        <f t="array" ref="D1365">IFERROR(INDEX({"Small","Medium","Large"},MATCH(TRUE,ISNUMBER(SEARCH({"Small","Medium","Large"},A1365)),0)),"")</f>
        <v>Large</v>
      </c>
      <c r="E1365" t="str">
        <f t="shared" si="21"/>
        <v>0.056</v>
      </c>
    </row>
    <row r="1366" spans="1:5" x14ac:dyDescent="0.3">
      <c r="A1366" t="s">
        <v>1364</v>
      </c>
      <c r="B1366" t="str" cm="1">
        <f t="array" ref="B1366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hemlock"},A1366)),0)),"")</f>
        <v>Ponderosa pine (OR)</v>
      </c>
      <c r="C1366" t="str" cm="1">
        <f t="array" ref="C1366">IFERROR(INDEX({"Ridgetop","Other"},MATCH(TRUE,ISNUMBER(SEARCH({"Ridgetop","Other"},A1366)),0)),"")</f>
        <v>Ridgetop</v>
      </c>
      <c r="D1366" t="str" cm="1">
        <f t="array" ref="D1366">IFERROR(INDEX({"Small","Medium","Large"},MATCH(TRUE,ISNUMBER(SEARCH({"Small","Medium","Large"},A1366)),0)),"")</f>
        <v>Small</v>
      </c>
      <c r="E1366" t="str">
        <f t="shared" si="21"/>
        <v>0.282</v>
      </c>
    </row>
    <row r="1367" spans="1:5" x14ac:dyDescent="0.3">
      <c r="A1367" t="s">
        <v>1365</v>
      </c>
      <c r="B1367" t="str" cm="1">
        <f t="array" ref="B1367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hemlock"},A1367)),0)),"")</f>
        <v>Ponderosa pine (OR)</v>
      </c>
      <c r="C1367" t="str" cm="1">
        <f t="array" ref="C1367">IFERROR(INDEX({"Ridgetop","Other"},MATCH(TRUE,ISNUMBER(SEARCH({"Ridgetop","Other"},A1367)),0)),"")</f>
        <v>Ridgetop</v>
      </c>
      <c r="D1367" t="str" cm="1">
        <f t="array" ref="D1367">IFERROR(INDEX({"Small","Medium","Large"},MATCH(TRUE,ISNUMBER(SEARCH({"Small","Medium","Large"},A1367)),0)),"")</f>
        <v>Medium</v>
      </c>
      <c r="E1367" t="str">
        <f t="shared" si="21"/>
        <v>0.134</v>
      </c>
    </row>
    <row r="1368" spans="1:5" x14ac:dyDescent="0.3">
      <c r="A1368" t="s">
        <v>1366</v>
      </c>
      <c r="B1368" t="str" cm="1">
        <f t="array" ref="B1368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hemlock"},A1368)),0)),"")</f>
        <v>Ponderosa pine (OR)</v>
      </c>
      <c r="C1368" t="str" cm="1">
        <f t="array" ref="C1368">IFERROR(INDEX({"Ridgetop","Other"},MATCH(TRUE,ISNUMBER(SEARCH({"Ridgetop","Other"},A1368)),0)),"")</f>
        <v>Ridgetop</v>
      </c>
      <c r="D1368" t="str" cm="1">
        <f t="array" ref="D1368">IFERROR(INDEX({"Small","Medium","Large"},MATCH(TRUE,ISNUMBER(SEARCH({"Small","Medium","Large"},A1368)),0)),"")</f>
        <v>Large</v>
      </c>
      <c r="E1368" t="str">
        <f t="shared" si="21"/>
        <v>0.056</v>
      </c>
    </row>
    <row r="1369" spans="1:5" x14ac:dyDescent="0.3">
      <c r="A1369" t="s">
        <v>1367</v>
      </c>
      <c r="B1369" t="str" cm="1">
        <f t="array" ref="B1369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hemlock"},A1369)),0)),"")</f>
        <v>Ponderosa pine (OR)</v>
      </c>
      <c r="C1369" t="str" cm="1">
        <f t="array" ref="C1369">IFERROR(INDEX({"Ridgetop","Other"},MATCH(TRUE,ISNUMBER(SEARCH({"Ridgetop","Other"},A1369)),0)),"")</f>
        <v>Other</v>
      </c>
      <c r="D1369" t="str" cm="1">
        <f t="array" ref="D1369">IFERROR(INDEX({"Small","Medium","Large"},MATCH(TRUE,ISNUMBER(SEARCH({"Small","Medium","Large"},A1369)),0)),"")</f>
        <v>Small</v>
      </c>
      <c r="E1369" t="str">
        <f t="shared" si="21"/>
        <v>0.137</v>
      </c>
    </row>
    <row r="1370" spans="1:5" x14ac:dyDescent="0.3">
      <c r="A1370" t="s">
        <v>1368</v>
      </c>
      <c r="B1370" t="str" cm="1">
        <f t="array" ref="B1370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hemlock"},A1370)),0)),"")</f>
        <v>Ponderosa pine (OR)</v>
      </c>
      <c r="C1370" t="str" cm="1">
        <f t="array" ref="C1370">IFERROR(INDEX({"Ridgetop","Other"},MATCH(TRUE,ISNUMBER(SEARCH({"Ridgetop","Other"},A1370)),0)),"")</f>
        <v>Other</v>
      </c>
      <c r="D1370" t="str" cm="1">
        <f t="array" ref="D1370">IFERROR(INDEX({"Small","Medium","Large"},MATCH(TRUE,ISNUMBER(SEARCH({"Small","Medium","Large"},A1370)),0)),"")</f>
        <v>Medium</v>
      </c>
      <c r="E1370" t="str">
        <f t="shared" si="21"/>
        <v>0.065</v>
      </c>
    </row>
    <row r="1371" spans="1:5" x14ac:dyDescent="0.3">
      <c r="A1371" t="s">
        <v>1369</v>
      </c>
      <c r="B1371" t="str" cm="1">
        <f t="array" ref="B1371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hemlock"},A1371)),0)),"")</f>
        <v>Ponderosa pine (OR)</v>
      </c>
      <c r="C1371" t="str" cm="1">
        <f t="array" ref="C1371">IFERROR(INDEX({"Ridgetop","Other"},MATCH(TRUE,ISNUMBER(SEARCH({"Ridgetop","Other"},A1371)),0)),"")</f>
        <v>Other</v>
      </c>
      <c r="D1371" t="str" cm="1">
        <f t="array" ref="D1371">IFERROR(INDEX({"Small","Medium","Large"},MATCH(TRUE,ISNUMBER(SEARCH({"Small","Medium","Large"},A1371)),0)),"")</f>
        <v>Large</v>
      </c>
      <c r="E1371" t="str">
        <f t="shared" si="21"/>
        <v>0.027</v>
      </c>
    </row>
    <row r="1372" spans="1:5" x14ac:dyDescent="0.3">
      <c r="A1372" t="s">
        <v>1370</v>
      </c>
      <c r="B1372" t="str" cm="1">
        <f t="array" ref="B1372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hemlock"},A1372)),0)),"")</f>
        <v>Ponderosa pine (OR)</v>
      </c>
      <c r="C1372" t="str" cm="1">
        <f t="array" ref="C1372">IFERROR(INDEX({"Ridgetop","Other"},MATCH(TRUE,ISNUMBER(SEARCH({"Ridgetop","Other"},A1372)),0)),"")</f>
        <v>Other</v>
      </c>
      <c r="D1372" t="str" cm="1">
        <f t="array" ref="D1372">IFERROR(INDEX({"Small","Medium","Large"},MATCH(TRUE,ISNUMBER(SEARCH({"Small","Medium","Large"},A1372)),0)),"")</f>
        <v>Small</v>
      </c>
      <c r="E1372" t="str">
        <f t="shared" si="21"/>
        <v>0.155</v>
      </c>
    </row>
    <row r="1373" spans="1:5" x14ac:dyDescent="0.3">
      <c r="A1373" t="s">
        <v>1371</v>
      </c>
      <c r="B1373" t="str" cm="1">
        <f t="array" ref="B1373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hemlock"},A1373)),0)),"")</f>
        <v>Ponderosa pine (OR)</v>
      </c>
      <c r="C1373" t="str" cm="1">
        <f t="array" ref="C1373">IFERROR(INDEX({"Ridgetop","Other"},MATCH(TRUE,ISNUMBER(SEARCH({"Ridgetop","Other"},A1373)),0)),"")</f>
        <v>Other</v>
      </c>
      <c r="D1373" t="str" cm="1">
        <f t="array" ref="D1373">IFERROR(INDEX({"Small","Medium","Large"},MATCH(TRUE,ISNUMBER(SEARCH({"Small","Medium","Large"},A1373)),0)),"")</f>
        <v>Medium</v>
      </c>
      <c r="E1373" t="str">
        <f t="shared" si="21"/>
        <v>0.074</v>
      </c>
    </row>
    <row r="1374" spans="1:5" x14ac:dyDescent="0.3">
      <c r="A1374" t="s">
        <v>1372</v>
      </c>
      <c r="B1374" t="str" cm="1">
        <f t="array" ref="B1374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hemlock"},A1374)),0)),"")</f>
        <v>Ponderosa pine (OR)</v>
      </c>
      <c r="C1374" t="str" cm="1">
        <f t="array" ref="C1374">IFERROR(INDEX({"Ridgetop","Other"},MATCH(TRUE,ISNUMBER(SEARCH({"Ridgetop","Other"},A1374)),0)),"")</f>
        <v>Other</v>
      </c>
      <c r="D1374" t="str" cm="1">
        <f t="array" ref="D1374">IFERROR(INDEX({"Small","Medium","Large"},MATCH(TRUE,ISNUMBER(SEARCH({"Small","Medium","Large"},A1374)),0)),"")</f>
        <v>Large</v>
      </c>
      <c r="E1374" t="str">
        <f t="shared" si="21"/>
        <v>0.031</v>
      </c>
    </row>
    <row r="1375" spans="1:5" x14ac:dyDescent="0.3">
      <c r="A1375" t="s">
        <v>1373</v>
      </c>
      <c r="B1375" t="str" cm="1">
        <f t="array" ref="B1375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hemlock"},A1375)),0)),"")</f>
        <v>Ponderosa pine (OR)</v>
      </c>
      <c r="C1375" t="str" cm="1">
        <f t="array" ref="C1375">IFERROR(INDEX({"Ridgetop","Other"},MATCH(TRUE,ISNUMBER(SEARCH({"Ridgetop","Other"},A1375)),0)),"")</f>
        <v>Other</v>
      </c>
      <c r="D1375" t="str" cm="1">
        <f t="array" ref="D1375">IFERROR(INDEX({"Small","Medium","Large"},MATCH(TRUE,ISNUMBER(SEARCH({"Small","Medium","Large"},A1375)),0)),"")</f>
        <v>Small</v>
      </c>
      <c r="E1375" t="str">
        <f t="shared" si="21"/>
        <v>0.169</v>
      </c>
    </row>
    <row r="1376" spans="1:5" x14ac:dyDescent="0.3">
      <c r="A1376" t="s">
        <v>1374</v>
      </c>
      <c r="B1376" t="str" cm="1">
        <f t="array" ref="B1376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hemlock"},A1376)),0)),"")</f>
        <v>Ponderosa pine (OR)</v>
      </c>
      <c r="C1376" t="str" cm="1">
        <f t="array" ref="C1376">IFERROR(INDEX({"Ridgetop","Other"},MATCH(TRUE,ISNUMBER(SEARCH({"Ridgetop","Other"},A1376)),0)),"")</f>
        <v>Other</v>
      </c>
      <c r="D1376" t="str" cm="1">
        <f t="array" ref="D1376">IFERROR(INDEX({"Small","Medium","Large"},MATCH(TRUE,ISNUMBER(SEARCH({"Small","Medium","Large"},A1376)),0)),"")</f>
        <v>Medium</v>
      </c>
      <c r="E1376" t="str">
        <f t="shared" si="21"/>
        <v>0.080</v>
      </c>
    </row>
    <row r="1377" spans="1:5" x14ac:dyDescent="0.3">
      <c r="A1377" t="s">
        <v>1375</v>
      </c>
      <c r="B1377" t="str" cm="1">
        <f t="array" ref="B1377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hemlock"},A1377)),0)),"")</f>
        <v>Ponderosa pine (OR)</v>
      </c>
      <c r="C1377" t="str" cm="1">
        <f t="array" ref="C1377">IFERROR(INDEX({"Ridgetop","Other"},MATCH(TRUE,ISNUMBER(SEARCH({"Ridgetop","Other"},A1377)),0)),"")</f>
        <v>Other</v>
      </c>
      <c r="D1377" t="str" cm="1">
        <f t="array" ref="D1377">IFERROR(INDEX({"Small","Medium","Large"},MATCH(TRUE,ISNUMBER(SEARCH({"Small","Medium","Large"},A1377)),0)),"")</f>
        <v>Large</v>
      </c>
      <c r="E1377" t="str">
        <f t="shared" si="21"/>
        <v>0.034</v>
      </c>
    </row>
    <row r="1378" spans="1:5" x14ac:dyDescent="0.3">
      <c r="A1378" t="s">
        <v>1376</v>
      </c>
      <c r="B1378" t="str" cm="1">
        <f t="array" ref="B1378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hemlock"},A1378)),0)),"")</f>
        <v>Ponderosa pine (OR)</v>
      </c>
      <c r="C1378" t="str" cm="1">
        <f t="array" ref="C1378">IFERROR(INDEX({"Ridgetop","Other"},MATCH(TRUE,ISNUMBER(SEARCH({"Ridgetop","Other"},A1378)),0)),"")</f>
        <v>Ridgetop</v>
      </c>
      <c r="D1378" t="str" cm="1">
        <f t="array" ref="D1378">IFERROR(INDEX({"Small","Medium","Large"},MATCH(TRUE,ISNUMBER(SEARCH({"Small","Medium","Large"},A1378)),0)),"")</f>
        <v>Small</v>
      </c>
      <c r="E1378" t="str">
        <f t="shared" si="21"/>
        <v>0.261</v>
      </c>
    </row>
    <row r="1379" spans="1:5" x14ac:dyDescent="0.3">
      <c r="A1379" t="s">
        <v>1377</v>
      </c>
      <c r="B1379" t="str" cm="1">
        <f t="array" ref="B1379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hemlock"},A1379)),0)),"")</f>
        <v>Ponderosa pine (OR)</v>
      </c>
      <c r="C1379" t="str" cm="1">
        <f t="array" ref="C1379">IFERROR(INDEX({"Ridgetop","Other"},MATCH(TRUE,ISNUMBER(SEARCH({"Ridgetop","Other"},A1379)),0)),"")</f>
        <v>Ridgetop</v>
      </c>
      <c r="D1379" t="str" cm="1">
        <f t="array" ref="D1379">IFERROR(INDEX({"Small","Medium","Large"},MATCH(TRUE,ISNUMBER(SEARCH({"Small","Medium","Large"},A1379)),0)),"")</f>
        <v>Medium</v>
      </c>
      <c r="E1379" t="str">
        <f t="shared" si="21"/>
        <v>0.124</v>
      </c>
    </row>
    <row r="1380" spans="1:5" x14ac:dyDescent="0.3">
      <c r="A1380" t="s">
        <v>1378</v>
      </c>
      <c r="B1380" t="str" cm="1">
        <f t="array" ref="B1380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hemlock"},A1380)),0)),"")</f>
        <v>Ponderosa pine (OR)</v>
      </c>
      <c r="C1380" t="str" cm="1">
        <f t="array" ref="C1380">IFERROR(INDEX({"Ridgetop","Other"},MATCH(TRUE,ISNUMBER(SEARCH({"Ridgetop","Other"},A1380)),0)),"")</f>
        <v>Ridgetop</v>
      </c>
      <c r="D1380" t="str" cm="1">
        <f t="array" ref="D1380">IFERROR(INDEX({"Small","Medium","Large"},MATCH(TRUE,ISNUMBER(SEARCH({"Small","Medium","Large"},A1380)),0)),"")</f>
        <v>Large</v>
      </c>
      <c r="E1380" t="str">
        <f t="shared" si="21"/>
        <v>0.052</v>
      </c>
    </row>
    <row r="1381" spans="1:5" x14ac:dyDescent="0.3">
      <c r="A1381" t="s">
        <v>1379</v>
      </c>
      <c r="B1381" t="str" cm="1">
        <f t="array" ref="B1381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hemlock"},A1381)),0)),"")</f>
        <v>Ponderosa pine (OR)</v>
      </c>
      <c r="C1381" t="str" cm="1">
        <f t="array" ref="C1381">IFERROR(INDEX({"Ridgetop","Other"},MATCH(TRUE,ISNUMBER(SEARCH({"Ridgetop","Other"},A1381)),0)),"")</f>
        <v>Ridgetop</v>
      </c>
      <c r="D1381" t="str" cm="1">
        <f t="array" ref="D1381">IFERROR(INDEX({"Small","Medium","Large"},MATCH(TRUE,ISNUMBER(SEARCH({"Small","Medium","Large"},A1381)),0)),"")</f>
        <v>Small</v>
      </c>
      <c r="E1381" t="str">
        <f t="shared" si="21"/>
        <v>0.261</v>
      </c>
    </row>
    <row r="1382" spans="1:5" x14ac:dyDescent="0.3">
      <c r="A1382" t="s">
        <v>1380</v>
      </c>
      <c r="B1382" t="str" cm="1">
        <f t="array" ref="B1382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hemlock"},A1382)),0)),"")</f>
        <v>Ponderosa pine (OR)</v>
      </c>
      <c r="C1382" t="str" cm="1">
        <f t="array" ref="C1382">IFERROR(INDEX({"Ridgetop","Other"},MATCH(TRUE,ISNUMBER(SEARCH({"Ridgetop","Other"},A1382)),0)),"")</f>
        <v>Ridgetop</v>
      </c>
      <c r="D1382" t="str" cm="1">
        <f t="array" ref="D1382">IFERROR(INDEX({"Small","Medium","Large"},MATCH(TRUE,ISNUMBER(SEARCH({"Small","Medium","Large"},A1382)),0)),"")</f>
        <v>Medium</v>
      </c>
      <c r="E1382" t="str">
        <f t="shared" si="21"/>
        <v>0.124</v>
      </c>
    </row>
    <row r="1383" spans="1:5" x14ac:dyDescent="0.3">
      <c r="A1383" t="s">
        <v>1381</v>
      </c>
      <c r="B1383" t="str" cm="1">
        <f t="array" ref="B1383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hemlock"},A1383)),0)),"")</f>
        <v>Ponderosa pine (OR)</v>
      </c>
      <c r="C1383" t="str" cm="1">
        <f t="array" ref="C1383">IFERROR(INDEX({"Ridgetop","Other"},MATCH(TRUE,ISNUMBER(SEARCH({"Ridgetop","Other"},A1383)),0)),"")</f>
        <v>Ridgetop</v>
      </c>
      <c r="D1383" t="str" cm="1">
        <f t="array" ref="D1383">IFERROR(INDEX({"Small","Medium","Large"},MATCH(TRUE,ISNUMBER(SEARCH({"Small","Medium","Large"},A1383)),0)),"")</f>
        <v>Large</v>
      </c>
      <c r="E1383" t="str">
        <f t="shared" si="21"/>
        <v>0.052</v>
      </c>
    </row>
    <row r="1384" spans="1:5" x14ac:dyDescent="0.3">
      <c r="A1384" t="s">
        <v>1382</v>
      </c>
      <c r="B1384" t="str" cm="1">
        <f t="array" ref="B1384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hemlock"},A1384)),0)),"")</f>
        <v>Ponderosa pine (OR)</v>
      </c>
      <c r="C1384" t="str" cm="1">
        <f t="array" ref="C1384">IFERROR(INDEX({"Ridgetop","Other"},MATCH(TRUE,ISNUMBER(SEARCH({"Ridgetop","Other"},A1384)),0)),"")</f>
        <v>Ridgetop</v>
      </c>
      <c r="D1384" t="str" cm="1">
        <f t="array" ref="D1384">IFERROR(INDEX({"Small","Medium","Large"},MATCH(TRUE,ISNUMBER(SEARCH({"Small","Medium","Large"},A1384)),0)),"")</f>
        <v>Small</v>
      </c>
      <c r="E1384" t="str">
        <f t="shared" si="21"/>
        <v>0.268</v>
      </c>
    </row>
    <row r="1385" spans="1:5" x14ac:dyDescent="0.3">
      <c r="A1385" t="s">
        <v>1383</v>
      </c>
      <c r="B1385" t="str" cm="1">
        <f t="array" ref="B1385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hemlock"},A1385)),0)),"")</f>
        <v>Ponderosa pine (OR)</v>
      </c>
      <c r="C1385" t="str" cm="1">
        <f t="array" ref="C1385">IFERROR(INDEX({"Ridgetop","Other"},MATCH(TRUE,ISNUMBER(SEARCH({"Ridgetop","Other"},A1385)),0)),"")</f>
        <v>Ridgetop</v>
      </c>
      <c r="D1385" t="str" cm="1">
        <f t="array" ref="D1385">IFERROR(INDEX({"Small","Medium","Large"},MATCH(TRUE,ISNUMBER(SEARCH({"Small","Medium","Large"},A1385)),0)),"")</f>
        <v>Medium</v>
      </c>
      <c r="E1385" t="str">
        <f t="shared" si="21"/>
        <v>0.127</v>
      </c>
    </row>
    <row r="1386" spans="1:5" x14ac:dyDescent="0.3">
      <c r="A1386" t="s">
        <v>1384</v>
      </c>
      <c r="B1386" t="str" cm="1">
        <f t="array" ref="B1386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hemlock"},A1386)),0)),"")</f>
        <v>Ponderosa pine (OR)</v>
      </c>
      <c r="C1386" t="str" cm="1">
        <f t="array" ref="C1386">IFERROR(INDEX({"Ridgetop","Other"},MATCH(TRUE,ISNUMBER(SEARCH({"Ridgetop","Other"},A1386)),0)),"")</f>
        <v>Ridgetop</v>
      </c>
      <c r="D1386" t="str" cm="1">
        <f t="array" ref="D1386">IFERROR(INDEX({"Small","Medium","Large"},MATCH(TRUE,ISNUMBER(SEARCH({"Small","Medium","Large"},A1386)),0)),"")</f>
        <v>Large</v>
      </c>
      <c r="E1386" t="str">
        <f t="shared" si="21"/>
        <v>0.053</v>
      </c>
    </row>
    <row r="1387" spans="1:5" x14ac:dyDescent="0.3">
      <c r="A1387" t="s">
        <v>1385</v>
      </c>
      <c r="B1387" t="str" cm="1">
        <f t="array" ref="B1387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hemlock"},A1387)),0)),"")</f>
        <v>Ponderosa pine (OR)</v>
      </c>
      <c r="C1387" t="str" cm="1">
        <f t="array" ref="C1387">IFERROR(INDEX({"Ridgetop","Other"},MATCH(TRUE,ISNUMBER(SEARCH({"Ridgetop","Other"},A1387)),0)),"")</f>
        <v>Other</v>
      </c>
      <c r="D1387" t="str" cm="1">
        <f t="array" ref="D1387">IFERROR(INDEX({"Small","Medium","Large"},MATCH(TRUE,ISNUMBER(SEARCH({"Small","Medium","Large"},A1387)),0)),"")</f>
        <v>Small</v>
      </c>
      <c r="E1387" t="str">
        <f t="shared" si="21"/>
        <v>0.155</v>
      </c>
    </row>
    <row r="1388" spans="1:5" x14ac:dyDescent="0.3">
      <c r="A1388" t="s">
        <v>1386</v>
      </c>
      <c r="B1388" t="str" cm="1">
        <f t="array" ref="B1388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hemlock"},A1388)),0)),"")</f>
        <v>Ponderosa pine (OR)</v>
      </c>
      <c r="C1388" t="str" cm="1">
        <f t="array" ref="C1388">IFERROR(INDEX({"Ridgetop","Other"},MATCH(TRUE,ISNUMBER(SEARCH({"Ridgetop","Other"},A1388)),0)),"")</f>
        <v>Other</v>
      </c>
      <c r="D1388" t="str" cm="1">
        <f t="array" ref="D1388">IFERROR(INDEX({"Small","Medium","Large"},MATCH(TRUE,ISNUMBER(SEARCH({"Small","Medium","Large"},A1388)),0)),"")</f>
        <v>Medium</v>
      </c>
      <c r="E1388" t="str">
        <f t="shared" si="21"/>
        <v>0.074</v>
      </c>
    </row>
    <row r="1389" spans="1:5" x14ac:dyDescent="0.3">
      <c r="A1389" t="s">
        <v>1387</v>
      </c>
      <c r="B1389" t="str" cm="1">
        <f t="array" ref="B1389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hemlock"},A1389)),0)),"")</f>
        <v>Ponderosa pine (OR)</v>
      </c>
      <c r="C1389" t="str" cm="1">
        <f t="array" ref="C1389">IFERROR(INDEX({"Ridgetop","Other"},MATCH(TRUE,ISNUMBER(SEARCH({"Ridgetop","Other"},A1389)),0)),"")</f>
        <v>Other</v>
      </c>
      <c r="D1389" t="str" cm="1">
        <f t="array" ref="D1389">IFERROR(INDEX({"Small","Medium","Large"},MATCH(TRUE,ISNUMBER(SEARCH({"Small","Medium","Large"},A1389)),0)),"")</f>
        <v>Large</v>
      </c>
      <c r="E1389" t="str">
        <f t="shared" si="21"/>
        <v>0.031</v>
      </c>
    </row>
    <row r="1390" spans="1:5" x14ac:dyDescent="0.3">
      <c r="A1390" t="s">
        <v>1388</v>
      </c>
      <c r="B1390" t="str" cm="1">
        <f t="array" ref="B1390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hemlock"},A1390)),0)),"")</f>
        <v>Ponderosa pine (OR)</v>
      </c>
      <c r="C1390" t="str" cm="1">
        <f t="array" ref="C1390">IFERROR(INDEX({"Ridgetop","Other"},MATCH(TRUE,ISNUMBER(SEARCH({"Ridgetop","Other"},A1390)),0)),"")</f>
        <v>Other</v>
      </c>
      <c r="D1390" t="str" cm="1">
        <f t="array" ref="D1390">IFERROR(INDEX({"Small","Medium","Large"},MATCH(TRUE,ISNUMBER(SEARCH({"Small","Medium","Large"},A1390)),0)),"")</f>
        <v>Small</v>
      </c>
      <c r="E1390" t="str">
        <f t="shared" si="21"/>
        <v>0.169</v>
      </c>
    </row>
    <row r="1391" spans="1:5" x14ac:dyDescent="0.3">
      <c r="A1391" t="s">
        <v>1389</v>
      </c>
      <c r="B1391" t="str" cm="1">
        <f t="array" ref="B1391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hemlock"},A1391)),0)),"")</f>
        <v>Ponderosa pine (OR)</v>
      </c>
      <c r="C1391" t="str" cm="1">
        <f t="array" ref="C1391">IFERROR(INDEX({"Ridgetop","Other"},MATCH(TRUE,ISNUMBER(SEARCH({"Ridgetop","Other"},A1391)),0)),"")</f>
        <v>Other</v>
      </c>
      <c r="D1391" t="str" cm="1">
        <f t="array" ref="D1391">IFERROR(INDEX({"Small","Medium","Large"},MATCH(TRUE,ISNUMBER(SEARCH({"Small","Medium","Large"},A1391)),0)),"")</f>
        <v>Medium</v>
      </c>
      <c r="E1391" t="str">
        <f t="shared" si="21"/>
        <v>0.080</v>
      </c>
    </row>
    <row r="1392" spans="1:5" x14ac:dyDescent="0.3">
      <c r="A1392" t="s">
        <v>1390</v>
      </c>
      <c r="B1392" t="str" cm="1">
        <f t="array" ref="B1392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hemlock"},A1392)),0)),"")</f>
        <v>Ponderosa pine (OR)</v>
      </c>
      <c r="C1392" t="str" cm="1">
        <f t="array" ref="C1392">IFERROR(INDEX({"Ridgetop","Other"},MATCH(TRUE,ISNUMBER(SEARCH({"Ridgetop","Other"},A1392)),0)),"")</f>
        <v>Other</v>
      </c>
      <c r="D1392" t="str" cm="1">
        <f t="array" ref="D1392">IFERROR(INDEX({"Small","Medium","Large"},MATCH(TRUE,ISNUMBER(SEARCH({"Small","Medium","Large"},A1392)),0)),"")</f>
        <v>Large</v>
      </c>
      <c r="E1392" t="str">
        <f t="shared" si="21"/>
        <v>0.034</v>
      </c>
    </row>
    <row r="1393" spans="1:5" x14ac:dyDescent="0.3">
      <c r="A1393" t="s">
        <v>1391</v>
      </c>
      <c r="B1393" t="str" cm="1">
        <f t="array" ref="B1393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hemlock"},A1393)),0)),"")</f>
        <v>Ponderosa pine (OR)</v>
      </c>
      <c r="C1393" t="str" cm="1">
        <f t="array" ref="C1393">IFERROR(INDEX({"Ridgetop","Other"},MATCH(TRUE,ISNUMBER(SEARCH({"Ridgetop","Other"},A1393)),0)),"")</f>
        <v>Other</v>
      </c>
      <c r="D1393" t="str" cm="1">
        <f t="array" ref="D1393">IFERROR(INDEX({"Small","Medium","Large"},MATCH(TRUE,ISNUMBER(SEARCH({"Small","Medium","Large"},A1393)),0)),"")</f>
        <v>Small</v>
      </c>
      <c r="E1393" t="str">
        <f t="shared" si="21"/>
        <v>0.169</v>
      </c>
    </row>
    <row r="1394" spans="1:5" x14ac:dyDescent="0.3">
      <c r="A1394" t="s">
        <v>1392</v>
      </c>
      <c r="B1394" t="str" cm="1">
        <f t="array" ref="B1394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hemlock"},A1394)),0)),"")</f>
        <v>Ponderosa pine (OR)</v>
      </c>
      <c r="C1394" t="str" cm="1">
        <f t="array" ref="C1394">IFERROR(INDEX({"Ridgetop","Other"},MATCH(TRUE,ISNUMBER(SEARCH({"Ridgetop","Other"},A1394)),0)),"")</f>
        <v>Other</v>
      </c>
      <c r="D1394" t="str" cm="1">
        <f t="array" ref="D1394">IFERROR(INDEX({"Small","Medium","Large"},MATCH(TRUE,ISNUMBER(SEARCH({"Small","Medium","Large"},A1394)),0)),"")</f>
        <v>Medium</v>
      </c>
      <c r="E1394" t="str">
        <f t="shared" si="21"/>
        <v>0.080</v>
      </c>
    </row>
    <row r="1395" spans="1:5" x14ac:dyDescent="0.3">
      <c r="A1395" t="s">
        <v>1393</v>
      </c>
      <c r="B1395" t="str" cm="1">
        <f t="array" ref="B1395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hemlock"},A1395)),0)),"")</f>
        <v>Ponderosa pine (OR)</v>
      </c>
      <c r="C1395" t="str" cm="1">
        <f t="array" ref="C1395">IFERROR(INDEX({"Ridgetop","Other"},MATCH(TRUE,ISNUMBER(SEARCH({"Ridgetop","Other"},A1395)),0)),"")</f>
        <v>Other</v>
      </c>
      <c r="D1395" t="str" cm="1">
        <f t="array" ref="D1395">IFERROR(INDEX({"Small","Medium","Large"},MATCH(TRUE,ISNUMBER(SEARCH({"Small","Medium","Large"},A1395)),0)),"")</f>
        <v>Large</v>
      </c>
      <c r="E1395" t="str">
        <f t="shared" si="21"/>
        <v>0.034</v>
      </c>
    </row>
    <row r="1396" spans="1:5" x14ac:dyDescent="0.3">
      <c r="A1396" t="s">
        <v>1394</v>
      </c>
      <c r="B1396" t="str" cm="1">
        <f t="array" ref="B1396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hemlock"},A1396)),0)),"")</f>
        <v>Ponderosa pine (OR)</v>
      </c>
      <c r="C1396" t="str" cm="1">
        <f t="array" ref="C1396">IFERROR(INDEX({"Ridgetop","Other"},MATCH(TRUE,ISNUMBER(SEARCH({"Ridgetop","Other"},A1396)),0)),"")</f>
        <v>Ridgetop</v>
      </c>
      <c r="D1396" t="str" cm="1">
        <f t="array" ref="D1396">IFERROR(INDEX({"Small","Medium","Large"},MATCH(TRUE,ISNUMBER(SEARCH({"Small","Medium","Large"},A1396)),0)),"")</f>
        <v>Small</v>
      </c>
      <c r="E1396" t="str">
        <f t="shared" si="21"/>
        <v>0.282</v>
      </c>
    </row>
    <row r="1397" spans="1:5" x14ac:dyDescent="0.3">
      <c r="A1397" t="s">
        <v>1395</v>
      </c>
      <c r="B1397" t="str" cm="1">
        <f t="array" ref="B1397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hemlock"},A1397)),0)),"")</f>
        <v>Ponderosa pine (OR)</v>
      </c>
      <c r="C1397" t="str" cm="1">
        <f t="array" ref="C1397">IFERROR(INDEX({"Ridgetop","Other"},MATCH(TRUE,ISNUMBER(SEARCH({"Ridgetop","Other"},A1397)),0)),"")</f>
        <v>Ridgetop</v>
      </c>
      <c r="D1397" t="str" cm="1">
        <f t="array" ref="D1397">IFERROR(INDEX({"Small","Medium","Large"},MATCH(TRUE,ISNUMBER(SEARCH({"Small","Medium","Large"},A1397)),0)),"")</f>
        <v>Medium</v>
      </c>
      <c r="E1397" t="str">
        <f t="shared" si="21"/>
        <v>0.134</v>
      </c>
    </row>
    <row r="1398" spans="1:5" x14ac:dyDescent="0.3">
      <c r="A1398" t="s">
        <v>1396</v>
      </c>
      <c r="B1398" t="str" cm="1">
        <f t="array" ref="B1398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hemlock"},A1398)),0)),"")</f>
        <v>Ponderosa pine (OR)</v>
      </c>
      <c r="C1398" t="str" cm="1">
        <f t="array" ref="C1398">IFERROR(INDEX({"Ridgetop","Other"},MATCH(TRUE,ISNUMBER(SEARCH({"Ridgetop","Other"},A1398)),0)),"")</f>
        <v>Ridgetop</v>
      </c>
      <c r="D1398" t="str" cm="1">
        <f t="array" ref="D1398">IFERROR(INDEX({"Small","Medium","Large"},MATCH(TRUE,ISNUMBER(SEARCH({"Small","Medium","Large"},A1398)),0)),"")</f>
        <v>Large</v>
      </c>
      <c r="E1398" t="str">
        <f t="shared" si="21"/>
        <v>0.056</v>
      </c>
    </row>
    <row r="1399" spans="1:5" x14ac:dyDescent="0.3">
      <c r="A1399" t="s">
        <v>1397</v>
      </c>
      <c r="B1399" t="str" cm="1">
        <f t="array" ref="B1399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hemlock"},A1399)),0)),"")</f>
        <v>Ponderosa pine (OR)</v>
      </c>
      <c r="C1399" t="str" cm="1">
        <f t="array" ref="C1399">IFERROR(INDEX({"Ridgetop","Other"},MATCH(TRUE,ISNUMBER(SEARCH({"Ridgetop","Other"},A1399)),0)),"")</f>
        <v>Ridgetop</v>
      </c>
      <c r="D1399" t="str" cm="1">
        <f t="array" ref="D1399">IFERROR(INDEX({"Small","Medium","Large"},MATCH(TRUE,ISNUMBER(SEARCH({"Small","Medium","Large"},A1399)),0)),"")</f>
        <v>Small</v>
      </c>
      <c r="E1399" t="str">
        <f t="shared" si="21"/>
        <v>0.282</v>
      </c>
    </row>
    <row r="1400" spans="1:5" x14ac:dyDescent="0.3">
      <c r="A1400" t="s">
        <v>1398</v>
      </c>
      <c r="B1400" t="str" cm="1">
        <f t="array" ref="B1400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hemlock"},A1400)),0)),"")</f>
        <v>Ponderosa pine (OR)</v>
      </c>
      <c r="C1400" t="str" cm="1">
        <f t="array" ref="C1400">IFERROR(INDEX({"Ridgetop","Other"},MATCH(TRUE,ISNUMBER(SEARCH({"Ridgetop","Other"},A1400)),0)),"")</f>
        <v>Ridgetop</v>
      </c>
      <c r="D1400" t="str" cm="1">
        <f t="array" ref="D1400">IFERROR(INDEX({"Small","Medium","Large"},MATCH(TRUE,ISNUMBER(SEARCH({"Small","Medium","Large"},A1400)),0)),"")</f>
        <v>Medium</v>
      </c>
      <c r="E1400" t="str">
        <f t="shared" si="21"/>
        <v>0.134</v>
      </c>
    </row>
    <row r="1401" spans="1:5" x14ac:dyDescent="0.3">
      <c r="A1401" t="s">
        <v>1399</v>
      </c>
      <c r="B1401" t="str" cm="1">
        <f t="array" ref="B1401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hemlock"},A1401)),0)),"")</f>
        <v>Ponderosa pine (OR)</v>
      </c>
      <c r="C1401" t="str" cm="1">
        <f t="array" ref="C1401">IFERROR(INDEX({"Ridgetop","Other"},MATCH(TRUE,ISNUMBER(SEARCH({"Ridgetop","Other"},A1401)),0)),"")</f>
        <v>Ridgetop</v>
      </c>
      <c r="D1401" t="str" cm="1">
        <f t="array" ref="D1401">IFERROR(INDEX({"Small","Medium","Large"},MATCH(TRUE,ISNUMBER(SEARCH({"Small","Medium","Large"},A1401)),0)),"")</f>
        <v>Large</v>
      </c>
      <c r="E1401" t="str">
        <f t="shared" si="21"/>
        <v>0.056</v>
      </c>
    </row>
    <row r="1402" spans="1:5" x14ac:dyDescent="0.3">
      <c r="A1402" t="s">
        <v>1400</v>
      </c>
      <c r="B1402" t="str" cm="1">
        <f t="array" ref="B1402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hemlock"},A1402)),0)),"")</f>
        <v>Ponderosa pine (OR)</v>
      </c>
      <c r="C1402" t="str" cm="1">
        <f t="array" ref="C1402">IFERROR(INDEX({"Ridgetop","Other"},MATCH(TRUE,ISNUMBER(SEARCH({"Ridgetop","Other"},A1402)),0)),"")</f>
        <v>Ridgetop</v>
      </c>
      <c r="D1402" t="str" cm="1">
        <f t="array" ref="D1402">IFERROR(INDEX({"Small","Medium","Large"},MATCH(TRUE,ISNUMBER(SEARCH({"Small","Medium","Large"},A1402)),0)),"")</f>
        <v>Small</v>
      </c>
      <c r="E1402" t="str">
        <f t="shared" si="21"/>
        <v>0.282</v>
      </c>
    </row>
    <row r="1403" spans="1:5" x14ac:dyDescent="0.3">
      <c r="A1403" t="s">
        <v>1401</v>
      </c>
      <c r="B1403" t="str" cm="1">
        <f t="array" ref="B1403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hemlock"},A1403)),0)),"")</f>
        <v>Ponderosa pine (OR)</v>
      </c>
      <c r="C1403" t="str" cm="1">
        <f t="array" ref="C1403">IFERROR(INDEX({"Ridgetop","Other"},MATCH(TRUE,ISNUMBER(SEARCH({"Ridgetop","Other"},A1403)),0)),"")</f>
        <v>Ridgetop</v>
      </c>
      <c r="D1403" t="str" cm="1">
        <f t="array" ref="D1403">IFERROR(INDEX({"Small","Medium","Large"},MATCH(TRUE,ISNUMBER(SEARCH({"Small","Medium","Large"},A1403)),0)),"")</f>
        <v>Medium</v>
      </c>
      <c r="E1403" t="str">
        <f t="shared" si="21"/>
        <v>0.134</v>
      </c>
    </row>
    <row r="1404" spans="1:5" x14ac:dyDescent="0.3">
      <c r="A1404" t="s">
        <v>1402</v>
      </c>
      <c r="B1404" t="str" cm="1">
        <f t="array" ref="B1404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hemlock"},A1404)),0)),"")</f>
        <v>Ponderosa pine (OR)</v>
      </c>
      <c r="C1404" t="str" cm="1">
        <f t="array" ref="C1404">IFERROR(INDEX({"Ridgetop","Other"},MATCH(TRUE,ISNUMBER(SEARCH({"Ridgetop","Other"},A1404)),0)),"")</f>
        <v>Ridgetop</v>
      </c>
      <c r="D1404" t="str" cm="1">
        <f t="array" ref="D1404">IFERROR(INDEX({"Small","Medium","Large"},MATCH(TRUE,ISNUMBER(SEARCH({"Small","Medium","Large"},A1404)),0)),"")</f>
        <v>Large</v>
      </c>
      <c r="E1404" t="str">
        <f t="shared" si="21"/>
        <v>0.056</v>
      </c>
    </row>
    <row r="1405" spans="1:5" x14ac:dyDescent="0.3">
      <c r="A1405" t="s">
        <v>1403</v>
      </c>
      <c r="B1405" t="str" cm="1">
        <f t="array" ref="B1405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hemlock"},A1405)),0)),"")</f>
        <v>Ponderosa pine (WA)</v>
      </c>
      <c r="C1405" t="str" cm="1">
        <f t="array" ref="C1405">IFERROR(INDEX({"Ridgetop","Other"},MATCH(TRUE,ISNUMBER(SEARCH({"Ridgetop","Other"},A1405)),0)),"")</f>
        <v>Other</v>
      </c>
      <c r="D1405" t="str" cm="1">
        <f t="array" ref="D1405">IFERROR(INDEX({"Small","Medium","Large"},MATCH(TRUE,ISNUMBER(SEARCH({"Small","Medium","Large"},A1405)),0)),"")</f>
        <v>Small</v>
      </c>
      <c r="E1405" t="str">
        <f t="shared" si="21"/>
        <v>0.137</v>
      </c>
    </row>
    <row r="1406" spans="1:5" x14ac:dyDescent="0.3">
      <c r="A1406" t="s">
        <v>1404</v>
      </c>
      <c r="B1406" t="str" cm="1">
        <f t="array" ref="B1406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hemlock"},A1406)),0)),"")</f>
        <v>Ponderosa pine (WA)</v>
      </c>
      <c r="C1406" t="str" cm="1">
        <f t="array" ref="C1406">IFERROR(INDEX({"Ridgetop","Other"},MATCH(TRUE,ISNUMBER(SEARCH({"Ridgetop","Other"},A1406)),0)),"")</f>
        <v>Other</v>
      </c>
      <c r="D1406" t="str" cm="1">
        <f t="array" ref="D1406">IFERROR(INDEX({"Small","Medium","Large"},MATCH(TRUE,ISNUMBER(SEARCH({"Small","Medium","Large"},A1406)),0)),"")</f>
        <v>Medium</v>
      </c>
      <c r="E1406" t="str">
        <f t="shared" si="21"/>
        <v>0.071</v>
      </c>
    </row>
    <row r="1407" spans="1:5" x14ac:dyDescent="0.3">
      <c r="A1407" t="s">
        <v>1405</v>
      </c>
      <c r="B1407" t="str" cm="1">
        <f t="array" ref="B1407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hemlock"},A1407)),0)),"")</f>
        <v>Ponderosa pine (WA)</v>
      </c>
      <c r="C1407" t="str" cm="1">
        <f t="array" ref="C1407">IFERROR(INDEX({"Ridgetop","Other"},MATCH(TRUE,ISNUMBER(SEARCH({"Ridgetop","Other"},A1407)),0)),"")</f>
        <v>Other</v>
      </c>
      <c r="D1407" t="str" cm="1">
        <f t="array" ref="D1407">IFERROR(INDEX({"Small","Medium","Large"},MATCH(TRUE,ISNUMBER(SEARCH({"Small","Medium","Large"},A1407)),0)),"")</f>
        <v>Large</v>
      </c>
      <c r="E1407" t="str">
        <f t="shared" si="21"/>
        <v>0.025</v>
      </c>
    </row>
    <row r="1408" spans="1:5" x14ac:dyDescent="0.3">
      <c r="A1408" t="s">
        <v>1406</v>
      </c>
      <c r="B1408" t="str" cm="1">
        <f t="array" ref="B1408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hemlock"},A1408)),0)),"")</f>
        <v>Ponderosa pine (WA)</v>
      </c>
      <c r="C1408" t="str" cm="1">
        <f t="array" ref="C1408">IFERROR(INDEX({"Ridgetop","Other"},MATCH(TRUE,ISNUMBER(SEARCH({"Ridgetop","Other"},A1408)),0)),"")</f>
        <v>Other</v>
      </c>
      <c r="D1408" t="str" cm="1">
        <f t="array" ref="D1408">IFERROR(INDEX({"Small","Medium","Large"},MATCH(TRUE,ISNUMBER(SEARCH({"Small","Medium","Large"},A1408)),0)),"")</f>
        <v>Small</v>
      </c>
      <c r="E1408" t="str">
        <f t="shared" si="21"/>
        <v>0.152</v>
      </c>
    </row>
    <row r="1409" spans="1:5" x14ac:dyDescent="0.3">
      <c r="A1409" t="s">
        <v>1407</v>
      </c>
      <c r="B1409" t="str" cm="1">
        <f t="array" ref="B1409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hemlock"},A1409)),0)),"")</f>
        <v>Ponderosa pine (WA)</v>
      </c>
      <c r="C1409" t="str" cm="1">
        <f t="array" ref="C1409">IFERROR(INDEX({"Ridgetop","Other"},MATCH(TRUE,ISNUMBER(SEARCH({"Ridgetop","Other"},A1409)),0)),"")</f>
        <v>Other</v>
      </c>
      <c r="D1409" t="str" cm="1">
        <f t="array" ref="D1409">IFERROR(INDEX({"Small","Medium","Large"},MATCH(TRUE,ISNUMBER(SEARCH({"Small","Medium","Large"},A1409)),0)),"")</f>
        <v>Medium</v>
      </c>
      <c r="E1409" t="str">
        <f t="shared" si="21"/>
        <v>0.079</v>
      </c>
    </row>
    <row r="1410" spans="1:5" x14ac:dyDescent="0.3">
      <c r="A1410" t="s">
        <v>1408</v>
      </c>
      <c r="B1410" t="str" cm="1">
        <f t="array" ref="B1410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hemlock"},A1410)),0)),"")</f>
        <v>Ponderosa pine (WA)</v>
      </c>
      <c r="C1410" t="str" cm="1">
        <f t="array" ref="C1410">IFERROR(INDEX({"Ridgetop","Other"},MATCH(TRUE,ISNUMBER(SEARCH({"Ridgetop","Other"},A1410)),0)),"")</f>
        <v>Other</v>
      </c>
      <c r="D1410" t="str" cm="1">
        <f t="array" ref="D1410">IFERROR(INDEX({"Small","Medium","Large"},MATCH(TRUE,ISNUMBER(SEARCH({"Small","Medium","Large"},A1410)),0)),"")</f>
        <v>Large</v>
      </c>
      <c r="E1410" t="str">
        <f t="shared" si="21"/>
        <v>0.027</v>
      </c>
    </row>
    <row r="1411" spans="1:5" x14ac:dyDescent="0.3">
      <c r="A1411" t="s">
        <v>1409</v>
      </c>
      <c r="B1411" t="str" cm="1">
        <f t="array" ref="B1411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hemlock"},A1411)),0)),"")</f>
        <v>Ponderosa pine (WA)</v>
      </c>
      <c r="C1411" t="str" cm="1">
        <f t="array" ref="C1411">IFERROR(INDEX({"Ridgetop","Other"},MATCH(TRUE,ISNUMBER(SEARCH({"Ridgetop","Other"},A1411)),0)),"")</f>
        <v>Other</v>
      </c>
      <c r="D1411" t="str" cm="1">
        <f t="array" ref="D1411">IFERROR(INDEX({"Small","Medium","Large"},MATCH(TRUE,ISNUMBER(SEARCH({"Small","Medium","Large"},A1411)),0)),"")</f>
        <v>Small</v>
      </c>
      <c r="E1411" t="str">
        <f t="shared" ref="E1411:E1474" si="22">RIGHT(A1411,LEN(A1411)-FIND("@",SUBSTITUTE(A1411," ","@",LEN(A1411)-LEN(SUBSTITUTE(A1411," ","")))))</f>
        <v>0.187</v>
      </c>
    </row>
    <row r="1412" spans="1:5" x14ac:dyDescent="0.3">
      <c r="A1412" t="s">
        <v>1410</v>
      </c>
      <c r="B1412" t="str" cm="1">
        <f t="array" ref="B1412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hemlock"},A1412)),0)),"")</f>
        <v>Ponderosa pine (WA)</v>
      </c>
      <c r="C1412" t="str" cm="1">
        <f t="array" ref="C1412">IFERROR(INDEX({"Ridgetop","Other"},MATCH(TRUE,ISNUMBER(SEARCH({"Ridgetop","Other"},A1412)),0)),"")</f>
        <v>Other</v>
      </c>
      <c r="D1412" t="str" cm="1">
        <f t="array" ref="D1412">IFERROR(INDEX({"Small","Medium","Large"},MATCH(TRUE,ISNUMBER(SEARCH({"Small","Medium","Large"},A1412)),0)),"")</f>
        <v>Medium</v>
      </c>
      <c r="E1412" t="str">
        <f t="shared" si="22"/>
        <v>0.097</v>
      </c>
    </row>
    <row r="1413" spans="1:5" x14ac:dyDescent="0.3">
      <c r="A1413" t="s">
        <v>1411</v>
      </c>
      <c r="B1413" t="str" cm="1">
        <f t="array" ref="B1413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hemlock"},A1413)),0)),"")</f>
        <v>Ponderosa pine (WA)</v>
      </c>
      <c r="C1413" t="str" cm="1">
        <f t="array" ref="C1413">IFERROR(INDEX({"Ridgetop","Other"},MATCH(TRUE,ISNUMBER(SEARCH({"Ridgetop","Other"},A1413)),0)),"")</f>
        <v>Other</v>
      </c>
      <c r="D1413" t="str" cm="1">
        <f t="array" ref="D1413">IFERROR(INDEX({"Small","Medium","Large"},MATCH(TRUE,ISNUMBER(SEARCH({"Small","Medium","Large"},A1413)),0)),"")</f>
        <v>Large</v>
      </c>
      <c r="E1413" t="str">
        <f t="shared" si="22"/>
        <v>0.034</v>
      </c>
    </row>
    <row r="1414" spans="1:5" x14ac:dyDescent="0.3">
      <c r="A1414" t="s">
        <v>1412</v>
      </c>
      <c r="B1414" t="str" cm="1">
        <f t="array" ref="B1414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hemlock"},A1414)),0)),"")</f>
        <v>Ponderosa pine (WA)</v>
      </c>
      <c r="C1414" t="str" cm="1">
        <f t="array" ref="C1414">IFERROR(INDEX({"Ridgetop","Other"},MATCH(TRUE,ISNUMBER(SEARCH({"Ridgetop","Other"},A1414)),0)),"")</f>
        <v>Ridgetop</v>
      </c>
      <c r="D1414" t="str" cm="1">
        <f t="array" ref="D1414">IFERROR(INDEX({"Small","Medium","Large"},MATCH(TRUE,ISNUMBER(SEARCH({"Small","Medium","Large"},A1414)),0)),"")</f>
        <v>Small</v>
      </c>
      <c r="E1414" t="str">
        <f t="shared" si="22"/>
        <v>0.242</v>
      </c>
    </row>
    <row r="1415" spans="1:5" x14ac:dyDescent="0.3">
      <c r="A1415" t="s">
        <v>1413</v>
      </c>
      <c r="B1415" t="str" cm="1">
        <f t="array" ref="B1415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hemlock"},A1415)),0)),"")</f>
        <v>Ponderosa pine (WA)</v>
      </c>
      <c r="C1415" t="str" cm="1">
        <f t="array" ref="C1415">IFERROR(INDEX({"Ridgetop","Other"},MATCH(TRUE,ISNUMBER(SEARCH({"Ridgetop","Other"},A1415)),0)),"")</f>
        <v>Ridgetop</v>
      </c>
      <c r="D1415" t="str" cm="1">
        <f t="array" ref="D1415">IFERROR(INDEX({"Small","Medium","Large"},MATCH(TRUE,ISNUMBER(SEARCH({"Small","Medium","Large"},A1415)),0)),"")</f>
        <v>Medium</v>
      </c>
      <c r="E1415" t="str">
        <f t="shared" si="22"/>
        <v>0.126</v>
      </c>
    </row>
    <row r="1416" spans="1:5" x14ac:dyDescent="0.3">
      <c r="A1416" t="s">
        <v>1414</v>
      </c>
      <c r="B1416" t="str" cm="1">
        <f t="array" ref="B1416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hemlock"},A1416)),0)),"")</f>
        <v>Ponderosa pine (WA)</v>
      </c>
      <c r="C1416" t="str" cm="1">
        <f t="array" ref="C1416">IFERROR(INDEX({"Ridgetop","Other"},MATCH(TRUE,ISNUMBER(SEARCH({"Ridgetop","Other"},A1416)),0)),"")</f>
        <v>Ridgetop</v>
      </c>
      <c r="D1416" t="str" cm="1">
        <f t="array" ref="D1416">IFERROR(INDEX({"Small","Medium","Large"},MATCH(TRUE,ISNUMBER(SEARCH({"Small","Medium","Large"},A1416)),0)),"")</f>
        <v>Large</v>
      </c>
      <c r="E1416" t="str">
        <f t="shared" si="22"/>
        <v>0.043</v>
      </c>
    </row>
    <row r="1417" spans="1:5" x14ac:dyDescent="0.3">
      <c r="A1417" t="s">
        <v>1415</v>
      </c>
      <c r="B1417" t="str" cm="1">
        <f t="array" ref="B1417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hemlock"},A1417)),0)),"")</f>
        <v>Ponderosa pine (WA)</v>
      </c>
      <c r="C1417" t="str" cm="1">
        <f t="array" ref="C1417">IFERROR(INDEX({"Ridgetop","Other"},MATCH(TRUE,ISNUMBER(SEARCH({"Ridgetop","Other"},A1417)),0)),"")</f>
        <v>Ridgetop</v>
      </c>
      <c r="D1417" t="str" cm="1">
        <f t="array" ref="D1417">IFERROR(INDEX({"Small","Medium","Large"},MATCH(TRUE,ISNUMBER(SEARCH({"Small","Medium","Large"},A1417)),0)),"")</f>
        <v>Small</v>
      </c>
      <c r="E1417" t="str">
        <f t="shared" si="22"/>
        <v>0.250</v>
      </c>
    </row>
    <row r="1418" spans="1:5" x14ac:dyDescent="0.3">
      <c r="A1418" t="s">
        <v>1416</v>
      </c>
      <c r="B1418" t="str" cm="1">
        <f t="array" ref="B1418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hemlock"},A1418)),0)),"")</f>
        <v>Ponderosa pine (WA)</v>
      </c>
      <c r="C1418" t="str" cm="1">
        <f t="array" ref="C1418">IFERROR(INDEX({"Ridgetop","Other"},MATCH(TRUE,ISNUMBER(SEARCH({"Ridgetop","Other"},A1418)),0)),"")</f>
        <v>Ridgetop</v>
      </c>
      <c r="D1418" t="str" cm="1">
        <f t="array" ref="D1418">IFERROR(INDEX({"Small","Medium","Large"},MATCH(TRUE,ISNUMBER(SEARCH({"Small","Medium","Large"},A1418)),0)),"")</f>
        <v>Medium</v>
      </c>
      <c r="E1418" t="str">
        <f t="shared" si="22"/>
        <v>0.130</v>
      </c>
    </row>
    <row r="1419" spans="1:5" x14ac:dyDescent="0.3">
      <c r="A1419" t="s">
        <v>1417</v>
      </c>
      <c r="B1419" t="str" cm="1">
        <f t="array" ref="B1419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hemlock"},A1419)),0)),"")</f>
        <v>Ponderosa pine (WA)</v>
      </c>
      <c r="C1419" t="str" cm="1">
        <f t="array" ref="C1419">IFERROR(INDEX({"Ridgetop","Other"},MATCH(TRUE,ISNUMBER(SEARCH({"Ridgetop","Other"},A1419)),0)),"")</f>
        <v>Ridgetop</v>
      </c>
      <c r="D1419" t="str" cm="1">
        <f t="array" ref="D1419">IFERROR(INDEX({"Small","Medium","Large"},MATCH(TRUE,ISNUMBER(SEARCH({"Small","Medium","Large"},A1419)),0)),"")</f>
        <v>Large</v>
      </c>
      <c r="E1419" t="str">
        <f t="shared" si="22"/>
        <v>0.045</v>
      </c>
    </row>
    <row r="1420" spans="1:5" x14ac:dyDescent="0.3">
      <c r="A1420" t="s">
        <v>1418</v>
      </c>
      <c r="B1420" t="str" cm="1">
        <f t="array" ref="B1420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hemlock"},A1420)),0)),"")</f>
        <v>Ponderosa pine (WA)</v>
      </c>
      <c r="C1420" t="str" cm="1">
        <f t="array" ref="C1420">IFERROR(INDEX({"Ridgetop","Other"},MATCH(TRUE,ISNUMBER(SEARCH({"Ridgetop","Other"},A1420)),0)),"")</f>
        <v>Ridgetop</v>
      </c>
      <c r="D1420" t="str" cm="1">
        <f t="array" ref="D1420">IFERROR(INDEX({"Small","Medium","Large"},MATCH(TRUE,ISNUMBER(SEARCH({"Small","Medium","Large"},A1420)),0)),"")</f>
        <v>Small</v>
      </c>
      <c r="E1420" t="str">
        <f t="shared" si="22"/>
        <v>0.265</v>
      </c>
    </row>
    <row r="1421" spans="1:5" x14ac:dyDescent="0.3">
      <c r="A1421" t="s">
        <v>1419</v>
      </c>
      <c r="B1421" t="str" cm="1">
        <f t="array" ref="B1421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hemlock"},A1421)),0)),"")</f>
        <v>Ponderosa pine (WA)</v>
      </c>
      <c r="C1421" t="str" cm="1">
        <f t="array" ref="C1421">IFERROR(INDEX({"Ridgetop","Other"},MATCH(TRUE,ISNUMBER(SEARCH({"Ridgetop","Other"},A1421)),0)),"")</f>
        <v>Ridgetop</v>
      </c>
      <c r="D1421" t="str" cm="1">
        <f t="array" ref="D1421">IFERROR(INDEX({"Small","Medium","Large"},MATCH(TRUE,ISNUMBER(SEARCH({"Small","Medium","Large"},A1421)),0)),"")</f>
        <v>Medium</v>
      </c>
      <c r="E1421" t="str">
        <f t="shared" si="22"/>
        <v>0.138</v>
      </c>
    </row>
    <row r="1422" spans="1:5" x14ac:dyDescent="0.3">
      <c r="A1422" t="s">
        <v>1420</v>
      </c>
      <c r="B1422" t="str" cm="1">
        <f t="array" ref="B1422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hemlock"},A1422)),0)),"")</f>
        <v>Ponderosa pine (WA)</v>
      </c>
      <c r="C1422" t="str" cm="1">
        <f t="array" ref="C1422">IFERROR(INDEX({"Ridgetop","Other"},MATCH(TRUE,ISNUMBER(SEARCH({"Ridgetop","Other"},A1422)),0)),"")</f>
        <v>Ridgetop</v>
      </c>
      <c r="D1422" t="str" cm="1">
        <f t="array" ref="D1422">IFERROR(INDEX({"Small","Medium","Large"},MATCH(TRUE,ISNUMBER(SEARCH({"Small","Medium","Large"},A1422)),0)),"")</f>
        <v>Large</v>
      </c>
      <c r="E1422" t="str">
        <f t="shared" si="22"/>
        <v>0.048</v>
      </c>
    </row>
    <row r="1423" spans="1:5" x14ac:dyDescent="0.3">
      <c r="A1423" t="s">
        <v>1421</v>
      </c>
      <c r="B1423" t="str" cm="1">
        <f t="array" ref="B1423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hemlock"},A1423)),0)),"")</f>
        <v>Ponderosa pine (WA)</v>
      </c>
      <c r="C1423" t="str" cm="1">
        <f t="array" ref="C1423">IFERROR(INDEX({"Ridgetop","Other"},MATCH(TRUE,ISNUMBER(SEARCH({"Ridgetop","Other"},A1423)),0)),"")</f>
        <v>Other</v>
      </c>
      <c r="D1423" t="str" cm="1">
        <f t="array" ref="D1423">IFERROR(INDEX({"Small","Medium","Large"},MATCH(TRUE,ISNUMBER(SEARCH({"Small","Medium","Large"},A1423)),0)),"")</f>
        <v>Small</v>
      </c>
      <c r="E1423" t="str">
        <f t="shared" si="22"/>
        <v>0.172</v>
      </c>
    </row>
    <row r="1424" spans="1:5" x14ac:dyDescent="0.3">
      <c r="A1424" t="s">
        <v>1422</v>
      </c>
      <c r="B1424" t="str" cm="1">
        <f t="array" ref="B1424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hemlock"},A1424)),0)),"")</f>
        <v>Ponderosa pine (WA)</v>
      </c>
      <c r="C1424" t="str" cm="1">
        <f t="array" ref="C1424">IFERROR(INDEX({"Ridgetop","Other"},MATCH(TRUE,ISNUMBER(SEARCH({"Ridgetop","Other"},A1424)),0)),"")</f>
        <v>Other</v>
      </c>
      <c r="D1424" t="str" cm="1">
        <f t="array" ref="D1424">IFERROR(INDEX({"Small","Medium","Large"},MATCH(TRUE,ISNUMBER(SEARCH({"Small","Medium","Large"},A1424)),0)),"")</f>
        <v>Medium</v>
      </c>
      <c r="E1424" t="str">
        <f t="shared" si="22"/>
        <v>0.089</v>
      </c>
    </row>
    <row r="1425" spans="1:5" x14ac:dyDescent="0.3">
      <c r="A1425" t="s">
        <v>1423</v>
      </c>
      <c r="B1425" t="str" cm="1">
        <f t="array" ref="B1425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hemlock"},A1425)),0)),"")</f>
        <v>Ponderosa pine (WA)</v>
      </c>
      <c r="C1425" t="str" cm="1">
        <f t="array" ref="C1425">IFERROR(INDEX({"Ridgetop","Other"},MATCH(TRUE,ISNUMBER(SEARCH({"Ridgetop","Other"},A1425)),0)),"")</f>
        <v>Other</v>
      </c>
      <c r="D1425" t="str" cm="1">
        <f t="array" ref="D1425">IFERROR(INDEX({"Small","Medium","Large"},MATCH(TRUE,ISNUMBER(SEARCH({"Small","Medium","Large"},A1425)),0)),"")</f>
        <v>Large</v>
      </c>
      <c r="E1425" t="str">
        <f t="shared" si="22"/>
        <v>0.031</v>
      </c>
    </row>
    <row r="1426" spans="1:5" x14ac:dyDescent="0.3">
      <c r="A1426" t="s">
        <v>1424</v>
      </c>
      <c r="B1426" t="str" cm="1">
        <f t="array" ref="B1426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hemlock"},A1426)),0)),"")</f>
        <v>Ponderosa pine (WA)</v>
      </c>
      <c r="C1426" t="str" cm="1">
        <f t="array" ref="C1426">IFERROR(INDEX({"Ridgetop","Other"},MATCH(TRUE,ISNUMBER(SEARCH({"Ridgetop","Other"},A1426)),0)),"")</f>
        <v>Other</v>
      </c>
      <c r="D1426" t="str" cm="1">
        <f t="array" ref="D1426">IFERROR(INDEX({"Small","Medium","Large"},MATCH(TRUE,ISNUMBER(SEARCH({"Small","Medium","Large"},A1426)),0)),"")</f>
        <v>Small</v>
      </c>
      <c r="E1426" t="str">
        <f t="shared" si="22"/>
        <v>0.187</v>
      </c>
    </row>
    <row r="1427" spans="1:5" x14ac:dyDescent="0.3">
      <c r="A1427" t="s">
        <v>1425</v>
      </c>
      <c r="B1427" t="str" cm="1">
        <f t="array" ref="B1427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hemlock"},A1427)),0)),"")</f>
        <v>Ponderosa pine (WA)</v>
      </c>
      <c r="C1427" t="str" cm="1">
        <f t="array" ref="C1427">IFERROR(INDEX({"Ridgetop","Other"},MATCH(TRUE,ISNUMBER(SEARCH({"Ridgetop","Other"},A1427)),0)),"")</f>
        <v>Other</v>
      </c>
      <c r="D1427" t="str" cm="1">
        <f t="array" ref="D1427">IFERROR(INDEX({"Small","Medium","Large"},MATCH(TRUE,ISNUMBER(SEARCH({"Small","Medium","Large"},A1427)),0)),"")</f>
        <v>Medium</v>
      </c>
      <c r="E1427" t="str">
        <f t="shared" si="22"/>
        <v>0.097</v>
      </c>
    </row>
    <row r="1428" spans="1:5" x14ac:dyDescent="0.3">
      <c r="A1428" t="s">
        <v>1426</v>
      </c>
      <c r="B1428" t="str" cm="1">
        <f t="array" ref="B1428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hemlock"},A1428)),0)),"")</f>
        <v>Ponderosa pine (WA)</v>
      </c>
      <c r="C1428" t="str" cm="1">
        <f t="array" ref="C1428">IFERROR(INDEX({"Ridgetop","Other"},MATCH(TRUE,ISNUMBER(SEARCH({"Ridgetop","Other"},A1428)),0)),"")</f>
        <v>Other</v>
      </c>
      <c r="D1428" t="str" cm="1">
        <f t="array" ref="D1428">IFERROR(INDEX({"Small","Medium","Large"},MATCH(TRUE,ISNUMBER(SEARCH({"Small","Medium","Large"},A1428)),0)),"")</f>
        <v>Large</v>
      </c>
      <c r="E1428" t="str">
        <f t="shared" si="22"/>
        <v>0.034</v>
      </c>
    </row>
    <row r="1429" spans="1:5" x14ac:dyDescent="0.3">
      <c r="A1429" t="s">
        <v>1427</v>
      </c>
      <c r="B1429" t="str" cm="1">
        <f t="array" ref="B1429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hemlock"},A1429)),0)),"")</f>
        <v>Ponderosa pine (WA)</v>
      </c>
      <c r="C1429" t="str" cm="1">
        <f t="array" ref="C1429">IFERROR(INDEX({"Ridgetop","Other"},MATCH(TRUE,ISNUMBER(SEARCH({"Ridgetop","Other"},A1429)),0)),"")</f>
        <v>Other</v>
      </c>
      <c r="D1429" t="str" cm="1">
        <f t="array" ref="D1429">IFERROR(INDEX({"Small","Medium","Large"},MATCH(TRUE,ISNUMBER(SEARCH({"Small","Medium","Large"},A1429)),0)),"")</f>
        <v>Small</v>
      </c>
      <c r="E1429" t="str">
        <f t="shared" si="22"/>
        <v>0.187</v>
      </c>
    </row>
    <row r="1430" spans="1:5" x14ac:dyDescent="0.3">
      <c r="A1430" t="s">
        <v>1428</v>
      </c>
      <c r="B1430" t="str" cm="1">
        <f t="array" ref="B1430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hemlock"},A1430)),0)),"")</f>
        <v>Ponderosa pine (WA)</v>
      </c>
      <c r="C1430" t="str" cm="1">
        <f t="array" ref="C1430">IFERROR(INDEX({"Ridgetop","Other"},MATCH(TRUE,ISNUMBER(SEARCH({"Ridgetop","Other"},A1430)),0)),"")</f>
        <v>Other</v>
      </c>
      <c r="D1430" t="str" cm="1">
        <f t="array" ref="D1430">IFERROR(INDEX({"Small","Medium","Large"},MATCH(TRUE,ISNUMBER(SEARCH({"Small","Medium","Large"},A1430)),0)),"")</f>
        <v>Medium</v>
      </c>
      <c r="E1430" t="str">
        <f t="shared" si="22"/>
        <v>0.097</v>
      </c>
    </row>
    <row r="1431" spans="1:5" x14ac:dyDescent="0.3">
      <c r="A1431" t="s">
        <v>1429</v>
      </c>
      <c r="B1431" t="str" cm="1">
        <f t="array" ref="B1431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hemlock"},A1431)),0)),"")</f>
        <v>Ponderosa pine (WA)</v>
      </c>
      <c r="C1431" t="str" cm="1">
        <f t="array" ref="C1431">IFERROR(INDEX({"Ridgetop","Other"},MATCH(TRUE,ISNUMBER(SEARCH({"Ridgetop","Other"},A1431)),0)),"")</f>
        <v>Other</v>
      </c>
      <c r="D1431" t="str" cm="1">
        <f t="array" ref="D1431">IFERROR(INDEX({"Small","Medium","Large"},MATCH(TRUE,ISNUMBER(SEARCH({"Small","Medium","Large"},A1431)),0)),"")</f>
        <v>Large</v>
      </c>
      <c r="E1431" t="str">
        <f t="shared" si="22"/>
        <v>0.034</v>
      </c>
    </row>
    <row r="1432" spans="1:5" x14ac:dyDescent="0.3">
      <c r="A1432" t="s">
        <v>1430</v>
      </c>
      <c r="B1432" t="str" cm="1">
        <f t="array" ref="B1432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hemlock"},A1432)),0)),"")</f>
        <v>Ponderosa pine (WA)</v>
      </c>
      <c r="C1432" t="str" cm="1">
        <f t="array" ref="C1432">IFERROR(INDEX({"Ridgetop","Other"},MATCH(TRUE,ISNUMBER(SEARCH({"Ridgetop","Other"},A1432)),0)),"")</f>
        <v>Ridgetop</v>
      </c>
      <c r="D1432" t="str" cm="1">
        <f t="array" ref="D1432">IFERROR(INDEX({"Small","Medium","Large"},MATCH(TRUE,ISNUMBER(SEARCH({"Small","Medium","Large"},A1432)),0)),"")</f>
        <v>Small</v>
      </c>
      <c r="E1432" t="str">
        <f t="shared" si="22"/>
        <v>0.312</v>
      </c>
    </row>
    <row r="1433" spans="1:5" x14ac:dyDescent="0.3">
      <c r="A1433" t="s">
        <v>1431</v>
      </c>
      <c r="B1433" t="str" cm="1">
        <f t="array" ref="B1433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hemlock"},A1433)),0)),"")</f>
        <v>Ponderosa pine (WA)</v>
      </c>
      <c r="C1433" t="str" cm="1">
        <f t="array" ref="C1433">IFERROR(INDEX({"Ridgetop","Other"},MATCH(TRUE,ISNUMBER(SEARCH({"Ridgetop","Other"},A1433)),0)),"")</f>
        <v>Ridgetop</v>
      </c>
      <c r="D1433" t="str" cm="1">
        <f t="array" ref="D1433">IFERROR(INDEX({"Small","Medium","Large"},MATCH(TRUE,ISNUMBER(SEARCH({"Small","Medium","Large"},A1433)),0)),"")</f>
        <v>Medium</v>
      </c>
      <c r="E1433" t="str">
        <f t="shared" si="22"/>
        <v>0.162</v>
      </c>
    </row>
    <row r="1434" spans="1:5" x14ac:dyDescent="0.3">
      <c r="A1434" t="s">
        <v>1432</v>
      </c>
      <c r="B1434" t="str" cm="1">
        <f t="array" ref="B1434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hemlock"},A1434)),0)),"")</f>
        <v>Ponderosa pine (WA)</v>
      </c>
      <c r="C1434" t="str" cm="1">
        <f t="array" ref="C1434">IFERROR(INDEX({"Ridgetop","Other"},MATCH(TRUE,ISNUMBER(SEARCH({"Ridgetop","Other"},A1434)),0)),"")</f>
        <v>Ridgetop</v>
      </c>
      <c r="D1434" t="str" cm="1">
        <f t="array" ref="D1434">IFERROR(INDEX({"Small","Medium","Large"},MATCH(TRUE,ISNUMBER(SEARCH({"Small","Medium","Large"},A1434)),0)),"")</f>
        <v>Large</v>
      </c>
      <c r="E1434" t="str">
        <f t="shared" si="22"/>
        <v>0.056</v>
      </c>
    </row>
    <row r="1435" spans="1:5" x14ac:dyDescent="0.3">
      <c r="A1435" t="s">
        <v>1433</v>
      </c>
      <c r="B1435" t="str" cm="1">
        <f t="array" ref="B1435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hemlock"},A1435)),0)),"")</f>
        <v>Ponderosa pine (WA)</v>
      </c>
      <c r="C1435" t="str" cm="1">
        <f t="array" ref="C1435">IFERROR(INDEX({"Ridgetop","Other"},MATCH(TRUE,ISNUMBER(SEARCH({"Ridgetop","Other"},A1435)),0)),"")</f>
        <v>Ridgetop</v>
      </c>
      <c r="D1435" t="str" cm="1">
        <f t="array" ref="D1435">IFERROR(INDEX({"Small","Medium","Large"},MATCH(TRUE,ISNUMBER(SEARCH({"Small","Medium","Large"},A1435)),0)),"")</f>
        <v>Small</v>
      </c>
      <c r="E1435" t="str">
        <f t="shared" si="22"/>
        <v>0.312</v>
      </c>
    </row>
    <row r="1436" spans="1:5" x14ac:dyDescent="0.3">
      <c r="A1436" t="s">
        <v>1434</v>
      </c>
      <c r="B1436" t="str" cm="1">
        <f t="array" ref="B1436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hemlock"},A1436)),0)),"")</f>
        <v>Ponderosa pine (WA)</v>
      </c>
      <c r="C1436" t="str" cm="1">
        <f t="array" ref="C1436">IFERROR(INDEX({"Ridgetop","Other"},MATCH(TRUE,ISNUMBER(SEARCH({"Ridgetop","Other"},A1436)),0)),"")</f>
        <v>Ridgetop</v>
      </c>
      <c r="D1436" t="str" cm="1">
        <f t="array" ref="D1436">IFERROR(INDEX({"Small","Medium","Large"},MATCH(TRUE,ISNUMBER(SEARCH({"Small","Medium","Large"},A1436)),0)),"")</f>
        <v>Medium</v>
      </c>
      <c r="E1436" t="str">
        <f t="shared" si="22"/>
        <v>0.162</v>
      </c>
    </row>
    <row r="1437" spans="1:5" x14ac:dyDescent="0.3">
      <c r="A1437" t="s">
        <v>1435</v>
      </c>
      <c r="B1437" t="str" cm="1">
        <f t="array" ref="B1437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hemlock"},A1437)),0)),"")</f>
        <v>Ponderosa pine (WA)</v>
      </c>
      <c r="C1437" t="str" cm="1">
        <f t="array" ref="C1437">IFERROR(INDEX({"Ridgetop","Other"},MATCH(TRUE,ISNUMBER(SEARCH({"Ridgetop","Other"},A1437)),0)),"")</f>
        <v>Ridgetop</v>
      </c>
      <c r="D1437" t="str" cm="1">
        <f t="array" ref="D1437">IFERROR(INDEX({"Small","Medium","Large"},MATCH(TRUE,ISNUMBER(SEARCH({"Small","Medium","Large"},A1437)),0)),"")</f>
        <v>Large</v>
      </c>
      <c r="E1437" t="str">
        <f t="shared" si="22"/>
        <v>0.056</v>
      </c>
    </row>
    <row r="1438" spans="1:5" x14ac:dyDescent="0.3">
      <c r="A1438" t="s">
        <v>1436</v>
      </c>
      <c r="B1438" t="str" cm="1">
        <f t="array" ref="B1438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hemlock"},A1438)),0)),"")</f>
        <v>Ponderosa pine (WA)</v>
      </c>
      <c r="C1438" t="str" cm="1">
        <f t="array" ref="C1438">IFERROR(INDEX({"Ridgetop","Other"},MATCH(TRUE,ISNUMBER(SEARCH({"Ridgetop","Other"},A1438)),0)),"")</f>
        <v>Ridgetop</v>
      </c>
      <c r="D1438" t="str" cm="1">
        <f t="array" ref="D1438">IFERROR(INDEX({"Small","Medium","Large"},MATCH(TRUE,ISNUMBER(SEARCH({"Small","Medium","Large"},A1438)),0)),"")</f>
        <v>Small</v>
      </c>
      <c r="E1438" t="str">
        <f t="shared" si="22"/>
        <v>0.312</v>
      </c>
    </row>
    <row r="1439" spans="1:5" x14ac:dyDescent="0.3">
      <c r="A1439" t="s">
        <v>1437</v>
      </c>
      <c r="B1439" t="str" cm="1">
        <f t="array" ref="B1439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hemlock"},A1439)),0)),"")</f>
        <v>Ponderosa pine (WA)</v>
      </c>
      <c r="C1439" t="str" cm="1">
        <f t="array" ref="C1439">IFERROR(INDEX({"Ridgetop","Other"},MATCH(TRUE,ISNUMBER(SEARCH({"Ridgetop","Other"},A1439)),0)),"")</f>
        <v>Ridgetop</v>
      </c>
      <c r="D1439" t="str" cm="1">
        <f t="array" ref="D1439">IFERROR(INDEX({"Small","Medium","Large"},MATCH(TRUE,ISNUMBER(SEARCH({"Small","Medium","Large"},A1439)),0)),"")</f>
        <v>Medium</v>
      </c>
      <c r="E1439" t="str">
        <f t="shared" si="22"/>
        <v>0.162</v>
      </c>
    </row>
    <row r="1440" spans="1:5" x14ac:dyDescent="0.3">
      <c r="A1440" t="s">
        <v>1438</v>
      </c>
      <c r="B1440" t="str" cm="1">
        <f t="array" ref="B1440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hemlock"},A1440)),0)),"")</f>
        <v>Ponderosa pine (WA)</v>
      </c>
      <c r="C1440" t="str" cm="1">
        <f t="array" ref="C1440">IFERROR(INDEX({"Ridgetop","Other"},MATCH(TRUE,ISNUMBER(SEARCH({"Ridgetop","Other"},A1440)),0)),"")</f>
        <v>Ridgetop</v>
      </c>
      <c r="D1440" t="str" cm="1">
        <f t="array" ref="D1440">IFERROR(INDEX({"Small","Medium","Large"},MATCH(TRUE,ISNUMBER(SEARCH({"Small","Medium","Large"},A1440)),0)),"")</f>
        <v>Large</v>
      </c>
      <c r="E1440" t="str">
        <f t="shared" si="22"/>
        <v>0.056</v>
      </c>
    </row>
    <row r="1441" spans="1:5" x14ac:dyDescent="0.3">
      <c r="A1441" t="s">
        <v>1439</v>
      </c>
      <c r="B1441" t="str" cm="1">
        <f t="array" ref="B1441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hemlock"},A1441)),0)),"")</f>
        <v>Ponderosa pine (WA)</v>
      </c>
      <c r="C1441" t="str" cm="1">
        <f t="array" ref="C1441">IFERROR(INDEX({"Ridgetop","Other"},MATCH(TRUE,ISNUMBER(SEARCH({"Ridgetop","Other"},A1441)),0)),"")</f>
        <v>Other</v>
      </c>
      <c r="D1441" t="str" cm="1">
        <f t="array" ref="D1441">IFERROR(INDEX({"Small","Medium","Large"},MATCH(TRUE,ISNUMBER(SEARCH({"Small","Medium","Large"},A1441)),0)),"")</f>
        <v>Small</v>
      </c>
      <c r="E1441" t="str">
        <f t="shared" si="22"/>
        <v>0.140</v>
      </c>
    </row>
    <row r="1442" spans="1:5" x14ac:dyDescent="0.3">
      <c r="A1442" t="s">
        <v>1440</v>
      </c>
      <c r="B1442" t="str" cm="1">
        <f t="array" ref="B1442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hemlock"},A1442)),0)),"")</f>
        <v>Ponderosa pine (WA)</v>
      </c>
      <c r="C1442" t="str" cm="1">
        <f t="array" ref="C1442">IFERROR(INDEX({"Ridgetop","Other"},MATCH(TRUE,ISNUMBER(SEARCH({"Ridgetop","Other"},A1442)),0)),"")</f>
        <v>Other</v>
      </c>
      <c r="D1442" t="str" cm="1">
        <f t="array" ref="D1442">IFERROR(INDEX({"Small","Medium","Large"},MATCH(TRUE,ISNUMBER(SEARCH({"Small","Medium","Large"},A1442)),0)),"")</f>
        <v>Medium</v>
      </c>
      <c r="E1442" t="str">
        <f t="shared" si="22"/>
        <v>0.073</v>
      </c>
    </row>
    <row r="1443" spans="1:5" x14ac:dyDescent="0.3">
      <c r="A1443" t="s">
        <v>1441</v>
      </c>
      <c r="B1443" t="str" cm="1">
        <f t="array" ref="B1443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hemlock"},A1443)),0)),"")</f>
        <v>Ponderosa pine (WA)</v>
      </c>
      <c r="C1443" t="str" cm="1">
        <f t="array" ref="C1443">IFERROR(INDEX({"Ridgetop","Other"},MATCH(TRUE,ISNUMBER(SEARCH({"Ridgetop","Other"},A1443)),0)),"")</f>
        <v>Other</v>
      </c>
      <c r="D1443" t="str" cm="1">
        <f t="array" ref="D1443">IFERROR(INDEX({"Small","Medium","Large"},MATCH(TRUE,ISNUMBER(SEARCH({"Small","Medium","Large"},A1443)),0)),"")</f>
        <v>Large</v>
      </c>
      <c r="E1443" t="str">
        <f t="shared" si="22"/>
        <v>0.025</v>
      </c>
    </row>
    <row r="1444" spans="1:5" x14ac:dyDescent="0.3">
      <c r="A1444" t="s">
        <v>1442</v>
      </c>
      <c r="B1444" t="str" cm="1">
        <f t="array" ref="B1444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hemlock"},A1444)),0)),"")</f>
        <v>Ponderosa pine (WA)</v>
      </c>
      <c r="C1444" t="str" cm="1">
        <f t="array" ref="C1444">IFERROR(INDEX({"Ridgetop","Other"},MATCH(TRUE,ISNUMBER(SEARCH({"Ridgetop","Other"},A1444)),0)),"")</f>
        <v>Other</v>
      </c>
      <c r="D1444" t="str" cm="1">
        <f t="array" ref="D1444">IFERROR(INDEX({"Small","Medium","Large"},MATCH(TRUE,ISNUMBER(SEARCH({"Small","Medium","Large"},A1444)),0)),"")</f>
        <v>Small</v>
      </c>
      <c r="E1444" t="str">
        <f t="shared" si="22"/>
        <v>0.156</v>
      </c>
    </row>
    <row r="1445" spans="1:5" x14ac:dyDescent="0.3">
      <c r="A1445" t="s">
        <v>1443</v>
      </c>
      <c r="B1445" t="str" cm="1">
        <f t="array" ref="B1445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hemlock"},A1445)),0)),"")</f>
        <v>Ponderosa pine (WA)</v>
      </c>
      <c r="C1445" t="str" cm="1">
        <f t="array" ref="C1445">IFERROR(INDEX({"Ridgetop","Other"},MATCH(TRUE,ISNUMBER(SEARCH({"Ridgetop","Other"},A1445)),0)),"")</f>
        <v>Other</v>
      </c>
      <c r="D1445" t="str" cm="1">
        <f t="array" ref="D1445">IFERROR(INDEX({"Small","Medium","Large"},MATCH(TRUE,ISNUMBER(SEARCH({"Small","Medium","Large"},A1445)),0)),"")</f>
        <v>Medium</v>
      </c>
      <c r="E1445" t="str">
        <f t="shared" si="22"/>
        <v>0.081</v>
      </c>
    </row>
    <row r="1446" spans="1:5" x14ac:dyDescent="0.3">
      <c r="A1446" t="s">
        <v>1444</v>
      </c>
      <c r="B1446" t="str" cm="1">
        <f t="array" ref="B1446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hemlock"},A1446)),0)),"")</f>
        <v>Ponderosa pine (WA)</v>
      </c>
      <c r="C1446" t="str" cm="1">
        <f t="array" ref="C1446">IFERROR(INDEX({"Ridgetop","Other"},MATCH(TRUE,ISNUMBER(SEARCH({"Ridgetop","Other"},A1446)),0)),"")</f>
        <v>Other</v>
      </c>
      <c r="D1446" t="str" cm="1">
        <f t="array" ref="D1446">IFERROR(INDEX({"Small","Medium","Large"},MATCH(TRUE,ISNUMBER(SEARCH({"Small","Medium","Large"},A1446)),0)),"")</f>
        <v>Large</v>
      </c>
      <c r="E1446" t="str">
        <f t="shared" si="22"/>
        <v>0.028</v>
      </c>
    </row>
    <row r="1447" spans="1:5" x14ac:dyDescent="0.3">
      <c r="A1447" t="s">
        <v>1445</v>
      </c>
      <c r="B1447" t="str" cm="1">
        <f t="array" ref="B1447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hemlock"},A1447)),0)),"")</f>
        <v>Ponderosa pine (WA)</v>
      </c>
      <c r="C1447" t="str" cm="1">
        <f t="array" ref="C1447">IFERROR(INDEX({"Ridgetop","Other"},MATCH(TRUE,ISNUMBER(SEARCH({"Ridgetop","Other"},A1447)),0)),"")</f>
        <v>Other</v>
      </c>
      <c r="D1447" t="str" cm="1">
        <f t="array" ref="D1447">IFERROR(INDEX({"Small","Medium","Large"},MATCH(TRUE,ISNUMBER(SEARCH({"Small","Medium","Large"},A1447)),0)),"")</f>
        <v>Small</v>
      </c>
      <c r="E1447" t="str">
        <f t="shared" si="22"/>
        <v>0.187</v>
      </c>
    </row>
    <row r="1448" spans="1:5" x14ac:dyDescent="0.3">
      <c r="A1448" t="s">
        <v>1446</v>
      </c>
      <c r="B1448" t="str" cm="1">
        <f t="array" ref="B1448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hemlock"},A1448)),0)),"")</f>
        <v>Ponderosa pine (WA)</v>
      </c>
      <c r="C1448" t="str" cm="1">
        <f t="array" ref="C1448">IFERROR(INDEX({"Ridgetop","Other"},MATCH(TRUE,ISNUMBER(SEARCH({"Ridgetop","Other"},A1448)),0)),"")</f>
        <v>Other</v>
      </c>
      <c r="D1448" t="str" cm="1">
        <f t="array" ref="D1448">IFERROR(INDEX({"Small","Medium","Large"},MATCH(TRUE,ISNUMBER(SEARCH({"Small","Medium","Large"},A1448)),0)),"")</f>
        <v>Medium</v>
      </c>
      <c r="E1448" t="str">
        <f t="shared" si="22"/>
        <v>0.097</v>
      </c>
    </row>
    <row r="1449" spans="1:5" x14ac:dyDescent="0.3">
      <c r="A1449" t="s">
        <v>1447</v>
      </c>
      <c r="B1449" t="str" cm="1">
        <f t="array" ref="B1449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hemlock"},A1449)),0)),"")</f>
        <v>Ponderosa pine (WA)</v>
      </c>
      <c r="C1449" t="str" cm="1">
        <f t="array" ref="C1449">IFERROR(INDEX({"Ridgetop","Other"},MATCH(TRUE,ISNUMBER(SEARCH({"Ridgetop","Other"},A1449)),0)),"")</f>
        <v>Other</v>
      </c>
      <c r="D1449" t="str" cm="1">
        <f t="array" ref="D1449">IFERROR(INDEX({"Small","Medium","Large"},MATCH(TRUE,ISNUMBER(SEARCH({"Small","Medium","Large"},A1449)),0)),"")</f>
        <v>Large</v>
      </c>
      <c r="E1449" t="str">
        <f t="shared" si="22"/>
        <v>0.034</v>
      </c>
    </row>
    <row r="1450" spans="1:5" x14ac:dyDescent="0.3">
      <c r="A1450" t="s">
        <v>1448</v>
      </c>
      <c r="B1450" t="str" cm="1">
        <f t="array" ref="B1450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hemlock"},A1450)),0)),"")</f>
        <v>Ponderosa pine (WA)</v>
      </c>
      <c r="C1450" t="str" cm="1">
        <f t="array" ref="C1450">IFERROR(INDEX({"Ridgetop","Other"},MATCH(TRUE,ISNUMBER(SEARCH({"Ridgetop","Other"},A1450)),0)),"")</f>
        <v>Ridgetop</v>
      </c>
      <c r="D1450" t="str" cm="1">
        <f t="array" ref="D1450">IFERROR(INDEX({"Small","Medium","Large"},MATCH(TRUE,ISNUMBER(SEARCH({"Small","Medium","Large"},A1450)),0)),"")</f>
        <v>Small</v>
      </c>
      <c r="E1450" t="str">
        <f t="shared" si="22"/>
        <v>0.265</v>
      </c>
    </row>
    <row r="1451" spans="1:5" x14ac:dyDescent="0.3">
      <c r="A1451" t="s">
        <v>1449</v>
      </c>
      <c r="B1451" t="str" cm="1">
        <f t="array" ref="B1451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hemlock"},A1451)),0)),"")</f>
        <v>Ponderosa pine (WA)</v>
      </c>
      <c r="C1451" t="str" cm="1">
        <f t="array" ref="C1451">IFERROR(INDEX({"Ridgetop","Other"},MATCH(TRUE,ISNUMBER(SEARCH({"Ridgetop","Other"},A1451)),0)),"")</f>
        <v>Ridgetop</v>
      </c>
      <c r="D1451" t="str" cm="1">
        <f t="array" ref="D1451">IFERROR(INDEX({"Small","Medium","Large"},MATCH(TRUE,ISNUMBER(SEARCH({"Small","Medium","Large"},A1451)),0)),"")</f>
        <v>Medium</v>
      </c>
      <c r="E1451" t="str">
        <f t="shared" si="22"/>
        <v>0.138</v>
      </c>
    </row>
    <row r="1452" spans="1:5" x14ac:dyDescent="0.3">
      <c r="A1452" t="s">
        <v>1450</v>
      </c>
      <c r="B1452" t="str" cm="1">
        <f t="array" ref="B1452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hemlock"},A1452)),0)),"")</f>
        <v>Ponderosa pine (WA)</v>
      </c>
      <c r="C1452" t="str" cm="1">
        <f t="array" ref="C1452">IFERROR(INDEX({"Ridgetop","Other"},MATCH(TRUE,ISNUMBER(SEARCH({"Ridgetop","Other"},A1452)),0)),"")</f>
        <v>Ridgetop</v>
      </c>
      <c r="D1452" t="str" cm="1">
        <f t="array" ref="D1452">IFERROR(INDEX({"Small","Medium","Large"},MATCH(TRUE,ISNUMBER(SEARCH({"Small","Medium","Large"},A1452)),0)),"")</f>
        <v>Large</v>
      </c>
      <c r="E1452" t="str">
        <f t="shared" si="22"/>
        <v>0.048</v>
      </c>
    </row>
    <row r="1453" spans="1:5" x14ac:dyDescent="0.3">
      <c r="A1453" t="s">
        <v>1451</v>
      </c>
      <c r="B1453" t="str" cm="1">
        <f t="array" ref="B1453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hemlock"},A1453)),0)),"")</f>
        <v>Ponderosa pine (WA)</v>
      </c>
      <c r="C1453" t="str" cm="1">
        <f t="array" ref="C1453">IFERROR(INDEX({"Ridgetop","Other"},MATCH(TRUE,ISNUMBER(SEARCH({"Ridgetop","Other"},A1453)),0)),"")</f>
        <v>Ridgetop</v>
      </c>
      <c r="D1453" t="str" cm="1">
        <f t="array" ref="D1453">IFERROR(INDEX({"Small","Medium","Large"},MATCH(TRUE,ISNUMBER(SEARCH({"Small","Medium","Large"},A1453)),0)),"")</f>
        <v>Small</v>
      </c>
      <c r="E1453" t="str">
        <f t="shared" si="22"/>
        <v>0.265</v>
      </c>
    </row>
    <row r="1454" spans="1:5" x14ac:dyDescent="0.3">
      <c r="A1454" t="s">
        <v>1452</v>
      </c>
      <c r="B1454" t="str" cm="1">
        <f t="array" ref="B1454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hemlock"},A1454)),0)),"")</f>
        <v>Ponderosa pine (WA)</v>
      </c>
      <c r="C1454" t="str" cm="1">
        <f t="array" ref="C1454">IFERROR(INDEX({"Ridgetop","Other"},MATCH(TRUE,ISNUMBER(SEARCH({"Ridgetop","Other"},A1454)),0)),"")</f>
        <v>Ridgetop</v>
      </c>
      <c r="D1454" t="str" cm="1">
        <f t="array" ref="D1454">IFERROR(INDEX({"Small","Medium","Large"},MATCH(TRUE,ISNUMBER(SEARCH({"Small","Medium","Large"},A1454)),0)),"")</f>
        <v>Medium</v>
      </c>
      <c r="E1454" t="str">
        <f t="shared" si="22"/>
        <v>0.138</v>
      </c>
    </row>
    <row r="1455" spans="1:5" x14ac:dyDescent="0.3">
      <c r="A1455" t="s">
        <v>1453</v>
      </c>
      <c r="B1455" t="str" cm="1">
        <f t="array" ref="B1455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hemlock"},A1455)),0)),"")</f>
        <v>Ponderosa pine (WA)</v>
      </c>
      <c r="C1455" t="str" cm="1">
        <f t="array" ref="C1455">IFERROR(INDEX({"Ridgetop","Other"},MATCH(TRUE,ISNUMBER(SEARCH({"Ridgetop","Other"},A1455)),0)),"")</f>
        <v>Ridgetop</v>
      </c>
      <c r="D1455" t="str" cm="1">
        <f t="array" ref="D1455">IFERROR(INDEX({"Small","Medium","Large"},MATCH(TRUE,ISNUMBER(SEARCH({"Small","Medium","Large"},A1455)),0)),"")</f>
        <v>Large</v>
      </c>
      <c r="E1455" t="str">
        <f t="shared" si="22"/>
        <v>0.048</v>
      </c>
    </row>
    <row r="1456" spans="1:5" x14ac:dyDescent="0.3">
      <c r="A1456" t="s">
        <v>1454</v>
      </c>
      <c r="B1456" t="str" cm="1">
        <f t="array" ref="B1456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hemlock"},A1456)),0)),"")</f>
        <v>Ponderosa pine (WA)</v>
      </c>
      <c r="C1456" t="str" cm="1">
        <f t="array" ref="C1456">IFERROR(INDEX({"Ridgetop","Other"},MATCH(TRUE,ISNUMBER(SEARCH({"Ridgetop","Other"},A1456)),0)),"")</f>
        <v>Ridgetop</v>
      </c>
      <c r="D1456" t="str" cm="1">
        <f t="array" ref="D1456">IFERROR(INDEX({"Small","Medium","Large"},MATCH(TRUE,ISNUMBER(SEARCH({"Small","Medium","Large"},A1456)),0)),"")</f>
        <v>Small</v>
      </c>
      <c r="E1456" t="str">
        <f t="shared" si="22"/>
        <v>0.281</v>
      </c>
    </row>
    <row r="1457" spans="1:5" x14ac:dyDescent="0.3">
      <c r="A1457" t="s">
        <v>1455</v>
      </c>
      <c r="B1457" t="str" cm="1">
        <f t="array" ref="B1457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hemlock"},A1457)),0)),"")</f>
        <v>Ponderosa pine (WA)</v>
      </c>
      <c r="C1457" t="str" cm="1">
        <f t="array" ref="C1457">IFERROR(INDEX({"Ridgetop","Other"},MATCH(TRUE,ISNUMBER(SEARCH({"Ridgetop","Other"},A1457)),0)),"")</f>
        <v>Ridgetop</v>
      </c>
      <c r="D1457" t="str" cm="1">
        <f t="array" ref="D1457">IFERROR(INDEX({"Small","Medium","Large"},MATCH(TRUE,ISNUMBER(SEARCH({"Small","Medium","Large"},A1457)),0)),"")</f>
        <v>Medium</v>
      </c>
      <c r="E1457" t="str">
        <f t="shared" si="22"/>
        <v>0.146</v>
      </c>
    </row>
    <row r="1458" spans="1:5" x14ac:dyDescent="0.3">
      <c r="A1458" t="s">
        <v>1456</v>
      </c>
      <c r="B1458" t="str" cm="1">
        <f t="array" ref="B1458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hemlock"},A1458)),0)),"")</f>
        <v>Ponderosa pine (WA)</v>
      </c>
      <c r="C1458" t="str" cm="1">
        <f t="array" ref="C1458">IFERROR(INDEX({"Ridgetop","Other"},MATCH(TRUE,ISNUMBER(SEARCH({"Ridgetop","Other"},A1458)),0)),"")</f>
        <v>Ridgetop</v>
      </c>
      <c r="D1458" t="str" cm="1">
        <f t="array" ref="D1458">IFERROR(INDEX({"Small","Medium","Large"},MATCH(TRUE,ISNUMBER(SEARCH({"Small","Medium","Large"},A1458)),0)),"")</f>
        <v>Large</v>
      </c>
      <c r="E1458" t="str">
        <f t="shared" si="22"/>
        <v>0.050</v>
      </c>
    </row>
    <row r="1459" spans="1:5" x14ac:dyDescent="0.3">
      <c r="A1459" t="s">
        <v>1457</v>
      </c>
      <c r="B1459" t="str" cm="1">
        <f t="array" ref="B1459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hemlock"},A1459)),0)),"")</f>
        <v>Ponderosa pine (WA)</v>
      </c>
      <c r="C1459" t="str" cm="1">
        <f t="array" ref="C1459">IFERROR(INDEX({"Ridgetop","Other"},MATCH(TRUE,ISNUMBER(SEARCH({"Ridgetop","Other"},A1459)),0)),"")</f>
        <v>Other</v>
      </c>
      <c r="D1459" t="str" cm="1">
        <f t="array" ref="D1459">IFERROR(INDEX({"Small","Medium","Large"},MATCH(TRUE,ISNUMBER(SEARCH({"Small","Medium","Large"},A1459)),0)),"")</f>
        <v>Small</v>
      </c>
      <c r="E1459" t="str">
        <f t="shared" si="22"/>
        <v>0.172</v>
      </c>
    </row>
    <row r="1460" spans="1:5" x14ac:dyDescent="0.3">
      <c r="A1460" t="s">
        <v>1458</v>
      </c>
      <c r="B1460" t="str" cm="1">
        <f t="array" ref="B1460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hemlock"},A1460)),0)),"")</f>
        <v>Ponderosa pine (WA)</v>
      </c>
      <c r="C1460" t="str" cm="1">
        <f t="array" ref="C1460">IFERROR(INDEX({"Ridgetop","Other"},MATCH(TRUE,ISNUMBER(SEARCH({"Ridgetop","Other"},A1460)),0)),"")</f>
        <v>Other</v>
      </c>
      <c r="D1460" t="str" cm="1">
        <f t="array" ref="D1460">IFERROR(INDEX({"Small","Medium","Large"},MATCH(TRUE,ISNUMBER(SEARCH({"Small","Medium","Large"},A1460)),0)),"")</f>
        <v>Medium</v>
      </c>
      <c r="E1460" t="str">
        <f t="shared" si="22"/>
        <v>0.089</v>
      </c>
    </row>
    <row r="1461" spans="1:5" x14ac:dyDescent="0.3">
      <c r="A1461" t="s">
        <v>1459</v>
      </c>
      <c r="B1461" t="str" cm="1">
        <f t="array" ref="B1461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hemlock"},A1461)),0)),"")</f>
        <v>Ponderosa pine (WA)</v>
      </c>
      <c r="C1461" t="str" cm="1">
        <f t="array" ref="C1461">IFERROR(INDEX({"Ridgetop","Other"},MATCH(TRUE,ISNUMBER(SEARCH({"Ridgetop","Other"},A1461)),0)),"")</f>
        <v>Other</v>
      </c>
      <c r="D1461" t="str" cm="1">
        <f t="array" ref="D1461">IFERROR(INDEX({"Small","Medium","Large"},MATCH(TRUE,ISNUMBER(SEARCH({"Small","Medium","Large"},A1461)),0)),"")</f>
        <v>Large</v>
      </c>
      <c r="E1461" t="str">
        <f t="shared" si="22"/>
        <v>0.031</v>
      </c>
    </row>
    <row r="1462" spans="1:5" x14ac:dyDescent="0.3">
      <c r="A1462" t="s">
        <v>1460</v>
      </c>
      <c r="B1462" t="str" cm="1">
        <f t="array" ref="B1462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hemlock"},A1462)),0)),"")</f>
        <v>Ponderosa pine (WA)</v>
      </c>
      <c r="C1462" t="str" cm="1">
        <f t="array" ref="C1462">IFERROR(INDEX({"Ridgetop","Other"},MATCH(TRUE,ISNUMBER(SEARCH({"Ridgetop","Other"},A1462)),0)),"")</f>
        <v>Other</v>
      </c>
      <c r="D1462" t="str" cm="1">
        <f t="array" ref="D1462">IFERROR(INDEX({"Small","Medium","Large"},MATCH(TRUE,ISNUMBER(SEARCH({"Small","Medium","Large"},A1462)),0)),"")</f>
        <v>Small</v>
      </c>
      <c r="E1462" t="str">
        <f t="shared" si="22"/>
        <v>0.187</v>
      </c>
    </row>
    <row r="1463" spans="1:5" x14ac:dyDescent="0.3">
      <c r="A1463" t="s">
        <v>1461</v>
      </c>
      <c r="B1463" t="str" cm="1">
        <f t="array" ref="B1463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hemlock"},A1463)),0)),"")</f>
        <v>Ponderosa pine (WA)</v>
      </c>
      <c r="C1463" t="str" cm="1">
        <f t="array" ref="C1463">IFERROR(INDEX({"Ridgetop","Other"},MATCH(TRUE,ISNUMBER(SEARCH({"Ridgetop","Other"},A1463)),0)),"")</f>
        <v>Other</v>
      </c>
      <c r="D1463" t="str" cm="1">
        <f t="array" ref="D1463">IFERROR(INDEX({"Small","Medium","Large"},MATCH(TRUE,ISNUMBER(SEARCH({"Small","Medium","Large"},A1463)),0)),"")</f>
        <v>Medium</v>
      </c>
      <c r="E1463" t="str">
        <f t="shared" si="22"/>
        <v>0.097</v>
      </c>
    </row>
    <row r="1464" spans="1:5" x14ac:dyDescent="0.3">
      <c r="A1464" t="s">
        <v>1462</v>
      </c>
      <c r="B1464" t="str" cm="1">
        <f t="array" ref="B1464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hemlock"},A1464)),0)),"")</f>
        <v>Ponderosa pine (WA)</v>
      </c>
      <c r="C1464" t="str" cm="1">
        <f t="array" ref="C1464">IFERROR(INDEX({"Ridgetop","Other"},MATCH(TRUE,ISNUMBER(SEARCH({"Ridgetop","Other"},A1464)),0)),"")</f>
        <v>Other</v>
      </c>
      <c r="D1464" t="str" cm="1">
        <f t="array" ref="D1464">IFERROR(INDEX({"Small","Medium","Large"},MATCH(TRUE,ISNUMBER(SEARCH({"Small","Medium","Large"},A1464)),0)),"")</f>
        <v>Large</v>
      </c>
      <c r="E1464" t="str">
        <f t="shared" si="22"/>
        <v>0.034</v>
      </c>
    </row>
    <row r="1465" spans="1:5" x14ac:dyDescent="0.3">
      <c r="A1465" t="s">
        <v>1463</v>
      </c>
      <c r="B1465" t="str" cm="1">
        <f t="array" ref="B1465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hemlock"},A1465)),0)),"")</f>
        <v>Ponderosa pine (WA)</v>
      </c>
      <c r="C1465" t="str" cm="1">
        <f t="array" ref="C1465">IFERROR(INDEX({"Ridgetop","Other"},MATCH(TRUE,ISNUMBER(SEARCH({"Ridgetop","Other"},A1465)),0)),"")</f>
        <v>Other</v>
      </c>
      <c r="D1465" t="str" cm="1">
        <f t="array" ref="D1465">IFERROR(INDEX({"Small","Medium","Large"},MATCH(TRUE,ISNUMBER(SEARCH({"Small","Medium","Large"},A1465)),0)),"")</f>
        <v>Small</v>
      </c>
      <c r="E1465" t="str">
        <f t="shared" si="22"/>
        <v>0.187</v>
      </c>
    </row>
    <row r="1466" spans="1:5" x14ac:dyDescent="0.3">
      <c r="A1466" t="s">
        <v>1464</v>
      </c>
      <c r="B1466" t="str" cm="1">
        <f t="array" ref="B1466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hemlock"},A1466)),0)),"")</f>
        <v>Ponderosa pine (WA)</v>
      </c>
      <c r="C1466" t="str" cm="1">
        <f t="array" ref="C1466">IFERROR(INDEX({"Ridgetop","Other"},MATCH(TRUE,ISNUMBER(SEARCH({"Ridgetop","Other"},A1466)),0)),"")</f>
        <v>Other</v>
      </c>
      <c r="D1466" t="str" cm="1">
        <f t="array" ref="D1466">IFERROR(INDEX({"Small","Medium","Large"},MATCH(TRUE,ISNUMBER(SEARCH({"Small","Medium","Large"},A1466)),0)),"")</f>
        <v>Medium</v>
      </c>
      <c r="E1466" t="str">
        <f t="shared" si="22"/>
        <v>0.097</v>
      </c>
    </row>
    <row r="1467" spans="1:5" x14ac:dyDescent="0.3">
      <c r="A1467" t="s">
        <v>1465</v>
      </c>
      <c r="B1467" t="str" cm="1">
        <f t="array" ref="B1467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hemlock"},A1467)),0)),"")</f>
        <v>Ponderosa pine (WA)</v>
      </c>
      <c r="C1467" t="str" cm="1">
        <f t="array" ref="C1467">IFERROR(INDEX({"Ridgetop","Other"},MATCH(TRUE,ISNUMBER(SEARCH({"Ridgetop","Other"},A1467)),0)),"")</f>
        <v>Other</v>
      </c>
      <c r="D1467" t="str" cm="1">
        <f t="array" ref="D1467">IFERROR(INDEX({"Small","Medium","Large"},MATCH(TRUE,ISNUMBER(SEARCH({"Small","Medium","Large"},A1467)),0)),"")</f>
        <v>Large</v>
      </c>
      <c r="E1467" t="str">
        <f t="shared" si="22"/>
        <v>0.034</v>
      </c>
    </row>
    <row r="1468" spans="1:5" x14ac:dyDescent="0.3">
      <c r="A1468" t="s">
        <v>1466</v>
      </c>
      <c r="B1468" t="str" cm="1">
        <f t="array" ref="B1468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hemlock"},A1468)),0)),"")</f>
        <v>Ponderosa pine (WA)</v>
      </c>
      <c r="C1468" t="str" cm="1">
        <f t="array" ref="C1468">IFERROR(INDEX({"Ridgetop","Other"},MATCH(TRUE,ISNUMBER(SEARCH({"Ridgetop","Other"},A1468)),0)),"")</f>
        <v>Ridgetop</v>
      </c>
      <c r="D1468" t="str" cm="1">
        <f t="array" ref="D1468">IFERROR(INDEX({"Small","Medium","Large"},MATCH(TRUE,ISNUMBER(SEARCH({"Small","Medium","Large"},A1468)),0)),"")</f>
        <v>Small</v>
      </c>
      <c r="E1468" t="str">
        <f t="shared" si="22"/>
        <v>0.312</v>
      </c>
    </row>
    <row r="1469" spans="1:5" x14ac:dyDescent="0.3">
      <c r="A1469" t="s">
        <v>1467</v>
      </c>
      <c r="B1469" t="str" cm="1">
        <f t="array" ref="B1469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hemlock"},A1469)),0)),"")</f>
        <v>Ponderosa pine (WA)</v>
      </c>
      <c r="C1469" t="str" cm="1">
        <f t="array" ref="C1469">IFERROR(INDEX({"Ridgetop","Other"},MATCH(TRUE,ISNUMBER(SEARCH({"Ridgetop","Other"},A1469)),0)),"")</f>
        <v>Ridgetop</v>
      </c>
      <c r="D1469" t="str" cm="1">
        <f t="array" ref="D1469">IFERROR(INDEX({"Small","Medium","Large"},MATCH(TRUE,ISNUMBER(SEARCH({"Small","Medium","Large"},A1469)),0)),"")</f>
        <v>Medium</v>
      </c>
      <c r="E1469" t="str">
        <f t="shared" si="22"/>
        <v>0.162</v>
      </c>
    </row>
    <row r="1470" spans="1:5" x14ac:dyDescent="0.3">
      <c r="A1470" t="s">
        <v>1468</v>
      </c>
      <c r="B1470" t="str" cm="1">
        <f t="array" ref="B1470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hemlock"},A1470)),0)),"")</f>
        <v>Ponderosa pine (WA)</v>
      </c>
      <c r="C1470" t="str" cm="1">
        <f t="array" ref="C1470">IFERROR(INDEX({"Ridgetop","Other"},MATCH(TRUE,ISNUMBER(SEARCH({"Ridgetop","Other"},A1470)),0)),"")</f>
        <v>Ridgetop</v>
      </c>
      <c r="D1470" t="str" cm="1">
        <f t="array" ref="D1470">IFERROR(INDEX({"Small","Medium","Large"},MATCH(TRUE,ISNUMBER(SEARCH({"Small","Medium","Large"},A1470)),0)),"")</f>
        <v>Large</v>
      </c>
      <c r="E1470" t="str">
        <f t="shared" si="22"/>
        <v>0.056</v>
      </c>
    </row>
    <row r="1471" spans="1:5" x14ac:dyDescent="0.3">
      <c r="A1471" t="s">
        <v>1469</v>
      </c>
      <c r="B1471" t="str" cm="1">
        <f t="array" ref="B1471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hemlock"},A1471)),0)),"")</f>
        <v>Ponderosa pine (WA)</v>
      </c>
      <c r="C1471" t="str" cm="1">
        <f t="array" ref="C1471">IFERROR(INDEX({"Ridgetop","Other"},MATCH(TRUE,ISNUMBER(SEARCH({"Ridgetop","Other"},A1471)),0)),"")</f>
        <v>Ridgetop</v>
      </c>
      <c r="D1471" t="str" cm="1">
        <f t="array" ref="D1471">IFERROR(INDEX({"Small","Medium","Large"},MATCH(TRUE,ISNUMBER(SEARCH({"Small","Medium","Large"},A1471)),0)),"")</f>
        <v>Small</v>
      </c>
      <c r="E1471" t="str">
        <f t="shared" si="22"/>
        <v>0.312</v>
      </c>
    </row>
    <row r="1472" spans="1:5" x14ac:dyDescent="0.3">
      <c r="A1472" t="s">
        <v>1470</v>
      </c>
      <c r="B1472" t="str" cm="1">
        <f t="array" ref="B1472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hemlock"},A1472)),0)),"")</f>
        <v>Ponderosa pine (WA)</v>
      </c>
      <c r="C1472" t="str" cm="1">
        <f t="array" ref="C1472">IFERROR(INDEX({"Ridgetop","Other"},MATCH(TRUE,ISNUMBER(SEARCH({"Ridgetop","Other"},A1472)),0)),"")</f>
        <v>Ridgetop</v>
      </c>
      <c r="D1472" t="str" cm="1">
        <f t="array" ref="D1472">IFERROR(INDEX({"Small","Medium","Large"},MATCH(TRUE,ISNUMBER(SEARCH({"Small","Medium","Large"},A1472)),0)),"")</f>
        <v>Medium</v>
      </c>
      <c r="E1472" t="str">
        <f t="shared" si="22"/>
        <v>0.162</v>
      </c>
    </row>
    <row r="1473" spans="1:5" x14ac:dyDescent="0.3">
      <c r="A1473" t="s">
        <v>1471</v>
      </c>
      <c r="B1473" t="str" cm="1">
        <f t="array" ref="B1473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hemlock"},A1473)),0)),"")</f>
        <v>Ponderosa pine (WA)</v>
      </c>
      <c r="C1473" t="str" cm="1">
        <f t="array" ref="C1473">IFERROR(INDEX({"Ridgetop","Other"},MATCH(TRUE,ISNUMBER(SEARCH({"Ridgetop","Other"},A1473)),0)),"")</f>
        <v>Ridgetop</v>
      </c>
      <c r="D1473" t="str" cm="1">
        <f t="array" ref="D1473">IFERROR(INDEX({"Small","Medium","Large"},MATCH(TRUE,ISNUMBER(SEARCH({"Small","Medium","Large"},A1473)),0)),"")</f>
        <v>Large</v>
      </c>
      <c r="E1473" t="str">
        <f t="shared" si="22"/>
        <v>0.056</v>
      </c>
    </row>
    <row r="1474" spans="1:5" x14ac:dyDescent="0.3">
      <c r="A1474" t="s">
        <v>1472</v>
      </c>
      <c r="B1474" t="str" cm="1">
        <f t="array" ref="B1474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hemlock"},A1474)),0)),"")</f>
        <v>Ponderosa pine (WA)</v>
      </c>
      <c r="C1474" t="str" cm="1">
        <f t="array" ref="C1474">IFERROR(INDEX({"Ridgetop","Other"},MATCH(TRUE,ISNUMBER(SEARCH({"Ridgetop","Other"},A1474)),0)),"")</f>
        <v>Ridgetop</v>
      </c>
      <c r="D1474" t="str" cm="1">
        <f t="array" ref="D1474">IFERROR(INDEX({"Small","Medium","Large"},MATCH(TRUE,ISNUMBER(SEARCH({"Small","Medium","Large"},A1474)),0)),"")</f>
        <v>Small</v>
      </c>
      <c r="E1474" t="str">
        <f t="shared" si="22"/>
        <v>0.312</v>
      </c>
    </row>
    <row r="1475" spans="1:5" x14ac:dyDescent="0.3">
      <c r="A1475" t="s">
        <v>1473</v>
      </c>
      <c r="B1475" t="str" cm="1">
        <f t="array" ref="B1475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hemlock"},A1475)),0)),"")</f>
        <v>Ponderosa pine (WA)</v>
      </c>
      <c r="C1475" t="str" cm="1">
        <f t="array" ref="C1475">IFERROR(INDEX({"Ridgetop","Other"},MATCH(TRUE,ISNUMBER(SEARCH({"Ridgetop","Other"},A1475)),0)),"")</f>
        <v>Ridgetop</v>
      </c>
      <c r="D1475" t="str" cm="1">
        <f t="array" ref="D1475">IFERROR(INDEX({"Small","Medium","Large"},MATCH(TRUE,ISNUMBER(SEARCH({"Small","Medium","Large"},A1475)),0)),"")</f>
        <v>Medium</v>
      </c>
      <c r="E1475" t="str">
        <f t="shared" ref="E1475:E1538" si="23">RIGHT(A1475,LEN(A1475)-FIND("@",SUBSTITUTE(A1475," ","@",LEN(A1475)-LEN(SUBSTITUTE(A1475," ","")))))</f>
        <v>0.162</v>
      </c>
    </row>
    <row r="1476" spans="1:5" x14ac:dyDescent="0.3">
      <c r="A1476" t="s">
        <v>1474</v>
      </c>
      <c r="B1476" t="str" cm="1">
        <f t="array" ref="B1476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hemlock"},A1476)),0)),"")</f>
        <v>Ponderosa pine (WA)</v>
      </c>
      <c r="C1476" t="str" cm="1">
        <f t="array" ref="C1476">IFERROR(INDEX({"Ridgetop","Other"},MATCH(TRUE,ISNUMBER(SEARCH({"Ridgetop","Other"},A1476)),0)),"")</f>
        <v>Ridgetop</v>
      </c>
      <c r="D1476" t="str" cm="1">
        <f t="array" ref="D1476">IFERROR(INDEX({"Small","Medium","Large"},MATCH(TRUE,ISNUMBER(SEARCH({"Small","Medium","Large"},A1476)),0)),"")</f>
        <v>Large</v>
      </c>
      <c r="E1476" t="str">
        <f t="shared" si="23"/>
        <v>0.056</v>
      </c>
    </row>
    <row r="1477" spans="1:5" x14ac:dyDescent="0.3">
      <c r="A1477" t="s">
        <v>1475</v>
      </c>
      <c r="B1477" t="str" cm="1">
        <f t="array" ref="B1477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hemlock"},A1477)),0)),"")</f>
        <v>Ponderosa pine (WA)</v>
      </c>
      <c r="C1477" t="str" cm="1">
        <f t="array" ref="C1477">IFERROR(INDEX({"Ridgetop","Other"},MATCH(TRUE,ISNUMBER(SEARCH({"Ridgetop","Other"},A1477)),0)),"")</f>
        <v>Other</v>
      </c>
      <c r="D1477" t="str" cm="1">
        <f t="array" ref="D1477">IFERROR(INDEX({"Small","Medium","Large"},MATCH(TRUE,ISNUMBER(SEARCH({"Small","Medium","Large"},A1477)),0)),"")</f>
        <v>Small</v>
      </c>
      <c r="E1477" t="str">
        <f t="shared" si="23"/>
        <v>0.152</v>
      </c>
    </row>
    <row r="1478" spans="1:5" x14ac:dyDescent="0.3">
      <c r="A1478" t="s">
        <v>1476</v>
      </c>
      <c r="B1478" t="str" cm="1">
        <f t="array" ref="B1478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hemlock"},A1478)),0)),"")</f>
        <v>Ponderosa pine (WA)</v>
      </c>
      <c r="C1478" t="str" cm="1">
        <f t="array" ref="C1478">IFERROR(INDEX({"Ridgetop","Other"},MATCH(TRUE,ISNUMBER(SEARCH({"Ridgetop","Other"},A1478)),0)),"")</f>
        <v>Other</v>
      </c>
      <c r="D1478" t="str" cm="1">
        <f t="array" ref="D1478">IFERROR(INDEX({"Small","Medium","Large"},MATCH(TRUE,ISNUMBER(SEARCH({"Small","Medium","Large"},A1478)),0)),"")</f>
        <v>Medium</v>
      </c>
      <c r="E1478" t="str">
        <f t="shared" si="23"/>
        <v>0.079</v>
      </c>
    </row>
    <row r="1479" spans="1:5" x14ac:dyDescent="0.3">
      <c r="A1479" t="s">
        <v>1477</v>
      </c>
      <c r="B1479" t="str" cm="1">
        <f t="array" ref="B1479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hemlock"},A1479)),0)),"")</f>
        <v>Ponderosa pine (WA)</v>
      </c>
      <c r="C1479" t="str" cm="1">
        <f t="array" ref="C1479">IFERROR(INDEX({"Ridgetop","Other"},MATCH(TRUE,ISNUMBER(SEARCH({"Ridgetop","Other"},A1479)),0)),"")</f>
        <v>Other</v>
      </c>
      <c r="D1479" t="str" cm="1">
        <f t="array" ref="D1479">IFERROR(INDEX({"Small","Medium","Large"},MATCH(TRUE,ISNUMBER(SEARCH({"Small","Medium","Large"},A1479)),0)),"")</f>
        <v>Large</v>
      </c>
      <c r="E1479" t="str">
        <f t="shared" si="23"/>
        <v>0.027</v>
      </c>
    </row>
    <row r="1480" spans="1:5" x14ac:dyDescent="0.3">
      <c r="A1480" t="s">
        <v>1478</v>
      </c>
      <c r="B1480" t="str" cm="1">
        <f t="array" ref="B1480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hemlock"},A1480)),0)),"")</f>
        <v>Ponderosa pine (WA)</v>
      </c>
      <c r="C1480" t="str" cm="1">
        <f t="array" ref="C1480">IFERROR(INDEX({"Ridgetop","Other"},MATCH(TRUE,ISNUMBER(SEARCH({"Ridgetop","Other"},A1480)),0)),"")</f>
        <v>Other</v>
      </c>
      <c r="D1480" t="str" cm="1">
        <f t="array" ref="D1480">IFERROR(INDEX({"Small","Medium","Large"},MATCH(TRUE,ISNUMBER(SEARCH({"Small","Medium","Large"},A1480)),0)),"")</f>
        <v>Small</v>
      </c>
      <c r="E1480" t="str">
        <f t="shared" si="23"/>
        <v>0.172</v>
      </c>
    </row>
    <row r="1481" spans="1:5" x14ac:dyDescent="0.3">
      <c r="A1481" t="s">
        <v>1479</v>
      </c>
      <c r="B1481" t="str" cm="1">
        <f t="array" ref="B1481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hemlock"},A1481)),0)),"")</f>
        <v>Ponderosa pine (WA)</v>
      </c>
      <c r="C1481" t="str" cm="1">
        <f t="array" ref="C1481">IFERROR(INDEX({"Ridgetop","Other"},MATCH(TRUE,ISNUMBER(SEARCH({"Ridgetop","Other"},A1481)),0)),"")</f>
        <v>Other</v>
      </c>
      <c r="D1481" t="str" cm="1">
        <f t="array" ref="D1481">IFERROR(INDEX({"Small","Medium","Large"},MATCH(TRUE,ISNUMBER(SEARCH({"Small","Medium","Large"},A1481)),0)),"")</f>
        <v>Medium</v>
      </c>
      <c r="E1481" t="str">
        <f t="shared" si="23"/>
        <v>0.089</v>
      </c>
    </row>
    <row r="1482" spans="1:5" x14ac:dyDescent="0.3">
      <c r="A1482" t="s">
        <v>1480</v>
      </c>
      <c r="B1482" t="str" cm="1">
        <f t="array" ref="B1482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hemlock"},A1482)),0)),"")</f>
        <v>Ponderosa pine (WA)</v>
      </c>
      <c r="C1482" t="str" cm="1">
        <f t="array" ref="C1482">IFERROR(INDEX({"Ridgetop","Other"},MATCH(TRUE,ISNUMBER(SEARCH({"Ridgetop","Other"},A1482)),0)),"")</f>
        <v>Other</v>
      </c>
      <c r="D1482" t="str" cm="1">
        <f t="array" ref="D1482">IFERROR(INDEX({"Small","Medium","Large"},MATCH(TRUE,ISNUMBER(SEARCH({"Small","Medium","Large"},A1482)),0)),"")</f>
        <v>Large</v>
      </c>
      <c r="E1482" t="str">
        <f t="shared" si="23"/>
        <v>0.031</v>
      </c>
    </row>
    <row r="1483" spans="1:5" x14ac:dyDescent="0.3">
      <c r="A1483" t="s">
        <v>1481</v>
      </c>
      <c r="B1483" t="str" cm="1">
        <f t="array" ref="B1483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hemlock"},A1483)),0)),"")</f>
        <v>Ponderosa pine (WA)</v>
      </c>
      <c r="C1483" t="str" cm="1">
        <f t="array" ref="C1483">IFERROR(INDEX({"Ridgetop","Other"},MATCH(TRUE,ISNUMBER(SEARCH({"Ridgetop","Other"},A1483)),0)),"")</f>
        <v>Other</v>
      </c>
      <c r="D1483" t="str" cm="1">
        <f t="array" ref="D1483">IFERROR(INDEX({"Small","Medium","Large"},MATCH(TRUE,ISNUMBER(SEARCH({"Small","Medium","Large"},A1483)),0)),"")</f>
        <v>Small</v>
      </c>
      <c r="E1483" t="str">
        <f t="shared" si="23"/>
        <v>0.187</v>
      </c>
    </row>
    <row r="1484" spans="1:5" x14ac:dyDescent="0.3">
      <c r="A1484" t="s">
        <v>1482</v>
      </c>
      <c r="B1484" t="str" cm="1">
        <f t="array" ref="B1484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hemlock"},A1484)),0)),"")</f>
        <v>Ponderosa pine (WA)</v>
      </c>
      <c r="C1484" t="str" cm="1">
        <f t="array" ref="C1484">IFERROR(INDEX({"Ridgetop","Other"},MATCH(TRUE,ISNUMBER(SEARCH({"Ridgetop","Other"},A1484)),0)),"")</f>
        <v>Other</v>
      </c>
      <c r="D1484" t="str" cm="1">
        <f t="array" ref="D1484">IFERROR(INDEX({"Small","Medium","Large"},MATCH(TRUE,ISNUMBER(SEARCH({"Small","Medium","Large"},A1484)),0)),"")</f>
        <v>Medium</v>
      </c>
      <c r="E1484" t="str">
        <f t="shared" si="23"/>
        <v>0.097</v>
      </c>
    </row>
    <row r="1485" spans="1:5" x14ac:dyDescent="0.3">
      <c r="A1485" t="s">
        <v>1483</v>
      </c>
      <c r="B1485" t="str" cm="1">
        <f t="array" ref="B1485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hemlock"},A1485)),0)),"")</f>
        <v>Ponderosa pine (WA)</v>
      </c>
      <c r="C1485" t="str" cm="1">
        <f t="array" ref="C1485">IFERROR(INDEX({"Ridgetop","Other"},MATCH(TRUE,ISNUMBER(SEARCH({"Ridgetop","Other"},A1485)),0)),"")</f>
        <v>Other</v>
      </c>
      <c r="D1485" t="str" cm="1">
        <f t="array" ref="D1485">IFERROR(INDEX({"Small","Medium","Large"},MATCH(TRUE,ISNUMBER(SEARCH({"Small","Medium","Large"},A1485)),0)),"")</f>
        <v>Large</v>
      </c>
      <c r="E1485" t="str">
        <f t="shared" si="23"/>
        <v>0.034</v>
      </c>
    </row>
    <row r="1486" spans="1:5" x14ac:dyDescent="0.3">
      <c r="A1486" t="s">
        <v>1484</v>
      </c>
      <c r="B1486" t="str" cm="1">
        <f t="array" ref="B1486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hemlock"},A1486)),0)),"")</f>
        <v>Ponderosa pine (WA)</v>
      </c>
      <c r="C1486" t="str" cm="1">
        <f t="array" ref="C1486">IFERROR(INDEX({"Ridgetop","Other"},MATCH(TRUE,ISNUMBER(SEARCH({"Ridgetop","Other"},A1486)),0)),"")</f>
        <v>Ridgetop</v>
      </c>
      <c r="D1486" t="str" cm="1">
        <f t="array" ref="D1486">IFERROR(INDEX({"Small","Medium","Large"},MATCH(TRUE,ISNUMBER(SEARCH({"Small","Medium","Large"},A1486)),0)),"")</f>
        <v>Small</v>
      </c>
      <c r="E1486" t="str">
        <f t="shared" si="23"/>
        <v>0.289</v>
      </c>
    </row>
    <row r="1487" spans="1:5" x14ac:dyDescent="0.3">
      <c r="A1487" t="s">
        <v>1485</v>
      </c>
      <c r="B1487" t="str" cm="1">
        <f t="array" ref="B1487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hemlock"},A1487)),0)),"")</f>
        <v>Ponderosa pine (WA)</v>
      </c>
      <c r="C1487" t="str" cm="1">
        <f t="array" ref="C1487">IFERROR(INDEX({"Ridgetop","Other"},MATCH(TRUE,ISNUMBER(SEARCH({"Ridgetop","Other"},A1487)),0)),"")</f>
        <v>Ridgetop</v>
      </c>
      <c r="D1487" t="str" cm="1">
        <f t="array" ref="D1487">IFERROR(INDEX({"Small","Medium","Large"},MATCH(TRUE,ISNUMBER(SEARCH({"Small","Medium","Large"},A1487)),0)),"")</f>
        <v>Medium</v>
      </c>
      <c r="E1487" t="str">
        <f t="shared" si="23"/>
        <v>0.150</v>
      </c>
    </row>
    <row r="1488" spans="1:5" x14ac:dyDescent="0.3">
      <c r="A1488" t="s">
        <v>1486</v>
      </c>
      <c r="B1488" t="str" cm="1">
        <f t="array" ref="B1488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hemlock"},A1488)),0)),"")</f>
        <v>Ponderosa pine (WA)</v>
      </c>
      <c r="C1488" t="str" cm="1">
        <f t="array" ref="C1488">IFERROR(INDEX({"Ridgetop","Other"},MATCH(TRUE,ISNUMBER(SEARCH({"Ridgetop","Other"},A1488)),0)),"")</f>
        <v>Ridgetop</v>
      </c>
      <c r="D1488" t="str" cm="1">
        <f t="array" ref="D1488">IFERROR(INDEX({"Small","Medium","Large"},MATCH(TRUE,ISNUMBER(SEARCH({"Small","Medium","Large"},A1488)),0)),"")</f>
        <v>Large</v>
      </c>
      <c r="E1488" t="str">
        <f t="shared" si="23"/>
        <v>0.052</v>
      </c>
    </row>
    <row r="1489" spans="1:5" x14ac:dyDescent="0.3">
      <c r="A1489" t="s">
        <v>1487</v>
      </c>
      <c r="B1489" t="str" cm="1">
        <f t="array" ref="B1489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hemlock"},A1489)),0)),"")</f>
        <v>Ponderosa pine (WA)</v>
      </c>
      <c r="C1489" t="str" cm="1">
        <f t="array" ref="C1489">IFERROR(INDEX({"Ridgetop","Other"},MATCH(TRUE,ISNUMBER(SEARCH({"Ridgetop","Other"},A1489)),0)),"")</f>
        <v>Ridgetop</v>
      </c>
      <c r="D1489" t="str" cm="1">
        <f t="array" ref="D1489">IFERROR(INDEX({"Small","Medium","Large"},MATCH(TRUE,ISNUMBER(SEARCH({"Small","Medium","Large"},A1489)),0)),"")</f>
        <v>Small</v>
      </c>
      <c r="E1489" t="str">
        <f t="shared" si="23"/>
        <v>0.289</v>
      </c>
    </row>
    <row r="1490" spans="1:5" x14ac:dyDescent="0.3">
      <c r="A1490" t="s">
        <v>1488</v>
      </c>
      <c r="B1490" t="str" cm="1">
        <f t="array" ref="B1490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hemlock"},A1490)),0)),"")</f>
        <v>Ponderosa pine (WA)</v>
      </c>
      <c r="C1490" t="str" cm="1">
        <f t="array" ref="C1490">IFERROR(INDEX({"Ridgetop","Other"},MATCH(TRUE,ISNUMBER(SEARCH({"Ridgetop","Other"},A1490)),0)),"")</f>
        <v>Ridgetop</v>
      </c>
      <c r="D1490" t="str" cm="1">
        <f t="array" ref="D1490">IFERROR(INDEX({"Small","Medium","Large"},MATCH(TRUE,ISNUMBER(SEARCH({"Small","Medium","Large"},A1490)),0)),"")</f>
        <v>Medium</v>
      </c>
      <c r="E1490" t="str">
        <f t="shared" si="23"/>
        <v>0.150</v>
      </c>
    </row>
    <row r="1491" spans="1:5" x14ac:dyDescent="0.3">
      <c r="A1491" t="s">
        <v>1489</v>
      </c>
      <c r="B1491" t="str" cm="1">
        <f t="array" ref="B1491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hemlock"},A1491)),0)),"")</f>
        <v>Ponderosa pine (WA)</v>
      </c>
      <c r="C1491" t="str" cm="1">
        <f t="array" ref="C1491">IFERROR(INDEX({"Ridgetop","Other"},MATCH(TRUE,ISNUMBER(SEARCH({"Ridgetop","Other"},A1491)),0)),"")</f>
        <v>Ridgetop</v>
      </c>
      <c r="D1491" t="str" cm="1">
        <f t="array" ref="D1491">IFERROR(INDEX({"Small","Medium","Large"},MATCH(TRUE,ISNUMBER(SEARCH({"Small","Medium","Large"},A1491)),0)),"")</f>
        <v>Large</v>
      </c>
      <c r="E1491" t="str">
        <f t="shared" si="23"/>
        <v>0.052</v>
      </c>
    </row>
    <row r="1492" spans="1:5" x14ac:dyDescent="0.3">
      <c r="A1492" t="s">
        <v>1490</v>
      </c>
      <c r="B1492" t="str" cm="1">
        <f t="array" ref="B1492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hemlock"},A1492)),0)),"")</f>
        <v>Ponderosa pine (WA)</v>
      </c>
      <c r="C1492" t="str" cm="1">
        <f t="array" ref="C1492">IFERROR(INDEX({"Ridgetop","Other"},MATCH(TRUE,ISNUMBER(SEARCH({"Ridgetop","Other"},A1492)),0)),"")</f>
        <v>Ridgetop</v>
      </c>
      <c r="D1492" t="str" cm="1">
        <f t="array" ref="D1492">IFERROR(INDEX({"Small","Medium","Large"},MATCH(TRUE,ISNUMBER(SEARCH({"Small","Medium","Large"},A1492)),0)),"")</f>
        <v>Small</v>
      </c>
      <c r="E1492" t="str">
        <f t="shared" si="23"/>
        <v>0.296</v>
      </c>
    </row>
    <row r="1493" spans="1:5" x14ac:dyDescent="0.3">
      <c r="A1493" t="s">
        <v>1491</v>
      </c>
      <c r="B1493" t="str" cm="1">
        <f t="array" ref="B1493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hemlock"},A1493)),0)),"")</f>
        <v>Ponderosa pine (WA)</v>
      </c>
      <c r="C1493" t="str" cm="1">
        <f t="array" ref="C1493">IFERROR(INDEX({"Ridgetop","Other"},MATCH(TRUE,ISNUMBER(SEARCH({"Ridgetop","Other"},A1493)),0)),"")</f>
        <v>Ridgetop</v>
      </c>
      <c r="D1493" t="str" cm="1">
        <f t="array" ref="D1493">IFERROR(INDEX({"Small","Medium","Large"},MATCH(TRUE,ISNUMBER(SEARCH({"Small","Medium","Large"},A1493)),0)),"")</f>
        <v>Medium</v>
      </c>
      <c r="E1493" t="str">
        <f t="shared" si="23"/>
        <v>0.154</v>
      </c>
    </row>
    <row r="1494" spans="1:5" x14ac:dyDescent="0.3">
      <c r="A1494" t="s">
        <v>1492</v>
      </c>
      <c r="B1494" t="str" cm="1">
        <f t="array" ref="B1494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hemlock"},A1494)),0)),"")</f>
        <v>Ponderosa pine (WA)</v>
      </c>
      <c r="C1494" t="str" cm="1">
        <f t="array" ref="C1494">IFERROR(INDEX({"Ridgetop","Other"},MATCH(TRUE,ISNUMBER(SEARCH({"Ridgetop","Other"},A1494)),0)),"")</f>
        <v>Ridgetop</v>
      </c>
      <c r="D1494" t="str" cm="1">
        <f t="array" ref="D1494">IFERROR(INDEX({"Small","Medium","Large"},MATCH(TRUE,ISNUMBER(SEARCH({"Small","Medium","Large"},A1494)),0)),"")</f>
        <v>Large</v>
      </c>
      <c r="E1494" t="str">
        <f t="shared" si="23"/>
        <v>0.053</v>
      </c>
    </row>
    <row r="1495" spans="1:5" x14ac:dyDescent="0.3">
      <c r="A1495" t="s">
        <v>1493</v>
      </c>
      <c r="B1495" t="str" cm="1">
        <f t="array" ref="B1495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hemlock"},A1495)),0)),"")</f>
        <v>Ponderosa pine (WA)</v>
      </c>
      <c r="C1495" t="str" cm="1">
        <f t="array" ref="C1495">IFERROR(INDEX({"Ridgetop","Other"},MATCH(TRUE,ISNUMBER(SEARCH({"Ridgetop","Other"},A1495)),0)),"")</f>
        <v>Other</v>
      </c>
      <c r="D1495" t="str" cm="1">
        <f t="array" ref="D1495">IFERROR(INDEX({"Small","Medium","Large"},MATCH(TRUE,ISNUMBER(SEARCH({"Small","Medium","Large"},A1495)),0)),"")</f>
        <v>Small</v>
      </c>
      <c r="E1495" t="str">
        <f t="shared" si="23"/>
        <v>0.172</v>
      </c>
    </row>
    <row r="1496" spans="1:5" x14ac:dyDescent="0.3">
      <c r="A1496" t="s">
        <v>1494</v>
      </c>
      <c r="B1496" t="str" cm="1">
        <f t="array" ref="B1496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hemlock"},A1496)),0)),"")</f>
        <v>Ponderosa pine (WA)</v>
      </c>
      <c r="C1496" t="str" cm="1">
        <f t="array" ref="C1496">IFERROR(INDEX({"Ridgetop","Other"},MATCH(TRUE,ISNUMBER(SEARCH({"Ridgetop","Other"},A1496)),0)),"")</f>
        <v>Other</v>
      </c>
      <c r="D1496" t="str" cm="1">
        <f t="array" ref="D1496">IFERROR(INDEX({"Small","Medium","Large"},MATCH(TRUE,ISNUMBER(SEARCH({"Small","Medium","Large"},A1496)),0)),"")</f>
        <v>Medium</v>
      </c>
      <c r="E1496" t="str">
        <f t="shared" si="23"/>
        <v>0.089</v>
      </c>
    </row>
    <row r="1497" spans="1:5" x14ac:dyDescent="0.3">
      <c r="A1497" t="s">
        <v>1495</v>
      </c>
      <c r="B1497" t="str" cm="1">
        <f t="array" ref="B1497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hemlock"},A1497)),0)),"")</f>
        <v>Ponderosa pine (WA)</v>
      </c>
      <c r="C1497" t="str" cm="1">
        <f t="array" ref="C1497">IFERROR(INDEX({"Ridgetop","Other"},MATCH(TRUE,ISNUMBER(SEARCH({"Ridgetop","Other"},A1497)),0)),"")</f>
        <v>Other</v>
      </c>
      <c r="D1497" t="str" cm="1">
        <f t="array" ref="D1497">IFERROR(INDEX({"Small","Medium","Large"},MATCH(TRUE,ISNUMBER(SEARCH({"Small","Medium","Large"},A1497)),0)),"")</f>
        <v>Large</v>
      </c>
      <c r="E1497" t="str">
        <f t="shared" si="23"/>
        <v>0.031</v>
      </c>
    </row>
    <row r="1498" spans="1:5" x14ac:dyDescent="0.3">
      <c r="A1498" t="s">
        <v>1496</v>
      </c>
      <c r="B1498" t="str" cm="1">
        <f t="array" ref="B1498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hemlock"},A1498)),0)),"")</f>
        <v>Ponderosa pine (WA)</v>
      </c>
      <c r="C1498" t="str" cm="1">
        <f t="array" ref="C1498">IFERROR(INDEX({"Ridgetop","Other"},MATCH(TRUE,ISNUMBER(SEARCH({"Ridgetop","Other"},A1498)),0)),"")</f>
        <v>Other</v>
      </c>
      <c r="D1498" t="str" cm="1">
        <f t="array" ref="D1498">IFERROR(INDEX({"Small","Medium","Large"},MATCH(TRUE,ISNUMBER(SEARCH({"Small","Medium","Large"},A1498)),0)),"")</f>
        <v>Small</v>
      </c>
      <c r="E1498" t="str">
        <f t="shared" si="23"/>
        <v>0.187</v>
      </c>
    </row>
    <row r="1499" spans="1:5" x14ac:dyDescent="0.3">
      <c r="A1499" t="s">
        <v>1497</v>
      </c>
      <c r="B1499" t="str" cm="1">
        <f t="array" ref="B1499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hemlock"},A1499)),0)),"")</f>
        <v>Ponderosa pine (WA)</v>
      </c>
      <c r="C1499" t="str" cm="1">
        <f t="array" ref="C1499">IFERROR(INDEX({"Ridgetop","Other"},MATCH(TRUE,ISNUMBER(SEARCH({"Ridgetop","Other"},A1499)),0)),"")</f>
        <v>Other</v>
      </c>
      <c r="D1499" t="str" cm="1">
        <f t="array" ref="D1499">IFERROR(INDEX({"Small","Medium","Large"},MATCH(TRUE,ISNUMBER(SEARCH({"Small","Medium","Large"},A1499)),0)),"")</f>
        <v>Medium</v>
      </c>
      <c r="E1499" t="str">
        <f t="shared" si="23"/>
        <v>0.097</v>
      </c>
    </row>
    <row r="1500" spans="1:5" x14ac:dyDescent="0.3">
      <c r="A1500" t="s">
        <v>1498</v>
      </c>
      <c r="B1500" t="str" cm="1">
        <f t="array" ref="B1500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hemlock"},A1500)),0)),"")</f>
        <v>Ponderosa pine (WA)</v>
      </c>
      <c r="C1500" t="str" cm="1">
        <f t="array" ref="C1500">IFERROR(INDEX({"Ridgetop","Other"},MATCH(TRUE,ISNUMBER(SEARCH({"Ridgetop","Other"},A1500)),0)),"")</f>
        <v>Other</v>
      </c>
      <c r="D1500" t="str" cm="1">
        <f t="array" ref="D1500">IFERROR(INDEX({"Small","Medium","Large"},MATCH(TRUE,ISNUMBER(SEARCH({"Small","Medium","Large"},A1500)),0)),"")</f>
        <v>Large</v>
      </c>
      <c r="E1500" t="str">
        <f t="shared" si="23"/>
        <v>0.034</v>
      </c>
    </row>
    <row r="1501" spans="1:5" x14ac:dyDescent="0.3">
      <c r="A1501" t="s">
        <v>1499</v>
      </c>
      <c r="B1501" t="str" cm="1">
        <f t="array" ref="B1501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hemlock"},A1501)),0)),"")</f>
        <v>Ponderosa pine (WA)</v>
      </c>
      <c r="C1501" t="str" cm="1">
        <f t="array" ref="C1501">IFERROR(INDEX({"Ridgetop","Other"},MATCH(TRUE,ISNUMBER(SEARCH({"Ridgetop","Other"},A1501)),0)),"")</f>
        <v>Other</v>
      </c>
      <c r="D1501" t="str" cm="1">
        <f t="array" ref="D1501">IFERROR(INDEX({"Small","Medium","Large"},MATCH(TRUE,ISNUMBER(SEARCH({"Small","Medium","Large"},A1501)),0)),"")</f>
        <v>Small</v>
      </c>
      <c r="E1501" t="str">
        <f t="shared" si="23"/>
        <v>0.187</v>
      </c>
    </row>
    <row r="1502" spans="1:5" x14ac:dyDescent="0.3">
      <c r="A1502" t="s">
        <v>1500</v>
      </c>
      <c r="B1502" t="str" cm="1">
        <f t="array" ref="B1502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hemlock"},A1502)),0)),"")</f>
        <v>Ponderosa pine (WA)</v>
      </c>
      <c r="C1502" t="str" cm="1">
        <f t="array" ref="C1502">IFERROR(INDEX({"Ridgetop","Other"},MATCH(TRUE,ISNUMBER(SEARCH({"Ridgetop","Other"},A1502)),0)),"")</f>
        <v>Other</v>
      </c>
      <c r="D1502" t="str" cm="1">
        <f t="array" ref="D1502">IFERROR(INDEX({"Small","Medium","Large"},MATCH(TRUE,ISNUMBER(SEARCH({"Small","Medium","Large"},A1502)),0)),"")</f>
        <v>Medium</v>
      </c>
      <c r="E1502" t="str">
        <f t="shared" si="23"/>
        <v>0.097</v>
      </c>
    </row>
    <row r="1503" spans="1:5" x14ac:dyDescent="0.3">
      <c r="A1503" t="s">
        <v>1501</v>
      </c>
      <c r="B1503" t="str" cm="1">
        <f t="array" ref="B1503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hemlock"},A1503)),0)),"")</f>
        <v>Ponderosa pine (WA)</v>
      </c>
      <c r="C1503" t="str" cm="1">
        <f t="array" ref="C1503">IFERROR(INDEX({"Ridgetop","Other"},MATCH(TRUE,ISNUMBER(SEARCH({"Ridgetop","Other"},A1503)),0)),"")</f>
        <v>Other</v>
      </c>
      <c r="D1503" t="str" cm="1">
        <f t="array" ref="D1503">IFERROR(INDEX({"Small","Medium","Large"},MATCH(TRUE,ISNUMBER(SEARCH({"Small","Medium","Large"},A1503)),0)),"")</f>
        <v>Large</v>
      </c>
      <c r="E1503" t="str">
        <f t="shared" si="23"/>
        <v>0.034</v>
      </c>
    </row>
    <row r="1504" spans="1:5" x14ac:dyDescent="0.3">
      <c r="A1504" t="s">
        <v>1502</v>
      </c>
      <c r="B1504" t="str" cm="1">
        <f t="array" ref="B1504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hemlock"},A1504)),0)),"")</f>
        <v>Ponderosa pine (WA)</v>
      </c>
      <c r="C1504" t="str" cm="1">
        <f t="array" ref="C1504">IFERROR(INDEX({"Ridgetop","Other"},MATCH(TRUE,ISNUMBER(SEARCH({"Ridgetop","Other"},A1504)),0)),"")</f>
        <v>Ridgetop</v>
      </c>
      <c r="D1504" t="str" cm="1">
        <f t="array" ref="D1504">IFERROR(INDEX({"Small","Medium","Large"},MATCH(TRUE,ISNUMBER(SEARCH({"Small","Medium","Large"},A1504)),0)),"")</f>
        <v>Small</v>
      </c>
      <c r="E1504" t="str">
        <f t="shared" si="23"/>
        <v>0.312</v>
      </c>
    </row>
    <row r="1505" spans="1:5" x14ac:dyDescent="0.3">
      <c r="A1505" t="s">
        <v>1503</v>
      </c>
      <c r="B1505" t="str" cm="1">
        <f t="array" ref="B1505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hemlock"},A1505)),0)),"")</f>
        <v>Ponderosa pine (WA)</v>
      </c>
      <c r="C1505" t="str" cm="1">
        <f t="array" ref="C1505">IFERROR(INDEX({"Ridgetop","Other"},MATCH(TRUE,ISNUMBER(SEARCH({"Ridgetop","Other"},A1505)),0)),"")</f>
        <v>Ridgetop</v>
      </c>
      <c r="D1505" t="str" cm="1">
        <f t="array" ref="D1505">IFERROR(INDEX({"Small","Medium","Large"},MATCH(TRUE,ISNUMBER(SEARCH({"Small","Medium","Large"},A1505)),0)),"")</f>
        <v>Medium</v>
      </c>
      <c r="E1505" t="str">
        <f t="shared" si="23"/>
        <v>0.162</v>
      </c>
    </row>
    <row r="1506" spans="1:5" x14ac:dyDescent="0.3">
      <c r="A1506" t="s">
        <v>1504</v>
      </c>
      <c r="B1506" t="str" cm="1">
        <f t="array" ref="B1506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hemlock"},A1506)),0)),"")</f>
        <v>Ponderosa pine (WA)</v>
      </c>
      <c r="C1506" t="str" cm="1">
        <f t="array" ref="C1506">IFERROR(INDEX({"Ridgetop","Other"},MATCH(TRUE,ISNUMBER(SEARCH({"Ridgetop","Other"},A1506)),0)),"")</f>
        <v>Ridgetop</v>
      </c>
      <c r="D1506" t="str" cm="1">
        <f t="array" ref="D1506">IFERROR(INDEX({"Small","Medium","Large"},MATCH(TRUE,ISNUMBER(SEARCH({"Small","Medium","Large"},A1506)),0)),"")</f>
        <v>Large</v>
      </c>
      <c r="E1506" t="str">
        <f t="shared" si="23"/>
        <v>0.056</v>
      </c>
    </row>
    <row r="1507" spans="1:5" x14ac:dyDescent="0.3">
      <c r="A1507" t="s">
        <v>1505</v>
      </c>
      <c r="B1507" t="str" cm="1">
        <f t="array" ref="B1507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hemlock"},A1507)),0)),"")</f>
        <v>Ponderosa pine (WA)</v>
      </c>
      <c r="C1507" t="str" cm="1">
        <f t="array" ref="C1507">IFERROR(INDEX({"Ridgetop","Other"},MATCH(TRUE,ISNUMBER(SEARCH({"Ridgetop","Other"},A1507)),0)),"")</f>
        <v>Ridgetop</v>
      </c>
      <c r="D1507" t="str" cm="1">
        <f t="array" ref="D1507">IFERROR(INDEX({"Small","Medium","Large"},MATCH(TRUE,ISNUMBER(SEARCH({"Small","Medium","Large"},A1507)),0)),"")</f>
        <v>Small</v>
      </c>
      <c r="E1507" t="str">
        <f t="shared" si="23"/>
        <v>0.312</v>
      </c>
    </row>
    <row r="1508" spans="1:5" x14ac:dyDescent="0.3">
      <c r="A1508" t="s">
        <v>1506</v>
      </c>
      <c r="B1508" t="str" cm="1">
        <f t="array" ref="B1508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hemlock"},A1508)),0)),"")</f>
        <v>Ponderosa pine (WA)</v>
      </c>
      <c r="C1508" t="str" cm="1">
        <f t="array" ref="C1508">IFERROR(INDEX({"Ridgetop","Other"},MATCH(TRUE,ISNUMBER(SEARCH({"Ridgetop","Other"},A1508)),0)),"")</f>
        <v>Ridgetop</v>
      </c>
      <c r="D1508" t="str" cm="1">
        <f t="array" ref="D1508">IFERROR(INDEX({"Small","Medium","Large"},MATCH(TRUE,ISNUMBER(SEARCH({"Small","Medium","Large"},A1508)),0)),"")</f>
        <v>Medium</v>
      </c>
      <c r="E1508" t="str">
        <f t="shared" si="23"/>
        <v>0.162</v>
      </c>
    </row>
    <row r="1509" spans="1:5" x14ac:dyDescent="0.3">
      <c r="A1509" t="s">
        <v>1507</v>
      </c>
      <c r="B1509" t="str" cm="1">
        <f t="array" ref="B1509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hemlock"},A1509)),0)),"")</f>
        <v>Ponderosa pine (WA)</v>
      </c>
      <c r="C1509" t="str" cm="1">
        <f t="array" ref="C1509">IFERROR(INDEX({"Ridgetop","Other"},MATCH(TRUE,ISNUMBER(SEARCH({"Ridgetop","Other"},A1509)),0)),"")</f>
        <v>Ridgetop</v>
      </c>
      <c r="D1509" t="str" cm="1">
        <f t="array" ref="D1509">IFERROR(INDEX({"Small","Medium","Large"},MATCH(TRUE,ISNUMBER(SEARCH({"Small","Medium","Large"},A1509)),0)),"")</f>
        <v>Large</v>
      </c>
      <c r="E1509" t="str">
        <f t="shared" si="23"/>
        <v>0.056</v>
      </c>
    </row>
    <row r="1510" spans="1:5" x14ac:dyDescent="0.3">
      <c r="A1510" t="s">
        <v>1508</v>
      </c>
      <c r="B1510" t="str" cm="1">
        <f t="array" ref="B1510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hemlock"},A1510)),0)),"")</f>
        <v>Ponderosa pine (WA)</v>
      </c>
      <c r="C1510" t="str" cm="1">
        <f t="array" ref="C1510">IFERROR(INDEX({"Ridgetop","Other"},MATCH(TRUE,ISNUMBER(SEARCH({"Ridgetop","Other"},A1510)),0)),"")</f>
        <v>Ridgetop</v>
      </c>
      <c r="D1510" t="str" cm="1">
        <f t="array" ref="D1510">IFERROR(INDEX({"Small","Medium","Large"},MATCH(TRUE,ISNUMBER(SEARCH({"Small","Medium","Large"},A1510)),0)),"")</f>
        <v>Small</v>
      </c>
      <c r="E1510" t="str">
        <f t="shared" si="23"/>
        <v>0.312</v>
      </c>
    </row>
    <row r="1511" spans="1:5" x14ac:dyDescent="0.3">
      <c r="A1511" t="s">
        <v>1509</v>
      </c>
      <c r="B1511" t="str" cm="1">
        <f t="array" ref="B1511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hemlock"},A1511)),0)),"")</f>
        <v>Ponderosa pine (WA)</v>
      </c>
      <c r="C1511" t="str" cm="1">
        <f t="array" ref="C1511">IFERROR(INDEX({"Ridgetop","Other"},MATCH(TRUE,ISNUMBER(SEARCH({"Ridgetop","Other"},A1511)),0)),"")</f>
        <v>Ridgetop</v>
      </c>
      <c r="D1511" t="str" cm="1">
        <f t="array" ref="D1511">IFERROR(INDEX({"Small","Medium","Large"},MATCH(TRUE,ISNUMBER(SEARCH({"Small","Medium","Large"},A1511)),0)),"")</f>
        <v>Medium</v>
      </c>
      <c r="E1511" t="str">
        <f t="shared" si="23"/>
        <v>0.162</v>
      </c>
    </row>
    <row r="1512" spans="1:5" x14ac:dyDescent="0.3">
      <c r="A1512" t="s">
        <v>1510</v>
      </c>
      <c r="B1512" t="str" cm="1">
        <f t="array" ref="B1512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hemlock"},A1512)),0)),"")</f>
        <v>Ponderosa pine (WA)</v>
      </c>
      <c r="C1512" t="str" cm="1">
        <f t="array" ref="C1512">IFERROR(INDEX({"Ridgetop","Other"},MATCH(TRUE,ISNUMBER(SEARCH({"Ridgetop","Other"},A1512)),0)),"")</f>
        <v>Ridgetop</v>
      </c>
      <c r="D1512" t="str" cm="1">
        <f t="array" ref="D1512">IFERROR(INDEX({"Small","Medium","Large"},MATCH(TRUE,ISNUMBER(SEARCH({"Small","Medium","Large"},A1512)),0)),"")</f>
        <v>Large</v>
      </c>
      <c r="E1512" t="str">
        <f t="shared" si="23"/>
        <v>0.056</v>
      </c>
    </row>
    <row r="1513" spans="1:5" x14ac:dyDescent="0.3">
      <c r="A1513" t="s">
        <v>1511</v>
      </c>
      <c r="B1513" t="str" cm="1">
        <f t="array" ref="B1513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hemlock"},A1513)),0)),"")</f>
        <v>Pacific silver fir (OR)</v>
      </c>
      <c r="C1513" t="str" cm="1">
        <f t="array" ref="C1513">IFERROR(INDEX({"Ridgetop","Other"},MATCH(TRUE,ISNUMBER(SEARCH({"Ridgetop","Other"},A1513)),0)),"")</f>
        <v>Other</v>
      </c>
      <c r="D1513" t="str" cm="1">
        <f t="array" ref="D1513">IFERROR(INDEX({"Small","Medium","Large"},MATCH(TRUE,ISNUMBER(SEARCH({"Small","Medium","Large"},A1513)),0)),"")</f>
        <v>Small</v>
      </c>
      <c r="E1513" t="str">
        <f t="shared" si="23"/>
        <v>0.067</v>
      </c>
    </row>
    <row r="1514" spans="1:5" x14ac:dyDescent="0.3">
      <c r="A1514" t="s">
        <v>1512</v>
      </c>
      <c r="B1514" t="str" cm="1">
        <f t="array" ref="B1514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hemlock"},A1514)),0)),"")</f>
        <v>Pacific silver fir (OR)</v>
      </c>
      <c r="C1514" t="str" cm="1">
        <f t="array" ref="C1514">IFERROR(INDEX({"Ridgetop","Other"},MATCH(TRUE,ISNUMBER(SEARCH({"Ridgetop","Other"},A1514)),0)),"")</f>
        <v>Other</v>
      </c>
      <c r="D1514" t="str" cm="1">
        <f t="array" ref="D1514">IFERROR(INDEX({"Small","Medium","Large"},MATCH(TRUE,ISNUMBER(SEARCH({"Small","Medium","Large"},A1514)),0)),"")</f>
        <v>Medium</v>
      </c>
      <c r="E1514" t="str">
        <f t="shared" si="23"/>
        <v>0.038</v>
      </c>
    </row>
    <row r="1515" spans="1:5" x14ac:dyDescent="0.3">
      <c r="A1515" t="s">
        <v>1513</v>
      </c>
      <c r="B1515" t="str" cm="1">
        <f t="array" ref="B1515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hemlock"},A1515)),0)),"")</f>
        <v>Pacific silver fir (OR)</v>
      </c>
      <c r="C1515" t="str" cm="1">
        <f t="array" ref="C1515">IFERROR(INDEX({"Ridgetop","Other"},MATCH(TRUE,ISNUMBER(SEARCH({"Ridgetop","Other"},A1515)),0)),"")</f>
        <v>Other</v>
      </c>
      <c r="D1515" t="str" cm="1">
        <f t="array" ref="D1515">IFERROR(INDEX({"Small","Medium","Large"},MATCH(TRUE,ISNUMBER(SEARCH({"Small","Medium","Large"},A1515)),0)),"")</f>
        <v>Large</v>
      </c>
      <c r="E1515" t="str">
        <f t="shared" si="23"/>
        <v>0.017</v>
      </c>
    </row>
    <row r="1516" spans="1:5" x14ac:dyDescent="0.3">
      <c r="A1516" t="s">
        <v>1514</v>
      </c>
      <c r="B1516" t="str" cm="1">
        <f t="array" ref="B1516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hemlock"},A1516)),0)),"")</f>
        <v>Pacific silver fir (OR)</v>
      </c>
      <c r="C1516" t="str" cm="1">
        <f t="array" ref="C1516">IFERROR(INDEX({"Ridgetop","Other"},MATCH(TRUE,ISNUMBER(SEARCH({"Ridgetop","Other"},A1516)),0)),"")</f>
        <v>Other</v>
      </c>
      <c r="D1516" t="str" cm="1">
        <f t="array" ref="D1516">IFERROR(INDEX({"Small","Medium","Large"},MATCH(TRUE,ISNUMBER(SEARCH({"Small","Medium","Large"},A1516)),0)),"")</f>
        <v>Small</v>
      </c>
      <c r="E1516" t="str">
        <f t="shared" si="23"/>
        <v>0.075</v>
      </c>
    </row>
    <row r="1517" spans="1:5" x14ac:dyDescent="0.3">
      <c r="A1517" t="s">
        <v>1515</v>
      </c>
      <c r="B1517" t="str" cm="1">
        <f t="array" ref="B1517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hemlock"},A1517)),0)),"")</f>
        <v>Pacific silver fir (OR)</v>
      </c>
      <c r="C1517" t="str" cm="1">
        <f t="array" ref="C1517">IFERROR(INDEX({"Ridgetop","Other"},MATCH(TRUE,ISNUMBER(SEARCH({"Ridgetop","Other"},A1517)),0)),"")</f>
        <v>Other</v>
      </c>
      <c r="D1517" t="str" cm="1">
        <f t="array" ref="D1517">IFERROR(INDEX({"Small","Medium","Large"},MATCH(TRUE,ISNUMBER(SEARCH({"Small","Medium","Large"},A1517)),0)),"")</f>
        <v>Medium</v>
      </c>
      <c r="E1517" t="str">
        <f t="shared" si="23"/>
        <v>0.042</v>
      </c>
    </row>
    <row r="1518" spans="1:5" x14ac:dyDescent="0.3">
      <c r="A1518" t="s">
        <v>1516</v>
      </c>
      <c r="B1518" t="str" cm="1">
        <f t="array" ref="B1518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hemlock"},A1518)),0)),"")</f>
        <v>Pacific silver fir (OR)</v>
      </c>
      <c r="C1518" t="str" cm="1">
        <f t="array" ref="C1518">IFERROR(INDEX({"Ridgetop","Other"},MATCH(TRUE,ISNUMBER(SEARCH({"Ridgetop","Other"},A1518)),0)),"")</f>
        <v>Other</v>
      </c>
      <c r="D1518" t="str" cm="1">
        <f t="array" ref="D1518">IFERROR(INDEX({"Small","Medium","Large"},MATCH(TRUE,ISNUMBER(SEARCH({"Small","Medium","Large"},A1518)),0)),"")</f>
        <v>Large</v>
      </c>
      <c r="E1518" t="str">
        <f t="shared" si="23"/>
        <v>0.019</v>
      </c>
    </row>
    <row r="1519" spans="1:5" x14ac:dyDescent="0.3">
      <c r="A1519" t="s">
        <v>1517</v>
      </c>
      <c r="B1519" t="str" cm="1">
        <f t="array" ref="B1519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hemlock"},A1519)),0)),"")</f>
        <v>Pacific silver fir (OR)</v>
      </c>
      <c r="C1519" t="str" cm="1">
        <f t="array" ref="C1519">IFERROR(INDEX({"Ridgetop","Other"},MATCH(TRUE,ISNUMBER(SEARCH({"Ridgetop","Other"},A1519)),0)),"")</f>
        <v>Other</v>
      </c>
      <c r="D1519" t="str" cm="1">
        <f t="array" ref="D1519">IFERROR(INDEX({"Small","Medium","Large"},MATCH(TRUE,ISNUMBER(SEARCH({"Small","Medium","Large"},A1519)),0)),"")</f>
        <v>Small</v>
      </c>
      <c r="E1519" t="str">
        <f t="shared" si="23"/>
        <v>0.092</v>
      </c>
    </row>
    <row r="1520" spans="1:5" x14ac:dyDescent="0.3">
      <c r="A1520" t="s">
        <v>1518</v>
      </c>
      <c r="B1520" t="str" cm="1">
        <f t="array" ref="B1520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hemlock"},A1520)),0)),"")</f>
        <v>Pacific silver fir (OR)</v>
      </c>
      <c r="C1520" t="str" cm="1">
        <f t="array" ref="C1520">IFERROR(INDEX({"Ridgetop","Other"},MATCH(TRUE,ISNUMBER(SEARCH({"Ridgetop","Other"},A1520)),0)),"")</f>
        <v>Other</v>
      </c>
      <c r="D1520" t="str" cm="1">
        <f t="array" ref="D1520">IFERROR(INDEX({"Small","Medium","Large"},MATCH(TRUE,ISNUMBER(SEARCH({"Small","Medium","Large"},A1520)),0)),"")</f>
        <v>Medium</v>
      </c>
      <c r="E1520" t="str">
        <f t="shared" si="23"/>
        <v>0.052</v>
      </c>
    </row>
    <row r="1521" spans="1:5" x14ac:dyDescent="0.3">
      <c r="A1521" t="s">
        <v>1519</v>
      </c>
      <c r="B1521" t="str" cm="1">
        <f t="array" ref="B1521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hemlock"},A1521)),0)),"")</f>
        <v>Pacific silver fir (OR)</v>
      </c>
      <c r="C1521" t="str" cm="1">
        <f t="array" ref="C1521">IFERROR(INDEX({"Ridgetop","Other"},MATCH(TRUE,ISNUMBER(SEARCH({"Ridgetop","Other"},A1521)),0)),"")</f>
        <v>Other</v>
      </c>
      <c r="D1521" t="str" cm="1">
        <f t="array" ref="D1521">IFERROR(INDEX({"Small","Medium","Large"},MATCH(TRUE,ISNUMBER(SEARCH({"Small","Medium","Large"},A1521)),0)),"")</f>
        <v>Large</v>
      </c>
      <c r="E1521" t="str">
        <f t="shared" si="23"/>
        <v>0.023</v>
      </c>
    </row>
    <row r="1522" spans="1:5" x14ac:dyDescent="0.3">
      <c r="A1522" t="s">
        <v>1520</v>
      </c>
      <c r="B1522" t="str" cm="1">
        <f t="array" ref="B1522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hemlock"},A1522)),0)),"")</f>
        <v>Pacific silver fir (OR)</v>
      </c>
      <c r="C1522" t="str" cm="1">
        <f t="array" ref="C1522">IFERROR(INDEX({"Ridgetop","Other"},MATCH(TRUE,ISNUMBER(SEARCH({"Ridgetop","Other"},A1522)),0)),"")</f>
        <v>Ridgetop</v>
      </c>
      <c r="D1522" t="str" cm="1">
        <f t="array" ref="D1522">IFERROR(INDEX({"Small","Medium","Large"},MATCH(TRUE,ISNUMBER(SEARCH({"Small","Medium","Large"},A1522)),0)),"")</f>
        <v>Small</v>
      </c>
      <c r="E1522" t="str">
        <f t="shared" si="23"/>
        <v>0.119</v>
      </c>
    </row>
    <row r="1523" spans="1:5" x14ac:dyDescent="0.3">
      <c r="A1523" t="s">
        <v>1521</v>
      </c>
      <c r="B1523" t="str" cm="1">
        <f t="array" ref="B1523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hemlock"},A1523)),0)),"")</f>
        <v>Pacific silver fir (OR)</v>
      </c>
      <c r="C1523" t="str" cm="1">
        <f t="array" ref="C1523">IFERROR(INDEX({"Ridgetop","Other"},MATCH(TRUE,ISNUMBER(SEARCH({"Ridgetop","Other"},A1523)),0)),"")</f>
        <v>Ridgetop</v>
      </c>
      <c r="D1523" t="str" cm="1">
        <f t="array" ref="D1523">IFERROR(INDEX({"Small","Medium","Large"},MATCH(TRUE,ISNUMBER(SEARCH({"Small","Medium","Large"},A1523)),0)),"")</f>
        <v>Medium</v>
      </c>
      <c r="E1523" t="str">
        <f t="shared" si="23"/>
        <v>0.067</v>
      </c>
    </row>
    <row r="1524" spans="1:5" x14ac:dyDescent="0.3">
      <c r="A1524" t="s">
        <v>1522</v>
      </c>
      <c r="B1524" t="str" cm="1">
        <f t="array" ref="B1524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hemlock"},A1524)),0)),"")</f>
        <v>Pacific silver fir (OR)</v>
      </c>
      <c r="C1524" t="str" cm="1">
        <f t="array" ref="C1524">IFERROR(INDEX({"Ridgetop","Other"},MATCH(TRUE,ISNUMBER(SEARCH({"Ridgetop","Other"},A1524)),0)),"")</f>
        <v>Ridgetop</v>
      </c>
      <c r="D1524" t="str" cm="1">
        <f t="array" ref="D1524">IFERROR(INDEX({"Small","Medium","Large"},MATCH(TRUE,ISNUMBER(SEARCH({"Small","Medium","Large"},A1524)),0)),"")</f>
        <v>Large</v>
      </c>
      <c r="E1524" t="str">
        <f t="shared" si="23"/>
        <v>0.029</v>
      </c>
    </row>
    <row r="1525" spans="1:5" x14ac:dyDescent="0.3">
      <c r="A1525" t="s">
        <v>1523</v>
      </c>
      <c r="B1525" t="str" cm="1">
        <f t="array" ref="B1525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hemlock"},A1525)),0)),"")</f>
        <v>Pacific silver fir (OR)</v>
      </c>
      <c r="C1525" t="str" cm="1">
        <f t="array" ref="C1525">IFERROR(INDEX({"Ridgetop","Other"},MATCH(TRUE,ISNUMBER(SEARCH({"Ridgetop","Other"},A1525)),0)),"")</f>
        <v>Ridgetop</v>
      </c>
      <c r="D1525" t="str" cm="1">
        <f t="array" ref="D1525">IFERROR(INDEX({"Small","Medium","Large"},MATCH(TRUE,ISNUMBER(SEARCH({"Small","Medium","Large"},A1525)),0)),"")</f>
        <v>Small</v>
      </c>
      <c r="E1525" t="str">
        <f t="shared" si="23"/>
        <v>0.123</v>
      </c>
    </row>
    <row r="1526" spans="1:5" x14ac:dyDescent="0.3">
      <c r="A1526" t="s">
        <v>1524</v>
      </c>
      <c r="B1526" t="str" cm="1">
        <f t="array" ref="B1526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hemlock"},A1526)),0)),"")</f>
        <v>Pacific silver fir (OR)</v>
      </c>
      <c r="C1526" t="str" cm="1">
        <f t="array" ref="C1526">IFERROR(INDEX({"Ridgetop","Other"},MATCH(TRUE,ISNUMBER(SEARCH({"Ridgetop","Other"},A1526)),0)),"")</f>
        <v>Ridgetop</v>
      </c>
      <c r="D1526" t="str" cm="1">
        <f t="array" ref="D1526">IFERROR(INDEX({"Small","Medium","Large"},MATCH(TRUE,ISNUMBER(SEARCH({"Small","Medium","Large"},A1526)),0)),"")</f>
        <v>Medium</v>
      </c>
      <c r="E1526" t="str">
        <f t="shared" si="23"/>
        <v>0.069</v>
      </c>
    </row>
    <row r="1527" spans="1:5" x14ac:dyDescent="0.3">
      <c r="A1527" t="s">
        <v>1525</v>
      </c>
      <c r="B1527" t="str" cm="1">
        <f t="array" ref="B1527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hemlock"},A1527)),0)),"")</f>
        <v>Pacific silver fir (OR)</v>
      </c>
      <c r="C1527" t="str" cm="1">
        <f t="array" ref="C1527">IFERROR(INDEX({"Ridgetop","Other"},MATCH(TRUE,ISNUMBER(SEARCH({"Ridgetop","Other"},A1527)),0)),"")</f>
        <v>Ridgetop</v>
      </c>
      <c r="D1527" t="str" cm="1">
        <f t="array" ref="D1527">IFERROR(INDEX({"Small","Medium","Large"},MATCH(TRUE,ISNUMBER(SEARCH({"Small","Medium","Large"},A1527)),0)),"")</f>
        <v>Large</v>
      </c>
      <c r="E1527" t="str">
        <f t="shared" si="23"/>
        <v>0.030</v>
      </c>
    </row>
    <row r="1528" spans="1:5" x14ac:dyDescent="0.3">
      <c r="A1528" t="s">
        <v>1526</v>
      </c>
      <c r="B1528" t="str" cm="1">
        <f t="array" ref="B1528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hemlock"},A1528)),0)),"")</f>
        <v>Pacific silver fir (OR)</v>
      </c>
      <c r="C1528" t="str" cm="1">
        <f t="array" ref="C1528">IFERROR(INDEX({"Ridgetop","Other"},MATCH(TRUE,ISNUMBER(SEARCH({"Ridgetop","Other"},A1528)),0)),"")</f>
        <v>Ridgetop</v>
      </c>
      <c r="D1528" t="str" cm="1">
        <f t="array" ref="D1528">IFERROR(INDEX({"Small","Medium","Large"},MATCH(TRUE,ISNUMBER(SEARCH({"Small","Medium","Large"},A1528)),0)),"")</f>
        <v>Small</v>
      </c>
      <c r="E1528" t="str">
        <f t="shared" si="23"/>
        <v>0.131</v>
      </c>
    </row>
    <row r="1529" spans="1:5" x14ac:dyDescent="0.3">
      <c r="A1529" t="s">
        <v>1527</v>
      </c>
      <c r="B1529" t="str" cm="1">
        <f t="array" ref="B1529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hemlock"},A1529)),0)),"")</f>
        <v>Pacific silver fir (OR)</v>
      </c>
      <c r="C1529" t="str" cm="1">
        <f t="array" ref="C1529">IFERROR(INDEX({"Ridgetop","Other"},MATCH(TRUE,ISNUMBER(SEARCH({"Ridgetop","Other"},A1529)),0)),"")</f>
        <v>Ridgetop</v>
      </c>
      <c r="D1529" t="str" cm="1">
        <f t="array" ref="D1529">IFERROR(INDEX({"Small","Medium","Large"},MATCH(TRUE,ISNUMBER(SEARCH({"Small","Medium","Large"},A1529)),0)),"")</f>
        <v>Medium</v>
      </c>
      <c r="E1529" t="str">
        <f t="shared" si="23"/>
        <v>0.073</v>
      </c>
    </row>
    <row r="1530" spans="1:5" x14ac:dyDescent="0.3">
      <c r="A1530" t="s">
        <v>1528</v>
      </c>
      <c r="B1530" t="str" cm="1">
        <f t="array" ref="B1530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hemlock"},A1530)),0)),"")</f>
        <v>Pacific silver fir (OR)</v>
      </c>
      <c r="C1530" t="str" cm="1">
        <f t="array" ref="C1530">IFERROR(INDEX({"Ridgetop","Other"},MATCH(TRUE,ISNUMBER(SEARCH({"Ridgetop","Other"},A1530)),0)),"")</f>
        <v>Ridgetop</v>
      </c>
      <c r="D1530" t="str" cm="1">
        <f t="array" ref="D1530">IFERROR(INDEX({"Small","Medium","Large"},MATCH(TRUE,ISNUMBER(SEARCH({"Small","Medium","Large"},A1530)),0)),"")</f>
        <v>Large</v>
      </c>
      <c r="E1530" t="str">
        <f t="shared" si="23"/>
        <v>0.032</v>
      </c>
    </row>
    <row r="1531" spans="1:5" x14ac:dyDescent="0.3">
      <c r="A1531" t="s">
        <v>1529</v>
      </c>
      <c r="B1531" t="str" cm="1">
        <f t="array" ref="B1531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hemlock"},A1531)),0)),"")</f>
        <v>Pacific silver fir (OR)</v>
      </c>
      <c r="C1531" t="str" cm="1">
        <f t="array" ref="C1531">IFERROR(INDEX({"Ridgetop","Other"},MATCH(TRUE,ISNUMBER(SEARCH({"Ridgetop","Other"},A1531)),0)),"")</f>
        <v>Other</v>
      </c>
      <c r="D1531" t="str" cm="1">
        <f t="array" ref="D1531">IFERROR(INDEX({"Small","Medium","Large"},MATCH(TRUE,ISNUMBER(SEARCH({"Small","Medium","Large"},A1531)),0)),"")</f>
        <v>Small</v>
      </c>
      <c r="E1531" t="str">
        <f t="shared" si="23"/>
        <v>0.085</v>
      </c>
    </row>
    <row r="1532" spans="1:5" x14ac:dyDescent="0.3">
      <c r="A1532" t="s">
        <v>1530</v>
      </c>
      <c r="B1532" t="str" cm="1">
        <f t="array" ref="B1532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hemlock"},A1532)),0)),"")</f>
        <v>Pacific silver fir (OR)</v>
      </c>
      <c r="C1532" t="str" cm="1">
        <f t="array" ref="C1532">IFERROR(INDEX({"Ridgetop","Other"},MATCH(TRUE,ISNUMBER(SEARCH({"Ridgetop","Other"},A1532)),0)),"")</f>
        <v>Other</v>
      </c>
      <c r="D1532" t="str" cm="1">
        <f t="array" ref="D1532">IFERROR(INDEX({"Small","Medium","Large"},MATCH(TRUE,ISNUMBER(SEARCH({"Small","Medium","Large"},A1532)),0)),"")</f>
        <v>Medium</v>
      </c>
      <c r="E1532" t="str">
        <f t="shared" si="23"/>
        <v>0.047</v>
      </c>
    </row>
    <row r="1533" spans="1:5" x14ac:dyDescent="0.3">
      <c r="A1533" t="s">
        <v>1531</v>
      </c>
      <c r="B1533" t="str" cm="1">
        <f t="array" ref="B1533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hemlock"},A1533)),0)),"")</f>
        <v>Pacific silver fir (OR)</v>
      </c>
      <c r="C1533" t="str" cm="1">
        <f t="array" ref="C1533">IFERROR(INDEX({"Ridgetop","Other"},MATCH(TRUE,ISNUMBER(SEARCH({"Ridgetop","Other"},A1533)),0)),"")</f>
        <v>Other</v>
      </c>
      <c r="D1533" t="str" cm="1">
        <f t="array" ref="D1533">IFERROR(INDEX({"Small","Medium","Large"},MATCH(TRUE,ISNUMBER(SEARCH({"Small","Medium","Large"},A1533)),0)),"")</f>
        <v>Large</v>
      </c>
      <c r="E1533" t="str">
        <f t="shared" si="23"/>
        <v>0.021</v>
      </c>
    </row>
    <row r="1534" spans="1:5" x14ac:dyDescent="0.3">
      <c r="A1534" t="s">
        <v>1532</v>
      </c>
      <c r="B1534" t="str" cm="1">
        <f t="array" ref="B1534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hemlock"},A1534)),0)),"")</f>
        <v>Pacific silver fir (OR)</v>
      </c>
      <c r="C1534" t="str" cm="1">
        <f t="array" ref="C1534">IFERROR(INDEX({"Ridgetop","Other"},MATCH(TRUE,ISNUMBER(SEARCH({"Ridgetop","Other"},A1534)),0)),"")</f>
        <v>Other</v>
      </c>
      <c r="D1534" t="str" cm="1">
        <f t="array" ref="D1534">IFERROR(INDEX({"Small","Medium","Large"},MATCH(TRUE,ISNUMBER(SEARCH({"Small","Medium","Large"},A1534)),0)),"")</f>
        <v>Small</v>
      </c>
      <c r="E1534" t="str">
        <f t="shared" si="23"/>
        <v>0.092</v>
      </c>
    </row>
    <row r="1535" spans="1:5" x14ac:dyDescent="0.3">
      <c r="A1535" t="s">
        <v>1533</v>
      </c>
      <c r="B1535" t="str" cm="1">
        <f t="array" ref="B1535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hemlock"},A1535)),0)),"")</f>
        <v>Pacific silver fir (OR)</v>
      </c>
      <c r="C1535" t="str" cm="1">
        <f t="array" ref="C1535">IFERROR(INDEX({"Ridgetop","Other"},MATCH(TRUE,ISNUMBER(SEARCH({"Ridgetop","Other"},A1535)),0)),"")</f>
        <v>Other</v>
      </c>
      <c r="D1535" t="str" cm="1">
        <f t="array" ref="D1535">IFERROR(INDEX({"Small","Medium","Large"},MATCH(TRUE,ISNUMBER(SEARCH({"Small","Medium","Large"},A1535)),0)),"")</f>
        <v>Medium</v>
      </c>
      <c r="E1535" t="str">
        <f t="shared" si="23"/>
        <v>0.052</v>
      </c>
    </row>
    <row r="1536" spans="1:5" x14ac:dyDescent="0.3">
      <c r="A1536" t="s">
        <v>1534</v>
      </c>
      <c r="B1536" t="str" cm="1">
        <f t="array" ref="B1536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hemlock"},A1536)),0)),"")</f>
        <v>Pacific silver fir (OR)</v>
      </c>
      <c r="C1536" t="str" cm="1">
        <f t="array" ref="C1536">IFERROR(INDEX({"Ridgetop","Other"},MATCH(TRUE,ISNUMBER(SEARCH({"Ridgetop","Other"},A1536)),0)),"")</f>
        <v>Other</v>
      </c>
      <c r="D1536" t="str" cm="1">
        <f t="array" ref="D1536">IFERROR(INDEX({"Small","Medium","Large"},MATCH(TRUE,ISNUMBER(SEARCH({"Small","Medium","Large"},A1536)),0)),"")</f>
        <v>Large</v>
      </c>
      <c r="E1536" t="str">
        <f t="shared" si="23"/>
        <v>0.023</v>
      </c>
    </row>
    <row r="1537" spans="1:5" x14ac:dyDescent="0.3">
      <c r="A1537" t="s">
        <v>1535</v>
      </c>
      <c r="B1537" t="str" cm="1">
        <f t="array" ref="B1537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hemlock"},A1537)),0)),"")</f>
        <v>Pacific silver fir (OR)</v>
      </c>
      <c r="C1537" t="str" cm="1">
        <f t="array" ref="C1537">IFERROR(INDEX({"Ridgetop","Other"},MATCH(TRUE,ISNUMBER(SEARCH({"Ridgetop","Other"},A1537)),0)),"")</f>
        <v>Other</v>
      </c>
      <c r="D1537" t="str" cm="1">
        <f t="array" ref="D1537">IFERROR(INDEX({"Small","Medium","Large"},MATCH(TRUE,ISNUMBER(SEARCH({"Small","Medium","Large"},A1537)),0)),"")</f>
        <v>Small</v>
      </c>
      <c r="E1537" t="str">
        <f t="shared" si="23"/>
        <v>0.092</v>
      </c>
    </row>
    <row r="1538" spans="1:5" x14ac:dyDescent="0.3">
      <c r="A1538" t="s">
        <v>1536</v>
      </c>
      <c r="B1538" t="str" cm="1">
        <f t="array" ref="B1538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hemlock"},A1538)),0)),"")</f>
        <v>Pacific silver fir (OR)</v>
      </c>
      <c r="C1538" t="str" cm="1">
        <f t="array" ref="C1538">IFERROR(INDEX({"Ridgetop","Other"},MATCH(TRUE,ISNUMBER(SEARCH({"Ridgetop","Other"},A1538)),0)),"")</f>
        <v>Other</v>
      </c>
      <c r="D1538" t="str" cm="1">
        <f t="array" ref="D1538">IFERROR(INDEX({"Small","Medium","Large"},MATCH(TRUE,ISNUMBER(SEARCH({"Small","Medium","Large"},A1538)),0)),"")</f>
        <v>Medium</v>
      </c>
      <c r="E1538" t="str">
        <f t="shared" si="23"/>
        <v>0.052</v>
      </c>
    </row>
    <row r="1539" spans="1:5" x14ac:dyDescent="0.3">
      <c r="A1539" t="s">
        <v>1537</v>
      </c>
      <c r="B1539" t="str" cm="1">
        <f t="array" ref="B1539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hemlock"},A1539)),0)),"")</f>
        <v>Pacific silver fir (OR)</v>
      </c>
      <c r="C1539" t="str" cm="1">
        <f t="array" ref="C1539">IFERROR(INDEX({"Ridgetop","Other"},MATCH(TRUE,ISNUMBER(SEARCH({"Ridgetop","Other"},A1539)),0)),"")</f>
        <v>Other</v>
      </c>
      <c r="D1539" t="str" cm="1">
        <f t="array" ref="D1539">IFERROR(INDEX({"Small","Medium","Large"},MATCH(TRUE,ISNUMBER(SEARCH({"Small","Medium","Large"},A1539)),0)),"")</f>
        <v>Large</v>
      </c>
      <c r="E1539" t="str">
        <f t="shared" ref="E1539:E1602" si="24">RIGHT(A1539,LEN(A1539)-FIND("@",SUBSTITUTE(A1539," ","@",LEN(A1539)-LEN(SUBSTITUTE(A1539," ","")))))</f>
        <v>0.023</v>
      </c>
    </row>
    <row r="1540" spans="1:5" x14ac:dyDescent="0.3">
      <c r="A1540" t="s">
        <v>1538</v>
      </c>
      <c r="B1540" t="str" cm="1">
        <f t="array" ref="B1540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hemlock"},A1540)),0)),"")</f>
        <v>Pacific silver fir (OR)</v>
      </c>
      <c r="C1540" t="str" cm="1">
        <f t="array" ref="C1540">IFERROR(INDEX({"Ridgetop","Other"},MATCH(TRUE,ISNUMBER(SEARCH({"Ridgetop","Other"},A1540)),0)),"")</f>
        <v>Ridgetop</v>
      </c>
      <c r="D1540" t="str" cm="1">
        <f t="array" ref="D1540">IFERROR(INDEX({"Small","Medium","Large"},MATCH(TRUE,ISNUMBER(SEARCH({"Small","Medium","Large"},A1540)),0)),"")</f>
        <v>Small</v>
      </c>
      <c r="E1540" t="str">
        <f t="shared" si="24"/>
        <v>0.154</v>
      </c>
    </row>
    <row r="1541" spans="1:5" x14ac:dyDescent="0.3">
      <c r="A1541" t="s">
        <v>1539</v>
      </c>
      <c r="B1541" t="str" cm="1">
        <f t="array" ref="B1541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hemlock"},A1541)),0)),"")</f>
        <v>Pacific silver fir (OR)</v>
      </c>
      <c r="C1541" t="str" cm="1">
        <f t="array" ref="C1541">IFERROR(INDEX({"Ridgetop","Other"},MATCH(TRUE,ISNUMBER(SEARCH({"Ridgetop","Other"},A1541)),0)),"")</f>
        <v>Ridgetop</v>
      </c>
      <c r="D1541" t="str" cm="1">
        <f t="array" ref="D1541">IFERROR(INDEX({"Small","Medium","Large"},MATCH(TRUE,ISNUMBER(SEARCH({"Small","Medium","Large"},A1541)),0)),"")</f>
        <v>Medium</v>
      </c>
      <c r="E1541" t="str">
        <f t="shared" si="24"/>
        <v>0.086</v>
      </c>
    </row>
    <row r="1542" spans="1:5" x14ac:dyDescent="0.3">
      <c r="A1542" t="s">
        <v>1540</v>
      </c>
      <c r="B1542" t="str" cm="1">
        <f t="array" ref="B1542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hemlock"},A1542)),0)),"")</f>
        <v>Pacific silver fir (OR)</v>
      </c>
      <c r="C1542" t="str" cm="1">
        <f t="array" ref="C1542">IFERROR(INDEX({"Ridgetop","Other"},MATCH(TRUE,ISNUMBER(SEARCH({"Ridgetop","Other"},A1542)),0)),"")</f>
        <v>Ridgetop</v>
      </c>
      <c r="D1542" t="str" cm="1">
        <f t="array" ref="D1542">IFERROR(INDEX({"Small","Medium","Large"},MATCH(TRUE,ISNUMBER(SEARCH({"Small","Medium","Large"},A1542)),0)),"")</f>
        <v>Large</v>
      </c>
      <c r="E1542" t="str">
        <f t="shared" si="24"/>
        <v>0.038</v>
      </c>
    </row>
    <row r="1543" spans="1:5" x14ac:dyDescent="0.3">
      <c r="A1543" t="s">
        <v>1541</v>
      </c>
      <c r="B1543" t="str" cm="1">
        <f t="array" ref="B1543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hemlock"},A1543)),0)),"")</f>
        <v>Pacific silver fir (OR)</v>
      </c>
      <c r="C1543" t="str" cm="1">
        <f t="array" ref="C1543">IFERROR(INDEX({"Ridgetop","Other"},MATCH(TRUE,ISNUMBER(SEARCH({"Ridgetop","Other"},A1543)),0)),"")</f>
        <v>Ridgetop</v>
      </c>
      <c r="D1543" t="str" cm="1">
        <f t="array" ref="D1543">IFERROR(INDEX({"Small","Medium","Large"},MATCH(TRUE,ISNUMBER(SEARCH({"Small","Medium","Large"},A1543)),0)),"")</f>
        <v>Small</v>
      </c>
      <c r="E1543" t="str">
        <f t="shared" si="24"/>
        <v>0.154</v>
      </c>
    </row>
    <row r="1544" spans="1:5" x14ac:dyDescent="0.3">
      <c r="A1544" t="s">
        <v>1542</v>
      </c>
      <c r="B1544" t="str" cm="1">
        <f t="array" ref="B1544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hemlock"},A1544)),0)),"")</f>
        <v>Pacific silver fir (OR)</v>
      </c>
      <c r="C1544" t="str" cm="1">
        <f t="array" ref="C1544">IFERROR(INDEX({"Ridgetop","Other"},MATCH(TRUE,ISNUMBER(SEARCH({"Ridgetop","Other"},A1544)),0)),"")</f>
        <v>Ridgetop</v>
      </c>
      <c r="D1544" t="str" cm="1">
        <f t="array" ref="D1544">IFERROR(INDEX({"Small","Medium","Large"},MATCH(TRUE,ISNUMBER(SEARCH({"Small","Medium","Large"},A1544)),0)),"")</f>
        <v>Medium</v>
      </c>
      <c r="E1544" t="str">
        <f t="shared" si="24"/>
        <v>0.086</v>
      </c>
    </row>
    <row r="1545" spans="1:5" x14ac:dyDescent="0.3">
      <c r="A1545" t="s">
        <v>1543</v>
      </c>
      <c r="B1545" t="str" cm="1">
        <f t="array" ref="B1545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hemlock"},A1545)),0)),"")</f>
        <v>Pacific silver fir (OR)</v>
      </c>
      <c r="C1545" t="str" cm="1">
        <f t="array" ref="C1545">IFERROR(INDEX({"Ridgetop","Other"},MATCH(TRUE,ISNUMBER(SEARCH({"Ridgetop","Other"},A1545)),0)),"")</f>
        <v>Ridgetop</v>
      </c>
      <c r="D1545" t="str" cm="1">
        <f t="array" ref="D1545">IFERROR(INDEX({"Small","Medium","Large"},MATCH(TRUE,ISNUMBER(SEARCH({"Small","Medium","Large"},A1545)),0)),"")</f>
        <v>Large</v>
      </c>
      <c r="E1545" t="str">
        <f t="shared" si="24"/>
        <v>0.038</v>
      </c>
    </row>
    <row r="1546" spans="1:5" x14ac:dyDescent="0.3">
      <c r="A1546" t="s">
        <v>1544</v>
      </c>
      <c r="B1546" t="str" cm="1">
        <f t="array" ref="B1546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hemlock"},A1546)),0)),"")</f>
        <v>Pacific silver fir (OR)</v>
      </c>
      <c r="C1546" t="str" cm="1">
        <f t="array" ref="C1546">IFERROR(INDEX({"Ridgetop","Other"},MATCH(TRUE,ISNUMBER(SEARCH({"Ridgetop","Other"},A1546)),0)),"")</f>
        <v>Ridgetop</v>
      </c>
      <c r="D1546" t="str" cm="1">
        <f t="array" ref="D1546">IFERROR(INDEX({"Small","Medium","Large"},MATCH(TRUE,ISNUMBER(SEARCH({"Small","Medium","Large"},A1546)),0)),"")</f>
        <v>Small</v>
      </c>
      <c r="E1546" t="str">
        <f t="shared" si="24"/>
        <v>0.154</v>
      </c>
    </row>
    <row r="1547" spans="1:5" x14ac:dyDescent="0.3">
      <c r="A1547" t="s">
        <v>1545</v>
      </c>
      <c r="B1547" t="str" cm="1">
        <f t="array" ref="B1547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hemlock"},A1547)),0)),"")</f>
        <v>Pacific silver fir (OR)</v>
      </c>
      <c r="C1547" t="str" cm="1">
        <f t="array" ref="C1547">IFERROR(INDEX({"Ridgetop","Other"},MATCH(TRUE,ISNUMBER(SEARCH({"Ridgetop","Other"},A1547)),0)),"")</f>
        <v>Ridgetop</v>
      </c>
      <c r="D1547" t="str" cm="1">
        <f t="array" ref="D1547">IFERROR(INDEX({"Small","Medium","Large"},MATCH(TRUE,ISNUMBER(SEARCH({"Small","Medium","Large"},A1547)),0)),"")</f>
        <v>Medium</v>
      </c>
      <c r="E1547" t="str">
        <f t="shared" si="24"/>
        <v>0.086</v>
      </c>
    </row>
    <row r="1548" spans="1:5" x14ac:dyDescent="0.3">
      <c r="A1548" t="s">
        <v>1546</v>
      </c>
      <c r="B1548" t="str" cm="1">
        <f t="array" ref="B1548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hemlock"},A1548)),0)),"")</f>
        <v>Pacific silver fir (OR)</v>
      </c>
      <c r="C1548" t="str" cm="1">
        <f t="array" ref="C1548">IFERROR(INDEX({"Ridgetop","Other"},MATCH(TRUE,ISNUMBER(SEARCH({"Ridgetop","Other"},A1548)),0)),"")</f>
        <v>Ridgetop</v>
      </c>
      <c r="D1548" t="str" cm="1">
        <f t="array" ref="D1548">IFERROR(INDEX({"Small","Medium","Large"},MATCH(TRUE,ISNUMBER(SEARCH({"Small","Medium","Large"},A1548)),0)),"")</f>
        <v>Large</v>
      </c>
      <c r="E1548" t="str">
        <f t="shared" si="24"/>
        <v>0.038</v>
      </c>
    </row>
    <row r="1549" spans="1:5" x14ac:dyDescent="0.3">
      <c r="A1549" t="s">
        <v>1547</v>
      </c>
      <c r="B1549" t="str" cm="1">
        <f t="array" ref="B1549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hemlock"},A1549)),0)),"")</f>
        <v>Pacific silver fir (OR)</v>
      </c>
      <c r="C1549" t="str" cm="1">
        <f t="array" ref="C1549">IFERROR(INDEX({"Ridgetop","Other"},MATCH(TRUE,ISNUMBER(SEARCH({"Ridgetop","Other"},A1549)),0)),"")</f>
        <v>Other</v>
      </c>
      <c r="D1549" t="str" cm="1">
        <f t="array" ref="D1549">IFERROR(INDEX({"Small","Medium","Large"},MATCH(TRUE,ISNUMBER(SEARCH({"Small","Medium","Large"},A1549)),0)),"")</f>
        <v>Small</v>
      </c>
      <c r="E1549" t="str">
        <f t="shared" si="24"/>
        <v>0.069</v>
      </c>
    </row>
    <row r="1550" spans="1:5" x14ac:dyDescent="0.3">
      <c r="A1550" t="s">
        <v>1548</v>
      </c>
      <c r="B1550" t="str" cm="1">
        <f t="array" ref="B1550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hemlock"},A1550)),0)),"")</f>
        <v>Pacific silver fir (OR)</v>
      </c>
      <c r="C1550" t="str" cm="1">
        <f t="array" ref="C1550">IFERROR(INDEX({"Ridgetop","Other"},MATCH(TRUE,ISNUMBER(SEARCH({"Ridgetop","Other"},A1550)),0)),"")</f>
        <v>Other</v>
      </c>
      <c r="D1550" t="str" cm="1">
        <f t="array" ref="D1550">IFERROR(INDEX({"Small","Medium","Large"},MATCH(TRUE,ISNUMBER(SEARCH({"Small","Medium","Large"},A1550)),0)),"")</f>
        <v>Medium</v>
      </c>
      <c r="E1550" t="str">
        <f t="shared" si="24"/>
        <v>0.039</v>
      </c>
    </row>
    <row r="1551" spans="1:5" x14ac:dyDescent="0.3">
      <c r="A1551" t="s">
        <v>1549</v>
      </c>
      <c r="B1551" t="str" cm="1">
        <f t="array" ref="B1551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hemlock"},A1551)),0)),"")</f>
        <v>Pacific silver fir (OR)</v>
      </c>
      <c r="C1551" t="str" cm="1">
        <f t="array" ref="C1551">IFERROR(INDEX({"Ridgetop","Other"},MATCH(TRUE,ISNUMBER(SEARCH({"Ridgetop","Other"},A1551)),0)),"")</f>
        <v>Other</v>
      </c>
      <c r="D1551" t="str" cm="1">
        <f t="array" ref="D1551">IFERROR(INDEX({"Small","Medium","Large"},MATCH(TRUE,ISNUMBER(SEARCH({"Small","Medium","Large"},A1551)),0)),"")</f>
        <v>Large</v>
      </c>
      <c r="E1551" t="str">
        <f t="shared" si="24"/>
        <v>0.017</v>
      </c>
    </row>
    <row r="1552" spans="1:5" x14ac:dyDescent="0.3">
      <c r="A1552" t="s">
        <v>1550</v>
      </c>
      <c r="B1552" t="str" cm="1">
        <f t="array" ref="B1552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hemlock"},A1552)),0)),"")</f>
        <v>Pacific silver fir (OR)</v>
      </c>
      <c r="C1552" t="str" cm="1">
        <f t="array" ref="C1552">IFERROR(INDEX({"Ridgetop","Other"},MATCH(TRUE,ISNUMBER(SEARCH({"Ridgetop","Other"},A1552)),0)),"")</f>
        <v>Other</v>
      </c>
      <c r="D1552" t="str" cm="1">
        <f t="array" ref="D1552">IFERROR(INDEX({"Small","Medium","Large"},MATCH(TRUE,ISNUMBER(SEARCH({"Small","Medium","Large"},A1552)),0)),"")</f>
        <v>Small</v>
      </c>
      <c r="E1552" t="str">
        <f t="shared" si="24"/>
        <v>0.077</v>
      </c>
    </row>
    <row r="1553" spans="1:5" x14ac:dyDescent="0.3">
      <c r="A1553" t="s">
        <v>1551</v>
      </c>
      <c r="B1553" t="str" cm="1">
        <f t="array" ref="B1553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hemlock"},A1553)),0)),"")</f>
        <v>Pacific silver fir (OR)</v>
      </c>
      <c r="C1553" t="str" cm="1">
        <f t="array" ref="C1553">IFERROR(INDEX({"Ridgetop","Other"},MATCH(TRUE,ISNUMBER(SEARCH({"Ridgetop","Other"},A1553)),0)),"")</f>
        <v>Other</v>
      </c>
      <c r="D1553" t="str" cm="1">
        <f t="array" ref="D1553">IFERROR(INDEX({"Small","Medium","Large"},MATCH(TRUE,ISNUMBER(SEARCH({"Small","Medium","Large"},A1553)),0)),"")</f>
        <v>Medium</v>
      </c>
      <c r="E1553" t="str">
        <f t="shared" si="24"/>
        <v>0.043</v>
      </c>
    </row>
    <row r="1554" spans="1:5" x14ac:dyDescent="0.3">
      <c r="A1554" t="s">
        <v>1552</v>
      </c>
      <c r="B1554" t="str" cm="1">
        <f t="array" ref="B1554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hemlock"},A1554)),0)),"")</f>
        <v>Pacific silver fir (OR)</v>
      </c>
      <c r="C1554" t="str" cm="1">
        <f t="array" ref="C1554">IFERROR(INDEX({"Ridgetop","Other"},MATCH(TRUE,ISNUMBER(SEARCH({"Ridgetop","Other"},A1554)),0)),"")</f>
        <v>Other</v>
      </c>
      <c r="D1554" t="str" cm="1">
        <f t="array" ref="D1554">IFERROR(INDEX({"Small","Medium","Large"},MATCH(TRUE,ISNUMBER(SEARCH({"Small","Medium","Large"},A1554)),0)),"")</f>
        <v>Large</v>
      </c>
      <c r="E1554" t="str">
        <f t="shared" si="24"/>
        <v>0.019</v>
      </c>
    </row>
    <row r="1555" spans="1:5" x14ac:dyDescent="0.3">
      <c r="A1555" t="s">
        <v>1553</v>
      </c>
      <c r="B1555" t="str" cm="1">
        <f t="array" ref="B1555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hemlock"},A1555)),0)),"")</f>
        <v>Pacific silver fir (OR)</v>
      </c>
      <c r="C1555" t="str" cm="1">
        <f t="array" ref="C1555">IFERROR(INDEX({"Ridgetop","Other"},MATCH(TRUE,ISNUMBER(SEARCH({"Ridgetop","Other"},A1555)),0)),"")</f>
        <v>Other</v>
      </c>
      <c r="D1555" t="str" cm="1">
        <f t="array" ref="D1555">IFERROR(INDEX({"Small","Medium","Large"},MATCH(TRUE,ISNUMBER(SEARCH({"Small","Medium","Large"},A1555)),0)),"")</f>
        <v>Small</v>
      </c>
      <c r="E1555" t="str">
        <f t="shared" si="24"/>
        <v>0.092</v>
      </c>
    </row>
    <row r="1556" spans="1:5" x14ac:dyDescent="0.3">
      <c r="A1556" t="s">
        <v>1554</v>
      </c>
      <c r="B1556" t="str" cm="1">
        <f t="array" ref="B1556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hemlock"},A1556)),0)),"")</f>
        <v>Pacific silver fir (OR)</v>
      </c>
      <c r="C1556" t="str" cm="1">
        <f t="array" ref="C1556">IFERROR(INDEX({"Ridgetop","Other"},MATCH(TRUE,ISNUMBER(SEARCH({"Ridgetop","Other"},A1556)),0)),"")</f>
        <v>Other</v>
      </c>
      <c r="D1556" t="str" cm="1">
        <f t="array" ref="D1556">IFERROR(INDEX({"Small","Medium","Large"},MATCH(TRUE,ISNUMBER(SEARCH({"Small","Medium","Large"},A1556)),0)),"")</f>
        <v>Medium</v>
      </c>
      <c r="E1556" t="str">
        <f t="shared" si="24"/>
        <v>0.052</v>
      </c>
    </row>
    <row r="1557" spans="1:5" x14ac:dyDescent="0.3">
      <c r="A1557" t="s">
        <v>1555</v>
      </c>
      <c r="B1557" t="str" cm="1">
        <f t="array" ref="B1557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hemlock"},A1557)),0)),"")</f>
        <v>Pacific silver fir (OR)</v>
      </c>
      <c r="C1557" t="str" cm="1">
        <f t="array" ref="C1557">IFERROR(INDEX({"Ridgetop","Other"},MATCH(TRUE,ISNUMBER(SEARCH({"Ridgetop","Other"},A1557)),0)),"")</f>
        <v>Other</v>
      </c>
      <c r="D1557" t="str" cm="1">
        <f t="array" ref="D1557">IFERROR(INDEX({"Small","Medium","Large"},MATCH(TRUE,ISNUMBER(SEARCH({"Small","Medium","Large"},A1557)),0)),"")</f>
        <v>Large</v>
      </c>
      <c r="E1557" t="str">
        <f t="shared" si="24"/>
        <v>0.023</v>
      </c>
    </row>
    <row r="1558" spans="1:5" x14ac:dyDescent="0.3">
      <c r="A1558" t="s">
        <v>1556</v>
      </c>
      <c r="B1558" t="str" cm="1">
        <f t="array" ref="B1558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hemlock"},A1558)),0)),"")</f>
        <v>Pacific silver fir (OR)</v>
      </c>
      <c r="C1558" t="str" cm="1">
        <f t="array" ref="C1558">IFERROR(INDEX({"Ridgetop","Other"},MATCH(TRUE,ISNUMBER(SEARCH({"Ridgetop","Other"},A1558)),0)),"")</f>
        <v>Ridgetop</v>
      </c>
      <c r="D1558" t="str" cm="1">
        <f t="array" ref="D1558">IFERROR(INDEX({"Small","Medium","Large"},MATCH(TRUE,ISNUMBER(SEARCH({"Small","Medium","Large"},A1558)),0)),"")</f>
        <v>Small</v>
      </c>
      <c r="E1558" t="str">
        <f t="shared" si="24"/>
        <v>0.131</v>
      </c>
    </row>
    <row r="1559" spans="1:5" x14ac:dyDescent="0.3">
      <c r="A1559" t="s">
        <v>1557</v>
      </c>
      <c r="B1559" t="str" cm="1">
        <f t="array" ref="B1559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hemlock"},A1559)),0)),"")</f>
        <v>Pacific silver fir (OR)</v>
      </c>
      <c r="C1559" t="str" cm="1">
        <f t="array" ref="C1559">IFERROR(INDEX({"Ridgetop","Other"},MATCH(TRUE,ISNUMBER(SEARCH({"Ridgetop","Other"},A1559)),0)),"")</f>
        <v>Ridgetop</v>
      </c>
      <c r="D1559" t="str" cm="1">
        <f t="array" ref="D1559">IFERROR(INDEX({"Small","Medium","Large"},MATCH(TRUE,ISNUMBER(SEARCH({"Small","Medium","Large"},A1559)),0)),"")</f>
        <v>Medium</v>
      </c>
      <c r="E1559" t="str">
        <f t="shared" si="24"/>
        <v>0.073</v>
      </c>
    </row>
    <row r="1560" spans="1:5" x14ac:dyDescent="0.3">
      <c r="A1560" t="s">
        <v>1558</v>
      </c>
      <c r="B1560" t="str" cm="1">
        <f t="array" ref="B1560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hemlock"},A1560)),0)),"")</f>
        <v>Pacific silver fir (OR)</v>
      </c>
      <c r="C1560" t="str" cm="1">
        <f t="array" ref="C1560">IFERROR(INDEX({"Ridgetop","Other"},MATCH(TRUE,ISNUMBER(SEARCH({"Ridgetop","Other"},A1560)),0)),"")</f>
        <v>Ridgetop</v>
      </c>
      <c r="D1560" t="str" cm="1">
        <f t="array" ref="D1560">IFERROR(INDEX({"Small","Medium","Large"},MATCH(TRUE,ISNUMBER(SEARCH({"Small","Medium","Large"},A1560)),0)),"")</f>
        <v>Large</v>
      </c>
      <c r="E1560" t="str">
        <f t="shared" si="24"/>
        <v>0.032</v>
      </c>
    </row>
    <row r="1561" spans="1:5" x14ac:dyDescent="0.3">
      <c r="A1561" t="s">
        <v>1559</v>
      </c>
      <c r="B1561" t="str" cm="1">
        <f t="array" ref="B1561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hemlock"},A1561)),0)),"")</f>
        <v>Pacific silver fir (OR)</v>
      </c>
      <c r="C1561" t="str" cm="1">
        <f t="array" ref="C1561">IFERROR(INDEX({"Ridgetop","Other"},MATCH(TRUE,ISNUMBER(SEARCH({"Ridgetop","Other"},A1561)),0)),"")</f>
        <v>Ridgetop</v>
      </c>
      <c r="D1561" t="str" cm="1">
        <f t="array" ref="D1561">IFERROR(INDEX({"Small","Medium","Large"},MATCH(TRUE,ISNUMBER(SEARCH({"Small","Medium","Large"},A1561)),0)),"")</f>
        <v>Small</v>
      </c>
      <c r="E1561" t="str">
        <f t="shared" si="24"/>
        <v>0.131</v>
      </c>
    </row>
    <row r="1562" spans="1:5" x14ac:dyDescent="0.3">
      <c r="A1562" t="s">
        <v>1560</v>
      </c>
      <c r="B1562" t="str" cm="1">
        <f t="array" ref="B1562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hemlock"},A1562)),0)),"")</f>
        <v>Pacific silver fir (OR)</v>
      </c>
      <c r="C1562" t="str" cm="1">
        <f t="array" ref="C1562">IFERROR(INDEX({"Ridgetop","Other"},MATCH(TRUE,ISNUMBER(SEARCH({"Ridgetop","Other"},A1562)),0)),"")</f>
        <v>Ridgetop</v>
      </c>
      <c r="D1562" t="str" cm="1">
        <f t="array" ref="D1562">IFERROR(INDEX({"Small","Medium","Large"},MATCH(TRUE,ISNUMBER(SEARCH({"Small","Medium","Large"},A1562)),0)),"")</f>
        <v>Medium</v>
      </c>
      <c r="E1562" t="str">
        <f t="shared" si="24"/>
        <v>0.073</v>
      </c>
    </row>
    <row r="1563" spans="1:5" x14ac:dyDescent="0.3">
      <c r="A1563" t="s">
        <v>1561</v>
      </c>
      <c r="B1563" t="str" cm="1">
        <f t="array" ref="B1563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hemlock"},A1563)),0)),"")</f>
        <v>Pacific silver fir (OR)</v>
      </c>
      <c r="C1563" t="str" cm="1">
        <f t="array" ref="C1563">IFERROR(INDEX({"Ridgetop","Other"},MATCH(TRUE,ISNUMBER(SEARCH({"Ridgetop","Other"},A1563)),0)),"")</f>
        <v>Ridgetop</v>
      </c>
      <c r="D1563" t="str" cm="1">
        <f t="array" ref="D1563">IFERROR(INDEX({"Small","Medium","Large"},MATCH(TRUE,ISNUMBER(SEARCH({"Small","Medium","Large"},A1563)),0)),"")</f>
        <v>Large</v>
      </c>
      <c r="E1563" t="str">
        <f t="shared" si="24"/>
        <v>0.032</v>
      </c>
    </row>
    <row r="1564" spans="1:5" x14ac:dyDescent="0.3">
      <c r="A1564" t="s">
        <v>1562</v>
      </c>
      <c r="B1564" t="str" cm="1">
        <f t="array" ref="B1564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hemlock"},A1564)),0)),"")</f>
        <v>Pacific silver fir (OR)</v>
      </c>
      <c r="C1564" t="str" cm="1">
        <f t="array" ref="C1564">IFERROR(INDEX({"Ridgetop","Other"},MATCH(TRUE,ISNUMBER(SEARCH({"Ridgetop","Other"},A1564)),0)),"")</f>
        <v>Ridgetop</v>
      </c>
      <c r="D1564" t="str" cm="1">
        <f t="array" ref="D1564">IFERROR(INDEX({"Small","Medium","Large"},MATCH(TRUE,ISNUMBER(SEARCH({"Small","Medium","Large"},A1564)),0)),"")</f>
        <v>Small</v>
      </c>
      <c r="E1564" t="str">
        <f t="shared" si="24"/>
        <v>0.139</v>
      </c>
    </row>
    <row r="1565" spans="1:5" x14ac:dyDescent="0.3">
      <c r="A1565" t="s">
        <v>1563</v>
      </c>
      <c r="B1565" t="str" cm="1">
        <f t="array" ref="B1565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hemlock"},A1565)),0)),"")</f>
        <v>Pacific silver fir (OR)</v>
      </c>
      <c r="C1565" t="str" cm="1">
        <f t="array" ref="C1565">IFERROR(INDEX({"Ridgetop","Other"},MATCH(TRUE,ISNUMBER(SEARCH({"Ridgetop","Other"},A1565)),0)),"")</f>
        <v>Ridgetop</v>
      </c>
      <c r="D1565" t="str" cm="1">
        <f t="array" ref="D1565">IFERROR(INDEX({"Small","Medium","Large"},MATCH(TRUE,ISNUMBER(SEARCH({"Small","Medium","Large"},A1565)),0)),"")</f>
        <v>Medium</v>
      </c>
      <c r="E1565" t="str">
        <f t="shared" si="24"/>
        <v>0.077</v>
      </c>
    </row>
    <row r="1566" spans="1:5" x14ac:dyDescent="0.3">
      <c r="A1566" t="s">
        <v>1564</v>
      </c>
      <c r="B1566" t="str" cm="1">
        <f t="array" ref="B1566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hemlock"},A1566)),0)),"")</f>
        <v>Pacific silver fir (OR)</v>
      </c>
      <c r="C1566" t="str" cm="1">
        <f t="array" ref="C1566">IFERROR(INDEX({"Ridgetop","Other"},MATCH(TRUE,ISNUMBER(SEARCH({"Ridgetop","Other"},A1566)),0)),"")</f>
        <v>Ridgetop</v>
      </c>
      <c r="D1566" t="str" cm="1">
        <f t="array" ref="D1566">IFERROR(INDEX({"Small","Medium","Large"},MATCH(TRUE,ISNUMBER(SEARCH({"Small","Medium","Large"},A1566)),0)),"")</f>
        <v>Large</v>
      </c>
      <c r="E1566" t="str">
        <f t="shared" si="24"/>
        <v>0.034</v>
      </c>
    </row>
    <row r="1567" spans="1:5" x14ac:dyDescent="0.3">
      <c r="A1567" t="s">
        <v>1565</v>
      </c>
      <c r="B1567" t="str" cm="1">
        <f t="array" ref="B1567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hemlock"},A1567)),0)),"")</f>
        <v>Pacific silver fir (OR)</v>
      </c>
      <c r="C1567" t="str" cm="1">
        <f t="array" ref="C1567">IFERROR(INDEX({"Ridgetop","Other"},MATCH(TRUE,ISNUMBER(SEARCH({"Ridgetop","Other"},A1567)),0)),"")</f>
        <v>Other</v>
      </c>
      <c r="D1567" t="str" cm="1">
        <f t="array" ref="D1567">IFERROR(INDEX({"Small","Medium","Large"},MATCH(TRUE,ISNUMBER(SEARCH({"Small","Medium","Large"},A1567)),0)),"")</f>
        <v>Small</v>
      </c>
      <c r="E1567" t="str">
        <f t="shared" si="24"/>
        <v>0.085</v>
      </c>
    </row>
    <row r="1568" spans="1:5" x14ac:dyDescent="0.3">
      <c r="A1568" t="s">
        <v>1566</v>
      </c>
      <c r="B1568" t="str" cm="1">
        <f t="array" ref="B1568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hemlock"},A1568)),0)),"")</f>
        <v>Pacific silver fir (OR)</v>
      </c>
      <c r="C1568" t="str" cm="1">
        <f t="array" ref="C1568">IFERROR(INDEX({"Ridgetop","Other"},MATCH(TRUE,ISNUMBER(SEARCH({"Ridgetop","Other"},A1568)),0)),"")</f>
        <v>Other</v>
      </c>
      <c r="D1568" t="str" cm="1">
        <f t="array" ref="D1568">IFERROR(INDEX({"Small","Medium","Large"},MATCH(TRUE,ISNUMBER(SEARCH({"Small","Medium","Large"},A1568)),0)),"")</f>
        <v>Medium</v>
      </c>
      <c r="E1568" t="str">
        <f t="shared" si="24"/>
        <v>0.047</v>
      </c>
    </row>
    <row r="1569" spans="1:5" x14ac:dyDescent="0.3">
      <c r="A1569" t="s">
        <v>1567</v>
      </c>
      <c r="B1569" t="str" cm="1">
        <f t="array" ref="B1569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hemlock"},A1569)),0)),"")</f>
        <v>Pacific silver fir (OR)</v>
      </c>
      <c r="C1569" t="str" cm="1">
        <f t="array" ref="C1569">IFERROR(INDEX({"Ridgetop","Other"},MATCH(TRUE,ISNUMBER(SEARCH({"Ridgetop","Other"},A1569)),0)),"")</f>
        <v>Other</v>
      </c>
      <c r="D1569" t="str" cm="1">
        <f t="array" ref="D1569">IFERROR(INDEX({"Small","Medium","Large"},MATCH(TRUE,ISNUMBER(SEARCH({"Small","Medium","Large"},A1569)),0)),"")</f>
        <v>Large</v>
      </c>
      <c r="E1569" t="str">
        <f t="shared" si="24"/>
        <v>0.021</v>
      </c>
    </row>
    <row r="1570" spans="1:5" x14ac:dyDescent="0.3">
      <c r="A1570" t="s">
        <v>1568</v>
      </c>
      <c r="B1570" t="str" cm="1">
        <f t="array" ref="B1570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hemlock"},A1570)),0)),"")</f>
        <v>Pacific silver fir (OR)</v>
      </c>
      <c r="C1570" t="str" cm="1">
        <f t="array" ref="C1570">IFERROR(INDEX({"Ridgetop","Other"},MATCH(TRUE,ISNUMBER(SEARCH({"Ridgetop","Other"},A1570)),0)),"")</f>
        <v>Other</v>
      </c>
      <c r="D1570" t="str" cm="1">
        <f t="array" ref="D1570">IFERROR(INDEX({"Small","Medium","Large"},MATCH(TRUE,ISNUMBER(SEARCH({"Small","Medium","Large"},A1570)),0)),"")</f>
        <v>Small</v>
      </c>
      <c r="E1570" t="str">
        <f t="shared" si="24"/>
        <v>0.092</v>
      </c>
    </row>
    <row r="1571" spans="1:5" x14ac:dyDescent="0.3">
      <c r="A1571" t="s">
        <v>1569</v>
      </c>
      <c r="B1571" t="str" cm="1">
        <f t="array" ref="B1571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hemlock"},A1571)),0)),"")</f>
        <v>Pacific silver fir (OR)</v>
      </c>
      <c r="C1571" t="str" cm="1">
        <f t="array" ref="C1571">IFERROR(INDEX({"Ridgetop","Other"},MATCH(TRUE,ISNUMBER(SEARCH({"Ridgetop","Other"},A1571)),0)),"")</f>
        <v>Other</v>
      </c>
      <c r="D1571" t="str" cm="1">
        <f t="array" ref="D1571">IFERROR(INDEX({"Small","Medium","Large"},MATCH(TRUE,ISNUMBER(SEARCH({"Small","Medium","Large"},A1571)),0)),"")</f>
        <v>Medium</v>
      </c>
      <c r="E1571" t="str">
        <f t="shared" si="24"/>
        <v>0.052</v>
      </c>
    </row>
    <row r="1572" spans="1:5" x14ac:dyDescent="0.3">
      <c r="A1572" t="s">
        <v>1570</v>
      </c>
      <c r="B1572" t="str" cm="1">
        <f t="array" ref="B1572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hemlock"},A1572)),0)),"")</f>
        <v>Pacific silver fir (OR)</v>
      </c>
      <c r="C1572" t="str" cm="1">
        <f t="array" ref="C1572">IFERROR(INDEX({"Ridgetop","Other"},MATCH(TRUE,ISNUMBER(SEARCH({"Ridgetop","Other"},A1572)),0)),"")</f>
        <v>Other</v>
      </c>
      <c r="D1572" t="str" cm="1">
        <f t="array" ref="D1572">IFERROR(INDEX({"Small","Medium","Large"},MATCH(TRUE,ISNUMBER(SEARCH({"Small","Medium","Large"},A1572)),0)),"")</f>
        <v>Large</v>
      </c>
      <c r="E1572" t="str">
        <f t="shared" si="24"/>
        <v>0.023</v>
      </c>
    </row>
    <row r="1573" spans="1:5" x14ac:dyDescent="0.3">
      <c r="A1573" t="s">
        <v>1571</v>
      </c>
      <c r="B1573" t="str" cm="1">
        <f t="array" ref="B1573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hemlock"},A1573)),0)),"")</f>
        <v>Pacific silver fir (OR)</v>
      </c>
      <c r="C1573" t="str" cm="1">
        <f t="array" ref="C1573">IFERROR(INDEX({"Ridgetop","Other"},MATCH(TRUE,ISNUMBER(SEARCH({"Ridgetop","Other"},A1573)),0)),"")</f>
        <v>Other</v>
      </c>
      <c r="D1573" t="str" cm="1">
        <f t="array" ref="D1573">IFERROR(INDEX({"Small","Medium","Large"},MATCH(TRUE,ISNUMBER(SEARCH({"Small","Medium","Large"},A1573)),0)),"")</f>
        <v>Small</v>
      </c>
      <c r="E1573" t="str">
        <f t="shared" si="24"/>
        <v>0.092</v>
      </c>
    </row>
    <row r="1574" spans="1:5" x14ac:dyDescent="0.3">
      <c r="A1574" t="s">
        <v>1572</v>
      </c>
      <c r="B1574" t="str" cm="1">
        <f t="array" ref="B1574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hemlock"},A1574)),0)),"")</f>
        <v>Pacific silver fir (OR)</v>
      </c>
      <c r="C1574" t="str" cm="1">
        <f t="array" ref="C1574">IFERROR(INDEX({"Ridgetop","Other"},MATCH(TRUE,ISNUMBER(SEARCH({"Ridgetop","Other"},A1574)),0)),"")</f>
        <v>Other</v>
      </c>
      <c r="D1574" t="str" cm="1">
        <f t="array" ref="D1574">IFERROR(INDEX({"Small","Medium","Large"},MATCH(TRUE,ISNUMBER(SEARCH({"Small","Medium","Large"},A1574)),0)),"")</f>
        <v>Medium</v>
      </c>
      <c r="E1574" t="str">
        <f t="shared" si="24"/>
        <v>0.052</v>
      </c>
    </row>
    <row r="1575" spans="1:5" x14ac:dyDescent="0.3">
      <c r="A1575" t="s">
        <v>1573</v>
      </c>
      <c r="B1575" t="str" cm="1">
        <f t="array" ref="B1575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hemlock"},A1575)),0)),"")</f>
        <v>Pacific silver fir (OR)</v>
      </c>
      <c r="C1575" t="str" cm="1">
        <f t="array" ref="C1575">IFERROR(INDEX({"Ridgetop","Other"},MATCH(TRUE,ISNUMBER(SEARCH({"Ridgetop","Other"},A1575)),0)),"")</f>
        <v>Other</v>
      </c>
      <c r="D1575" t="str" cm="1">
        <f t="array" ref="D1575">IFERROR(INDEX({"Small","Medium","Large"},MATCH(TRUE,ISNUMBER(SEARCH({"Small","Medium","Large"},A1575)),0)),"")</f>
        <v>Large</v>
      </c>
      <c r="E1575" t="str">
        <f t="shared" si="24"/>
        <v>0.023</v>
      </c>
    </row>
    <row r="1576" spans="1:5" x14ac:dyDescent="0.3">
      <c r="A1576" t="s">
        <v>1574</v>
      </c>
      <c r="B1576" t="str" cm="1">
        <f t="array" ref="B1576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hemlock"},A1576)),0)),"")</f>
        <v>Pacific silver fir (OR)</v>
      </c>
      <c r="C1576" t="str" cm="1">
        <f t="array" ref="C1576">IFERROR(INDEX({"Ridgetop","Other"},MATCH(TRUE,ISNUMBER(SEARCH({"Ridgetop","Other"},A1576)),0)),"")</f>
        <v>Ridgetop</v>
      </c>
      <c r="D1576" t="str" cm="1">
        <f t="array" ref="D1576">IFERROR(INDEX({"Small","Medium","Large"},MATCH(TRUE,ISNUMBER(SEARCH({"Small","Medium","Large"},A1576)),0)),"")</f>
        <v>Small</v>
      </c>
      <c r="E1576" t="str">
        <f t="shared" si="24"/>
        <v>0.154</v>
      </c>
    </row>
    <row r="1577" spans="1:5" x14ac:dyDescent="0.3">
      <c r="A1577" t="s">
        <v>1575</v>
      </c>
      <c r="B1577" t="str" cm="1">
        <f t="array" ref="B1577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hemlock"},A1577)),0)),"")</f>
        <v>Pacific silver fir (OR)</v>
      </c>
      <c r="C1577" t="str" cm="1">
        <f t="array" ref="C1577">IFERROR(INDEX({"Ridgetop","Other"},MATCH(TRUE,ISNUMBER(SEARCH({"Ridgetop","Other"},A1577)),0)),"")</f>
        <v>Ridgetop</v>
      </c>
      <c r="D1577" t="str" cm="1">
        <f t="array" ref="D1577">IFERROR(INDEX({"Small","Medium","Large"},MATCH(TRUE,ISNUMBER(SEARCH({"Small","Medium","Large"},A1577)),0)),"")</f>
        <v>Medium</v>
      </c>
      <c r="E1577" t="str">
        <f t="shared" si="24"/>
        <v>0.086</v>
      </c>
    </row>
    <row r="1578" spans="1:5" x14ac:dyDescent="0.3">
      <c r="A1578" t="s">
        <v>1576</v>
      </c>
      <c r="B1578" t="str" cm="1">
        <f t="array" ref="B1578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hemlock"},A1578)),0)),"")</f>
        <v>Pacific silver fir (OR)</v>
      </c>
      <c r="C1578" t="str" cm="1">
        <f t="array" ref="C1578">IFERROR(INDEX({"Ridgetop","Other"},MATCH(TRUE,ISNUMBER(SEARCH({"Ridgetop","Other"},A1578)),0)),"")</f>
        <v>Ridgetop</v>
      </c>
      <c r="D1578" t="str" cm="1">
        <f t="array" ref="D1578">IFERROR(INDEX({"Small","Medium","Large"},MATCH(TRUE,ISNUMBER(SEARCH({"Small","Medium","Large"},A1578)),0)),"")</f>
        <v>Large</v>
      </c>
      <c r="E1578" t="str">
        <f t="shared" si="24"/>
        <v>0.038</v>
      </c>
    </row>
    <row r="1579" spans="1:5" x14ac:dyDescent="0.3">
      <c r="A1579" t="s">
        <v>1577</v>
      </c>
      <c r="B1579" t="str" cm="1">
        <f t="array" ref="B1579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hemlock"},A1579)),0)),"")</f>
        <v>Pacific silver fir (OR)</v>
      </c>
      <c r="C1579" t="str" cm="1">
        <f t="array" ref="C1579">IFERROR(INDEX({"Ridgetop","Other"},MATCH(TRUE,ISNUMBER(SEARCH({"Ridgetop","Other"},A1579)),0)),"")</f>
        <v>Ridgetop</v>
      </c>
      <c r="D1579" t="str" cm="1">
        <f t="array" ref="D1579">IFERROR(INDEX({"Small","Medium","Large"},MATCH(TRUE,ISNUMBER(SEARCH({"Small","Medium","Large"},A1579)),0)),"")</f>
        <v>Small</v>
      </c>
      <c r="E1579" t="str">
        <f t="shared" si="24"/>
        <v>0.154</v>
      </c>
    </row>
    <row r="1580" spans="1:5" x14ac:dyDescent="0.3">
      <c r="A1580" t="s">
        <v>1578</v>
      </c>
      <c r="B1580" t="str" cm="1">
        <f t="array" ref="B1580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hemlock"},A1580)),0)),"")</f>
        <v>Pacific silver fir (OR)</v>
      </c>
      <c r="C1580" t="str" cm="1">
        <f t="array" ref="C1580">IFERROR(INDEX({"Ridgetop","Other"},MATCH(TRUE,ISNUMBER(SEARCH({"Ridgetop","Other"},A1580)),0)),"")</f>
        <v>Ridgetop</v>
      </c>
      <c r="D1580" t="str" cm="1">
        <f t="array" ref="D1580">IFERROR(INDEX({"Small","Medium","Large"},MATCH(TRUE,ISNUMBER(SEARCH({"Small","Medium","Large"},A1580)),0)),"")</f>
        <v>Medium</v>
      </c>
      <c r="E1580" t="str">
        <f t="shared" si="24"/>
        <v>0.086</v>
      </c>
    </row>
    <row r="1581" spans="1:5" x14ac:dyDescent="0.3">
      <c r="A1581" t="s">
        <v>1579</v>
      </c>
      <c r="B1581" t="str" cm="1">
        <f t="array" ref="B1581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hemlock"},A1581)),0)),"")</f>
        <v>Pacific silver fir (OR)</v>
      </c>
      <c r="C1581" t="str" cm="1">
        <f t="array" ref="C1581">IFERROR(INDEX({"Ridgetop","Other"},MATCH(TRUE,ISNUMBER(SEARCH({"Ridgetop","Other"},A1581)),0)),"")</f>
        <v>Ridgetop</v>
      </c>
      <c r="D1581" t="str" cm="1">
        <f t="array" ref="D1581">IFERROR(INDEX({"Small","Medium","Large"},MATCH(TRUE,ISNUMBER(SEARCH({"Small","Medium","Large"},A1581)),0)),"")</f>
        <v>Large</v>
      </c>
      <c r="E1581" t="str">
        <f t="shared" si="24"/>
        <v>0.038</v>
      </c>
    </row>
    <row r="1582" spans="1:5" x14ac:dyDescent="0.3">
      <c r="A1582" t="s">
        <v>1580</v>
      </c>
      <c r="B1582" t="str" cm="1">
        <f t="array" ref="B1582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hemlock"},A1582)),0)),"")</f>
        <v>Pacific silver fir (OR)</v>
      </c>
      <c r="C1582" t="str" cm="1">
        <f t="array" ref="C1582">IFERROR(INDEX({"Ridgetop","Other"},MATCH(TRUE,ISNUMBER(SEARCH({"Ridgetop","Other"},A1582)),0)),"")</f>
        <v>Ridgetop</v>
      </c>
      <c r="D1582" t="str" cm="1">
        <f t="array" ref="D1582">IFERROR(INDEX({"Small","Medium","Large"},MATCH(TRUE,ISNUMBER(SEARCH({"Small","Medium","Large"},A1582)),0)),"")</f>
        <v>Small</v>
      </c>
      <c r="E1582" t="str">
        <f t="shared" si="24"/>
        <v>0.154</v>
      </c>
    </row>
    <row r="1583" spans="1:5" x14ac:dyDescent="0.3">
      <c r="A1583" t="s">
        <v>1581</v>
      </c>
      <c r="B1583" t="str" cm="1">
        <f t="array" ref="B1583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hemlock"},A1583)),0)),"")</f>
        <v>Pacific silver fir (OR)</v>
      </c>
      <c r="C1583" t="str" cm="1">
        <f t="array" ref="C1583">IFERROR(INDEX({"Ridgetop","Other"},MATCH(TRUE,ISNUMBER(SEARCH({"Ridgetop","Other"},A1583)),0)),"")</f>
        <v>Ridgetop</v>
      </c>
      <c r="D1583" t="str" cm="1">
        <f t="array" ref="D1583">IFERROR(INDEX({"Small","Medium","Large"},MATCH(TRUE,ISNUMBER(SEARCH({"Small","Medium","Large"},A1583)),0)),"")</f>
        <v>Medium</v>
      </c>
      <c r="E1583" t="str">
        <f t="shared" si="24"/>
        <v>0.086</v>
      </c>
    </row>
    <row r="1584" spans="1:5" x14ac:dyDescent="0.3">
      <c r="A1584" t="s">
        <v>1582</v>
      </c>
      <c r="B1584" t="str" cm="1">
        <f t="array" ref="B1584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hemlock"},A1584)),0)),"")</f>
        <v>Pacific silver fir (OR)</v>
      </c>
      <c r="C1584" t="str" cm="1">
        <f t="array" ref="C1584">IFERROR(INDEX({"Ridgetop","Other"},MATCH(TRUE,ISNUMBER(SEARCH({"Ridgetop","Other"},A1584)),0)),"")</f>
        <v>Ridgetop</v>
      </c>
      <c r="D1584" t="str" cm="1">
        <f t="array" ref="D1584">IFERROR(INDEX({"Small","Medium","Large"},MATCH(TRUE,ISNUMBER(SEARCH({"Small","Medium","Large"},A1584)),0)),"")</f>
        <v>Large</v>
      </c>
      <c r="E1584" t="str">
        <f t="shared" si="24"/>
        <v>0.038</v>
      </c>
    </row>
    <row r="1585" spans="1:5" x14ac:dyDescent="0.3">
      <c r="A1585" t="s">
        <v>1583</v>
      </c>
      <c r="B1585" t="str" cm="1">
        <f t="array" ref="B1585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hemlock"},A1585)),0)),"")</f>
        <v>Pacific silver fir (OR)</v>
      </c>
      <c r="C1585" t="str" cm="1">
        <f t="array" ref="C1585">IFERROR(INDEX({"Ridgetop","Other"},MATCH(TRUE,ISNUMBER(SEARCH({"Ridgetop","Other"},A1585)),0)),"")</f>
        <v>Other</v>
      </c>
      <c r="D1585" t="str" cm="1">
        <f t="array" ref="D1585">IFERROR(INDEX({"Small","Medium","Large"},MATCH(TRUE,ISNUMBER(SEARCH({"Small","Medium","Large"},A1585)),0)),"")</f>
        <v>Small</v>
      </c>
      <c r="E1585" t="str">
        <f t="shared" si="24"/>
        <v>0.075</v>
      </c>
    </row>
    <row r="1586" spans="1:5" x14ac:dyDescent="0.3">
      <c r="A1586" t="s">
        <v>1584</v>
      </c>
      <c r="B1586" t="str" cm="1">
        <f t="array" ref="B1586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hemlock"},A1586)),0)),"")</f>
        <v>Pacific silver fir (OR)</v>
      </c>
      <c r="C1586" t="str" cm="1">
        <f t="array" ref="C1586">IFERROR(INDEX({"Ridgetop","Other"},MATCH(TRUE,ISNUMBER(SEARCH({"Ridgetop","Other"},A1586)),0)),"")</f>
        <v>Other</v>
      </c>
      <c r="D1586" t="str" cm="1">
        <f t="array" ref="D1586">IFERROR(INDEX({"Small","Medium","Large"},MATCH(TRUE,ISNUMBER(SEARCH({"Small","Medium","Large"},A1586)),0)),"")</f>
        <v>Medium</v>
      </c>
      <c r="E1586" t="str">
        <f t="shared" si="24"/>
        <v>0.042</v>
      </c>
    </row>
    <row r="1587" spans="1:5" x14ac:dyDescent="0.3">
      <c r="A1587" t="s">
        <v>1585</v>
      </c>
      <c r="B1587" t="str" cm="1">
        <f t="array" ref="B1587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hemlock"},A1587)),0)),"")</f>
        <v>Pacific silver fir (OR)</v>
      </c>
      <c r="C1587" t="str" cm="1">
        <f t="array" ref="C1587">IFERROR(INDEX({"Ridgetop","Other"},MATCH(TRUE,ISNUMBER(SEARCH({"Ridgetop","Other"},A1587)),0)),"")</f>
        <v>Other</v>
      </c>
      <c r="D1587" t="str" cm="1">
        <f t="array" ref="D1587">IFERROR(INDEX({"Small","Medium","Large"},MATCH(TRUE,ISNUMBER(SEARCH({"Small","Medium","Large"},A1587)),0)),"")</f>
        <v>Large</v>
      </c>
      <c r="E1587" t="str">
        <f t="shared" si="24"/>
        <v>0.019</v>
      </c>
    </row>
    <row r="1588" spans="1:5" x14ac:dyDescent="0.3">
      <c r="A1588" t="s">
        <v>1586</v>
      </c>
      <c r="B1588" t="str" cm="1">
        <f t="array" ref="B1588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hemlock"},A1588)),0)),"")</f>
        <v>Pacific silver fir (OR)</v>
      </c>
      <c r="C1588" t="str" cm="1">
        <f t="array" ref="C1588">IFERROR(INDEX({"Ridgetop","Other"},MATCH(TRUE,ISNUMBER(SEARCH({"Ridgetop","Other"},A1588)),0)),"")</f>
        <v>Other</v>
      </c>
      <c r="D1588" t="str" cm="1">
        <f t="array" ref="D1588">IFERROR(INDEX({"Small","Medium","Large"},MATCH(TRUE,ISNUMBER(SEARCH({"Small","Medium","Large"},A1588)),0)),"")</f>
        <v>Small</v>
      </c>
      <c r="E1588" t="str">
        <f t="shared" si="24"/>
        <v>0.085</v>
      </c>
    </row>
    <row r="1589" spans="1:5" x14ac:dyDescent="0.3">
      <c r="A1589" t="s">
        <v>1587</v>
      </c>
      <c r="B1589" t="str" cm="1">
        <f t="array" ref="B1589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hemlock"},A1589)),0)),"")</f>
        <v>Pacific silver fir (OR)</v>
      </c>
      <c r="C1589" t="str" cm="1">
        <f t="array" ref="C1589">IFERROR(INDEX({"Ridgetop","Other"},MATCH(TRUE,ISNUMBER(SEARCH({"Ridgetop","Other"},A1589)),0)),"")</f>
        <v>Other</v>
      </c>
      <c r="D1589" t="str" cm="1">
        <f t="array" ref="D1589">IFERROR(INDEX({"Small","Medium","Large"},MATCH(TRUE,ISNUMBER(SEARCH({"Small","Medium","Large"},A1589)),0)),"")</f>
        <v>Medium</v>
      </c>
      <c r="E1589" t="str">
        <f t="shared" si="24"/>
        <v>0.047</v>
      </c>
    </row>
    <row r="1590" spans="1:5" x14ac:dyDescent="0.3">
      <c r="A1590" t="s">
        <v>1588</v>
      </c>
      <c r="B1590" t="str" cm="1">
        <f t="array" ref="B1590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hemlock"},A1590)),0)),"")</f>
        <v>Pacific silver fir (OR)</v>
      </c>
      <c r="C1590" t="str" cm="1">
        <f t="array" ref="C1590">IFERROR(INDEX({"Ridgetop","Other"},MATCH(TRUE,ISNUMBER(SEARCH({"Ridgetop","Other"},A1590)),0)),"")</f>
        <v>Other</v>
      </c>
      <c r="D1590" t="str" cm="1">
        <f t="array" ref="D1590">IFERROR(INDEX({"Small","Medium","Large"},MATCH(TRUE,ISNUMBER(SEARCH({"Small","Medium","Large"},A1590)),0)),"")</f>
        <v>Large</v>
      </c>
      <c r="E1590" t="str">
        <f t="shared" si="24"/>
        <v>0.021</v>
      </c>
    </row>
    <row r="1591" spans="1:5" x14ac:dyDescent="0.3">
      <c r="A1591" t="s">
        <v>1589</v>
      </c>
      <c r="B1591" t="str" cm="1">
        <f t="array" ref="B1591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hemlock"},A1591)),0)),"")</f>
        <v>Pacific silver fir (OR)</v>
      </c>
      <c r="C1591" t="str" cm="1">
        <f t="array" ref="C1591">IFERROR(INDEX({"Ridgetop","Other"},MATCH(TRUE,ISNUMBER(SEARCH({"Ridgetop","Other"},A1591)),0)),"")</f>
        <v>Other</v>
      </c>
      <c r="D1591" t="str" cm="1">
        <f t="array" ref="D1591">IFERROR(INDEX({"Small","Medium","Large"},MATCH(TRUE,ISNUMBER(SEARCH({"Small","Medium","Large"},A1591)),0)),"")</f>
        <v>Small</v>
      </c>
      <c r="E1591" t="str">
        <f t="shared" si="24"/>
        <v>0.092</v>
      </c>
    </row>
    <row r="1592" spans="1:5" x14ac:dyDescent="0.3">
      <c r="A1592" t="s">
        <v>1590</v>
      </c>
      <c r="B1592" t="str" cm="1">
        <f t="array" ref="B1592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hemlock"},A1592)),0)),"")</f>
        <v>Pacific silver fir (OR)</v>
      </c>
      <c r="C1592" t="str" cm="1">
        <f t="array" ref="C1592">IFERROR(INDEX({"Ridgetop","Other"},MATCH(TRUE,ISNUMBER(SEARCH({"Ridgetop","Other"},A1592)),0)),"")</f>
        <v>Other</v>
      </c>
      <c r="D1592" t="str" cm="1">
        <f t="array" ref="D1592">IFERROR(INDEX({"Small","Medium","Large"},MATCH(TRUE,ISNUMBER(SEARCH({"Small","Medium","Large"},A1592)),0)),"")</f>
        <v>Medium</v>
      </c>
      <c r="E1592" t="str">
        <f t="shared" si="24"/>
        <v>0.052</v>
      </c>
    </row>
    <row r="1593" spans="1:5" x14ac:dyDescent="0.3">
      <c r="A1593" t="s">
        <v>1591</v>
      </c>
      <c r="B1593" t="str" cm="1">
        <f t="array" ref="B1593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hemlock"},A1593)),0)),"")</f>
        <v>Pacific silver fir (OR)</v>
      </c>
      <c r="C1593" t="str" cm="1">
        <f t="array" ref="C1593">IFERROR(INDEX({"Ridgetop","Other"},MATCH(TRUE,ISNUMBER(SEARCH({"Ridgetop","Other"},A1593)),0)),"")</f>
        <v>Other</v>
      </c>
      <c r="D1593" t="str" cm="1">
        <f t="array" ref="D1593">IFERROR(INDEX({"Small","Medium","Large"},MATCH(TRUE,ISNUMBER(SEARCH({"Small","Medium","Large"},A1593)),0)),"")</f>
        <v>Large</v>
      </c>
      <c r="E1593" t="str">
        <f t="shared" si="24"/>
        <v>0.023</v>
      </c>
    </row>
    <row r="1594" spans="1:5" x14ac:dyDescent="0.3">
      <c r="A1594" t="s">
        <v>1592</v>
      </c>
      <c r="B1594" t="str" cm="1">
        <f t="array" ref="B1594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hemlock"},A1594)),0)),"")</f>
        <v>Pacific silver fir (OR)</v>
      </c>
      <c r="C1594" t="str" cm="1">
        <f t="array" ref="C1594">IFERROR(INDEX({"Ridgetop","Other"},MATCH(TRUE,ISNUMBER(SEARCH({"Ridgetop","Other"},A1594)),0)),"")</f>
        <v>Ridgetop</v>
      </c>
      <c r="D1594" t="str" cm="1">
        <f t="array" ref="D1594">IFERROR(INDEX({"Small","Medium","Large"},MATCH(TRUE,ISNUMBER(SEARCH({"Small","Medium","Large"},A1594)),0)),"")</f>
        <v>Small</v>
      </c>
      <c r="E1594" t="str">
        <f t="shared" si="24"/>
        <v>0.142</v>
      </c>
    </row>
    <row r="1595" spans="1:5" x14ac:dyDescent="0.3">
      <c r="A1595" t="s">
        <v>1593</v>
      </c>
      <c r="B1595" t="str" cm="1">
        <f t="array" ref="B1595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hemlock"},A1595)),0)),"")</f>
        <v>Pacific silver fir (OR)</v>
      </c>
      <c r="C1595" t="str" cm="1">
        <f t="array" ref="C1595">IFERROR(INDEX({"Ridgetop","Other"},MATCH(TRUE,ISNUMBER(SEARCH({"Ridgetop","Other"},A1595)),0)),"")</f>
        <v>Ridgetop</v>
      </c>
      <c r="D1595" t="str" cm="1">
        <f t="array" ref="D1595">IFERROR(INDEX({"Small","Medium","Large"},MATCH(TRUE,ISNUMBER(SEARCH({"Small","Medium","Large"},A1595)),0)),"")</f>
        <v>Medium</v>
      </c>
      <c r="E1595" t="str">
        <f t="shared" si="24"/>
        <v>0.080</v>
      </c>
    </row>
    <row r="1596" spans="1:5" x14ac:dyDescent="0.3">
      <c r="A1596" t="s">
        <v>1594</v>
      </c>
      <c r="B1596" t="str" cm="1">
        <f t="array" ref="B1596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hemlock"},A1596)),0)),"")</f>
        <v>Pacific silver fir (OR)</v>
      </c>
      <c r="C1596" t="str" cm="1">
        <f t="array" ref="C1596">IFERROR(INDEX({"Ridgetop","Other"},MATCH(TRUE,ISNUMBER(SEARCH({"Ridgetop","Other"},A1596)),0)),"")</f>
        <v>Ridgetop</v>
      </c>
      <c r="D1596" t="str" cm="1">
        <f t="array" ref="D1596">IFERROR(INDEX({"Small","Medium","Large"},MATCH(TRUE,ISNUMBER(SEARCH({"Small","Medium","Large"},A1596)),0)),"")</f>
        <v>Large</v>
      </c>
      <c r="E1596" t="str">
        <f t="shared" si="24"/>
        <v>0.035</v>
      </c>
    </row>
    <row r="1597" spans="1:5" x14ac:dyDescent="0.3">
      <c r="A1597" t="s">
        <v>1595</v>
      </c>
      <c r="B1597" t="str" cm="1">
        <f t="array" ref="B1597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hemlock"},A1597)),0)),"")</f>
        <v>Pacific silver fir (OR)</v>
      </c>
      <c r="C1597" t="str" cm="1">
        <f t="array" ref="C1597">IFERROR(INDEX({"Ridgetop","Other"},MATCH(TRUE,ISNUMBER(SEARCH({"Ridgetop","Other"},A1597)),0)),"")</f>
        <v>Ridgetop</v>
      </c>
      <c r="D1597" t="str" cm="1">
        <f t="array" ref="D1597">IFERROR(INDEX({"Small","Medium","Large"},MATCH(TRUE,ISNUMBER(SEARCH({"Small","Medium","Large"},A1597)),0)),"")</f>
        <v>Small</v>
      </c>
      <c r="E1597" t="str">
        <f t="shared" si="24"/>
        <v>0.142</v>
      </c>
    </row>
    <row r="1598" spans="1:5" x14ac:dyDescent="0.3">
      <c r="A1598" t="s">
        <v>1596</v>
      </c>
      <c r="B1598" t="str" cm="1">
        <f t="array" ref="B1598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hemlock"},A1598)),0)),"")</f>
        <v>Pacific silver fir (OR)</v>
      </c>
      <c r="C1598" t="str" cm="1">
        <f t="array" ref="C1598">IFERROR(INDEX({"Ridgetop","Other"},MATCH(TRUE,ISNUMBER(SEARCH({"Ridgetop","Other"},A1598)),0)),"")</f>
        <v>Ridgetop</v>
      </c>
      <c r="D1598" t="str" cm="1">
        <f t="array" ref="D1598">IFERROR(INDEX({"Small","Medium","Large"},MATCH(TRUE,ISNUMBER(SEARCH({"Small","Medium","Large"},A1598)),0)),"")</f>
        <v>Medium</v>
      </c>
      <c r="E1598" t="str">
        <f t="shared" si="24"/>
        <v>0.080</v>
      </c>
    </row>
    <row r="1599" spans="1:5" x14ac:dyDescent="0.3">
      <c r="A1599" t="s">
        <v>1597</v>
      </c>
      <c r="B1599" t="str" cm="1">
        <f t="array" ref="B1599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hemlock"},A1599)),0)),"")</f>
        <v>Pacific silver fir (OR)</v>
      </c>
      <c r="C1599" t="str" cm="1">
        <f t="array" ref="C1599">IFERROR(INDEX({"Ridgetop","Other"},MATCH(TRUE,ISNUMBER(SEARCH({"Ridgetop","Other"},A1599)),0)),"")</f>
        <v>Ridgetop</v>
      </c>
      <c r="D1599" t="str" cm="1">
        <f t="array" ref="D1599">IFERROR(INDEX({"Small","Medium","Large"},MATCH(TRUE,ISNUMBER(SEARCH({"Small","Medium","Large"},A1599)),0)),"")</f>
        <v>Large</v>
      </c>
      <c r="E1599" t="str">
        <f t="shared" si="24"/>
        <v>0.035</v>
      </c>
    </row>
    <row r="1600" spans="1:5" x14ac:dyDescent="0.3">
      <c r="A1600" t="s">
        <v>1598</v>
      </c>
      <c r="B1600" t="str" cm="1">
        <f t="array" ref="B1600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hemlock"},A1600)),0)),"")</f>
        <v>Pacific silver fir (OR)</v>
      </c>
      <c r="C1600" t="str" cm="1">
        <f t="array" ref="C1600">IFERROR(INDEX({"Ridgetop","Other"},MATCH(TRUE,ISNUMBER(SEARCH({"Ridgetop","Other"},A1600)),0)),"")</f>
        <v>Ridgetop</v>
      </c>
      <c r="D1600" t="str" cm="1">
        <f t="array" ref="D1600">IFERROR(INDEX({"Small","Medium","Large"},MATCH(TRUE,ISNUMBER(SEARCH({"Small","Medium","Large"},A1600)),0)),"")</f>
        <v>Small</v>
      </c>
      <c r="E1600" t="str">
        <f t="shared" si="24"/>
        <v>0.146</v>
      </c>
    </row>
    <row r="1601" spans="1:5" x14ac:dyDescent="0.3">
      <c r="A1601" t="s">
        <v>1599</v>
      </c>
      <c r="B1601" t="str" cm="1">
        <f t="array" ref="B1601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hemlock"},A1601)),0)),"")</f>
        <v>Pacific silver fir (OR)</v>
      </c>
      <c r="C1601" t="str" cm="1">
        <f t="array" ref="C1601">IFERROR(INDEX({"Ridgetop","Other"},MATCH(TRUE,ISNUMBER(SEARCH({"Ridgetop","Other"},A1601)),0)),"")</f>
        <v>Ridgetop</v>
      </c>
      <c r="D1601" t="str" cm="1">
        <f t="array" ref="D1601">IFERROR(INDEX({"Small","Medium","Large"},MATCH(TRUE,ISNUMBER(SEARCH({"Small","Medium","Large"},A1601)),0)),"")</f>
        <v>Medium</v>
      </c>
      <c r="E1601" t="str">
        <f t="shared" si="24"/>
        <v>0.082</v>
      </c>
    </row>
    <row r="1602" spans="1:5" x14ac:dyDescent="0.3">
      <c r="A1602" t="s">
        <v>1600</v>
      </c>
      <c r="B1602" t="str" cm="1">
        <f t="array" ref="B1602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hemlock"},A1602)),0)),"")</f>
        <v>Pacific silver fir (OR)</v>
      </c>
      <c r="C1602" t="str" cm="1">
        <f t="array" ref="C1602">IFERROR(INDEX({"Ridgetop","Other"},MATCH(TRUE,ISNUMBER(SEARCH({"Ridgetop","Other"},A1602)),0)),"")</f>
        <v>Ridgetop</v>
      </c>
      <c r="D1602" t="str" cm="1">
        <f t="array" ref="D1602">IFERROR(INDEX({"Small","Medium","Large"},MATCH(TRUE,ISNUMBER(SEARCH({"Small","Medium","Large"},A1602)),0)),"")</f>
        <v>Large</v>
      </c>
      <c r="E1602" t="str">
        <f t="shared" si="24"/>
        <v>0.036</v>
      </c>
    </row>
    <row r="1603" spans="1:5" x14ac:dyDescent="0.3">
      <c r="A1603" t="s">
        <v>1601</v>
      </c>
      <c r="B1603" t="str" cm="1">
        <f t="array" ref="B1603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hemlock"},A1603)),0)),"")</f>
        <v>Pacific silver fir (OR)</v>
      </c>
      <c r="C1603" t="str" cm="1">
        <f t="array" ref="C1603">IFERROR(INDEX({"Ridgetop","Other"},MATCH(TRUE,ISNUMBER(SEARCH({"Ridgetop","Other"},A1603)),0)),"")</f>
        <v>Other</v>
      </c>
      <c r="D1603" t="str" cm="1">
        <f t="array" ref="D1603">IFERROR(INDEX({"Small","Medium","Large"},MATCH(TRUE,ISNUMBER(SEARCH({"Small","Medium","Large"},A1603)),0)),"")</f>
        <v>Small</v>
      </c>
      <c r="E1603" t="str">
        <f t="shared" ref="E1603:E1666" si="25">RIGHT(A1603,LEN(A1603)-FIND("@",SUBSTITUTE(A1603," ","@",LEN(A1603)-LEN(SUBSTITUTE(A1603," ","")))))</f>
        <v>0.085</v>
      </c>
    </row>
    <row r="1604" spans="1:5" x14ac:dyDescent="0.3">
      <c r="A1604" t="s">
        <v>1602</v>
      </c>
      <c r="B1604" t="str" cm="1">
        <f t="array" ref="B1604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hemlock"},A1604)),0)),"")</f>
        <v>Pacific silver fir (OR)</v>
      </c>
      <c r="C1604" t="str" cm="1">
        <f t="array" ref="C1604">IFERROR(INDEX({"Ridgetop","Other"},MATCH(TRUE,ISNUMBER(SEARCH({"Ridgetop","Other"},A1604)),0)),"")</f>
        <v>Other</v>
      </c>
      <c r="D1604" t="str" cm="1">
        <f t="array" ref="D1604">IFERROR(INDEX({"Small","Medium","Large"},MATCH(TRUE,ISNUMBER(SEARCH({"Small","Medium","Large"},A1604)),0)),"")</f>
        <v>Medium</v>
      </c>
      <c r="E1604" t="str">
        <f t="shared" si="25"/>
        <v>0.047</v>
      </c>
    </row>
    <row r="1605" spans="1:5" x14ac:dyDescent="0.3">
      <c r="A1605" t="s">
        <v>1603</v>
      </c>
      <c r="B1605" t="str" cm="1">
        <f t="array" ref="B1605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hemlock"},A1605)),0)),"")</f>
        <v>Pacific silver fir (OR)</v>
      </c>
      <c r="C1605" t="str" cm="1">
        <f t="array" ref="C1605">IFERROR(INDEX({"Ridgetop","Other"},MATCH(TRUE,ISNUMBER(SEARCH({"Ridgetop","Other"},A1605)),0)),"")</f>
        <v>Other</v>
      </c>
      <c r="D1605" t="str" cm="1">
        <f t="array" ref="D1605">IFERROR(INDEX({"Small","Medium","Large"},MATCH(TRUE,ISNUMBER(SEARCH({"Small","Medium","Large"},A1605)),0)),"")</f>
        <v>Large</v>
      </c>
      <c r="E1605" t="str">
        <f t="shared" si="25"/>
        <v>0.021</v>
      </c>
    </row>
    <row r="1606" spans="1:5" x14ac:dyDescent="0.3">
      <c r="A1606" t="s">
        <v>1604</v>
      </c>
      <c r="B1606" t="str" cm="1">
        <f t="array" ref="B1606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hemlock"},A1606)),0)),"")</f>
        <v>Pacific silver fir (OR)</v>
      </c>
      <c r="C1606" t="str" cm="1">
        <f t="array" ref="C1606">IFERROR(INDEX({"Ridgetop","Other"},MATCH(TRUE,ISNUMBER(SEARCH({"Ridgetop","Other"},A1606)),0)),"")</f>
        <v>Other</v>
      </c>
      <c r="D1606" t="str" cm="1">
        <f t="array" ref="D1606">IFERROR(INDEX({"Small","Medium","Large"},MATCH(TRUE,ISNUMBER(SEARCH({"Small","Medium","Large"},A1606)),0)),"")</f>
        <v>Small</v>
      </c>
      <c r="E1606" t="str">
        <f t="shared" si="25"/>
        <v>0.092</v>
      </c>
    </row>
    <row r="1607" spans="1:5" x14ac:dyDescent="0.3">
      <c r="A1607" t="s">
        <v>1605</v>
      </c>
      <c r="B1607" t="str" cm="1">
        <f t="array" ref="B1607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hemlock"},A1607)),0)),"")</f>
        <v>Pacific silver fir (OR)</v>
      </c>
      <c r="C1607" t="str" cm="1">
        <f t="array" ref="C1607">IFERROR(INDEX({"Ridgetop","Other"},MATCH(TRUE,ISNUMBER(SEARCH({"Ridgetop","Other"},A1607)),0)),"")</f>
        <v>Other</v>
      </c>
      <c r="D1607" t="str" cm="1">
        <f t="array" ref="D1607">IFERROR(INDEX({"Small","Medium","Large"},MATCH(TRUE,ISNUMBER(SEARCH({"Small","Medium","Large"},A1607)),0)),"")</f>
        <v>Medium</v>
      </c>
      <c r="E1607" t="str">
        <f t="shared" si="25"/>
        <v>0.052</v>
      </c>
    </row>
    <row r="1608" spans="1:5" x14ac:dyDescent="0.3">
      <c r="A1608" t="s">
        <v>1606</v>
      </c>
      <c r="B1608" t="str" cm="1">
        <f t="array" ref="B1608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hemlock"},A1608)),0)),"")</f>
        <v>Pacific silver fir (OR)</v>
      </c>
      <c r="C1608" t="str" cm="1">
        <f t="array" ref="C1608">IFERROR(INDEX({"Ridgetop","Other"},MATCH(TRUE,ISNUMBER(SEARCH({"Ridgetop","Other"},A1608)),0)),"")</f>
        <v>Other</v>
      </c>
      <c r="D1608" t="str" cm="1">
        <f t="array" ref="D1608">IFERROR(INDEX({"Small","Medium","Large"},MATCH(TRUE,ISNUMBER(SEARCH({"Small","Medium","Large"},A1608)),0)),"")</f>
        <v>Large</v>
      </c>
      <c r="E1608" t="str">
        <f t="shared" si="25"/>
        <v>0.023</v>
      </c>
    </row>
    <row r="1609" spans="1:5" x14ac:dyDescent="0.3">
      <c r="A1609" t="s">
        <v>1607</v>
      </c>
      <c r="B1609" t="str" cm="1">
        <f t="array" ref="B1609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hemlock"},A1609)),0)),"")</f>
        <v>Pacific silver fir (OR)</v>
      </c>
      <c r="C1609" t="str" cm="1">
        <f t="array" ref="C1609">IFERROR(INDEX({"Ridgetop","Other"},MATCH(TRUE,ISNUMBER(SEARCH({"Ridgetop","Other"},A1609)),0)),"")</f>
        <v>Other</v>
      </c>
      <c r="D1609" t="str" cm="1">
        <f t="array" ref="D1609">IFERROR(INDEX({"Small","Medium","Large"},MATCH(TRUE,ISNUMBER(SEARCH({"Small","Medium","Large"},A1609)),0)),"")</f>
        <v>Small</v>
      </c>
      <c r="E1609" t="str">
        <f t="shared" si="25"/>
        <v>0.092</v>
      </c>
    </row>
    <row r="1610" spans="1:5" x14ac:dyDescent="0.3">
      <c r="A1610" t="s">
        <v>1608</v>
      </c>
      <c r="B1610" t="str" cm="1">
        <f t="array" ref="B1610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hemlock"},A1610)),0)),"")</f>
        <v>Pacific silver fir (OR)</v>
      </c>
      <c r="C1610" t="str" cm="1">
        <f t="array" ref="C1610">IFERROR(INDEX({"Ridgetop","Other"},MATCH(TRUE,ISNUMBER(SEARCH({"Ridgetop","Other"},A1610)),0)),"")</f>
        <v>Other</v>
      </c>
      <c r="D1610" t="str" cm="1">
        <f t="array" ref="D1610">IFERROR(INDEX({"Small","Medium","Large"},MATCH(TRUE,ISNUMBER(SEARCH({"Small","Medium","Large"},A1610)),0)),"")</f>
        <v>Medium</v>
      </c>
      <c r="E1610" t="str">
        <f t="shared" si="25"/>
        <v>0.052</v>
      </c>
    </row>
    <row r="1611" spans="1:5" x14ac:dyDescent="0.3">
      <c r="A1611" t="s">
        <v>1609</v>
      </c>
      <c r="B1611" t="str" cm="1">
        <f t="array" ref="B1611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hemlock"},A1611)),0)),"")</f>
        <v>Pacific silver fir (OR)</v>
      </c>
      <c r="C1611" t="str" cm="1">
        <f t="array" ref="C1611">IFERROR(INDEX({"Ridgetop","Other"},MATCH(TRUE,ISNUMBER(SEARCH({"Ridgetop","Other"},A1611)),0)),"")</f>
        <v>Other</v>
      </c>
      <c r="D1611" t="str" cm="1">
        <f t="array" ref="D1611">IFERROR(INDEX({"Small","Medium","Large"},MATCH(TRUE,ISNUMBER(SEARCH({"Small","Medium","Large"},A1611)),0)),"")</f>
        <v>Large</v>
      </c>
      <c r="E1611" t="str">
        <f t="shared" si="25"/>
        <v>0.023</v>
      </c>
    </row>
    <row r="1612" spans="1:5" x14ac:dyDescent="0.3">
      <c r="A1612" t="s">
        <v>1610</v>
      </c>
      <c r="B1612" t="str" cm="1">
        <f t="array" ref="B1612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hemlock"},A1612)),0)),"")</f>
        <v>Pacific silver fir (OR)</v>
      </c>
      <c r="C1612" t="str" cm="1">
        <f t="array" ref="C1612">IFERROR(INDEX({"Ridgetop","Other"},MATCH(TRUE,ISNUMBER(SEARCH({"Ridgetop","Other"},A1612)),0)),"")</f>
        <v>Ridgetop</v>
      </c>
      <c r="D1612" t="str" cm="1">
        <f t="array" ref="D1612">IFERROR(INDEX({"Small","Medium","Large"},MATCH(TRUE,ISNUMBER(SEARCH({"Small","Medium","Large"},A1612)),0)),"")</f>
        <v>Small</v>
      </c>
      <c r="E1612" t="str">
        <f t="shared" si="25"/>
        <v>0.154</v>
      </c>
    </row>
    <row r="1613" spans="1:5" x14ac:dyDescent="0.3">
      <c r="A1613" t="s">
        <v>1611</v>
      </c>
      <c r="B1613" t="str" cm="1">
        <f t="array" ref="B1613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hemlock"},A1613)),0)),"")</f>
        <v>Pacific silver fir (OR)</v>
      </c>
      <c r="C1613" t="str" cm="1">
        <f t="array" ref="C1613">IFERROR(INDEX({"Ridgetop","Other"},MATCH(TRUE,ISNUMBER(SEARCH({"Ridgetop","Other"},A1613)),0)),"")</f>
        <v>Ridgetop</v>
      </c>
      <c r="D1613" t="str" cm="1">
        <f t="array" ref="D1613">IFERROR(INDEX({"Small","Medium","Large"},MATCH(TRUE,ISNUMBER(SEARCH({"Small","Medium","Large"},A1613)),0)),"")</f>
        <v>Medium</v>
      </c>
      <c r="E1613" t="str">
        <f t="shared" si="25"/>
        <v>0.086</v>
      </c>
    </row>
    <row r="1614" spans="1:5" x14ac:dyDescent="0.3">
      <c r="A1614" t="s">
        <v>1612</v>
      </c>
      <c r="B1614" t="str" cm="1">
        <f t="array" ref="B1614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hemlock"},A1614)),0)),"")</f>
        <v>Pacific silver fir (OR)</v>
      </c>
      <c r="C1614" t="str" cm="1">
        <f t="array" ref="C1614">IFERROR(INDEX({"Ridgetop","Other"},MATCH(TRUE,ISNUMBER(SEARCH({"Ridgetop","Other"},A1614)),0)),"")</f>
        <v>Ridgetop</v>
      </c>
      <c r="D1614" t="str" cm="1">
        <f t="array" ref="D1614">IFERROR(INDEX({"Small","Medium","Large"},MATCH(TRUE,ISNUMBER(SEARCH({"Small","Medium","Large"},A1614)),0)),"")</f>
        <v>Large</v>
      </c>
      <c r="E1614" t="str">
        <f t="shared" si="25"/>
        <v>0.038</v>
      </c>
    </row>
    <row r="1615" spans="1:5" x14ac:dyDescent="0.3">
      <c r="A1615" t="s">
        <v>1613</v>
      </c>
      <c r="B1615" t="str" cm="1">
        <f t="array" ref="B1615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hemlock"},A1615)),0)),"")</f>
        <v>Pacific silver fir (OR)</v>
      </c>
      <c r="C1615" t="str" cm="1">
        <f t="array" ref="C1615">IFERROR(INDEX({"Ridgetop","Other"},MATCH(TRUE,ISNUMBER(SEARCH({"Ridgetop","Other"},A1615)),0)),"")</f>
        <v>Ridgetop</v>
      </c>
      <c r="D1615" t="str" cm="1">
        <f t="array" ref="D1615">IFERROR(INDEX({"Small","Medium","Large"},MATCH(TRUE,ISNUMBER(SEARCH({"Small","Medium","Large"},A1615)),0)),"")</f>
        <v>Small</v>
      </c>
      <c r="E1615" t="str">
        <f t="shared" si="25"/>
        <v>0.154</v>
      </c>
    </row>
    <row r="1616" spans="1:5" x14ac:dyDescent="0.3">
      <c r="A1616" t="s">
        <v>1614</v>
      </c>
      <c r="B1616" t="str" cm="1">
        <f t="array" ref="B1616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hemlock"},A1616)),0)),"")</f>
        <v>Pacific silver fir (OR)</v>
      </c>
      <c r="C1616" t="str" cm="1">
        <f t="array" ref="C1616">IFERROR(INDEX({"Ridgetop","Other"},MATCH(TRUE,ISNUMBER(SEARCH({"Ridgetop","Other"},A1616)),0)),"")</f>
        <v>Ridgetop</v>
      </c>
      <c r="D1616" t="str" cm="1">
        <f t="array" ref="D1616">IFERROR(INDEX({"Small","Medium","Large"},MATCH(TRUE,ISNUMBER(SEARCH({"Small","Medium","Large"},A1616)),0)),"")</f>
        <v>Medium</v>
      </c>
      <c r="E1616" t="str">
        <f t="shared" si="25"/>
        <v>0.086</v>
      </c>
    </row>
    <row r="1617" spans="1:5" x14ac:dyDescent="0.3">
      <c r="A1617" t="s">
        <v>1615</v>
      </c>
      <c r="B1617" t="str" cm="1">
        <f t="array" ref="B1617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hemlock"},A1617)),0)),"")</f>
        <v>Pacific silver fir (OR)</v>
      </c>
      <c r="C1617" t="str" cm="1">
        <f t="array" ref="C1617">IFERROR(INDEX({"Ridgetop","Other"},MATCH(TRUE,ISNUMBER(SEARCH({"Ridgetop","Other"},A1617)),0)),"")</f>
        <v>Ridgetop</v>
      </c>
      <c r="D1617" t="str" cm="1">
        <f t="array" ref="D1617">IFERROR(INDEX({"Small","Medium","Large"},MATCH(TRUE,ISNUMBER(SEARCH({"Small","Medium","Large"},A1617)),0)),"")</f>
        <v>Large</v>
      </c>
      <c r="E1617" t="str">
        <f t="shared" si="25"/>
        <v>0.038</v>
      </c>
    </row>
    <row r="1618" spans="1:5" x14ac:dyDescent="0.3">
      <c r="A1618" t="s">
        <v>1616</v>
      </c>
      <c r="B1618" t="str" cm="1">
        <f t="array" ref="B1618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hemlock"},A1618)),0)),"")</f>
        <v>Pacific silver fir (OR)</v>
      </c>
      <c r="C1618" t="str" cm="1">
        <f t="array" ref="C1618">IFERROR(INDEX({"Ridgetop","Other"},MATCH(TRUE,ISNUMBER(SEARCH({"Ridgetop","Other"},A1618)),0)),"")</f>
        <v>Ridgetop</v>
      </c>
      <c r="D1618" t="str" cm="1">
        <f t="array" ref="D1618">IFERROR(INDEX({"Small","Medium","Large"},MATCH(TRUE,ISNUMBER(SEARCH({"Small","Medium","Large"},A1618)),0)),"")</f>
        <v>Small</v>
      </c>
      <c r="E1618" t="str">
        <f t="shared" si="25"/>
        <v>0.154</v>
      </c>
    </row>
    <row r="1619" spans="1:5" x14ac:dyDescent="0.3">
      <c r="A1619" t="s">
        <v>1617</v>
      </c>
      <c r="B1619" t="str" cm="1">
        <f t="array" ref="B1619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hemlock"},A1619)),0)),"")</f>
        <v>Pacific silver fir (OR)</v>
      </c>
      <c r="C1619" t="str" cm="1">
        <f t="array" ref="C1619">IFERROR(INDEX({"Ridgetop","Other"},MATCH(TRUE,ISNUMBER(SEARCH({"Ridgetop","Other"},A1619)),0)),"")</f>
        <v>Ridgetop</v>
      </c>
      <c r="D1619" t="str" cm="1">
        <f t="array" ref="D1619">IFERROR(INDEX({"Small","Medium","Large"},MATCH(TRUE,ISNUMBER(SEARCH({"Small","Medium","Large"},A1619)),0)),"")</f>
        <v>Medium</v>
      </c>
      <c r="E1619" t="str">
        <f t="shared" si="25"/>
        <v>0.086</v>
      </c>
    </row>
    <row r="1620" spans="1:5" x14ac:dyDescent="0.3">
      <c r="A1620" t="s">
        <v>1618</v>
      </c>
      <c r="B1620" t="str" cm="1">
        <f t="array" ref="B1620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hemlock"},A1620)),0)),"")</f>
        <v>Pacific silver fir (OR)</v>
      </c>
      <c r="C1620" t="str" cm="1">
        <f t="array" ref="C1620">IFERROR(INDEX({"Ridgetop","Other"},MATCH(TRUE,ISNUMBER(SEARCH({"Ridgetop","Other"},A1620)),0)),"")</f>
        <v>Ridgetop</v>
      </c>
      <c r="D1620" t="str" cm="1">
        <f t="array" ref="D1620">IFERROR(INDEX({"Small","Medium","Large"},MATCH(TRUE,ISNUMBER(SEARCH({"Small","Medium","Large"},A1620)),0)),"")</f>
        <v>Large</v>
      </c>
      <c r="E1620" t="str">
        <f t="shared" si="25"/>
        <v>0.038</v>
      </c>
    </row>
    <row r="1621" spans="1:5" x14ac:dyDescent="0.3">
      <c r="A1621" t="s">
        <v>1619</v>
      </c>
      <c r="B1621" t="str" cm="1">
        <f t="array" ref="B1621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hemlock"},A1621)),0)),"")</f>
        <v>Pacific silver fir (WA)</v>
      </c>
      <c r="C1621" t="str" cm="1">
        <f t="array" ref="C1621">IFERROR(INDEX({"Ridgetop","Other"},MATCH(TRUE,ISNUMBER(SEARCH({"Ridgetop","Other"},A1621)),0)),"")</f>
        <v>Other</v>
      </c>
      <c r="D1621" t="str" cm="1">
        <f t="array" ref="D1621">IFERROR(INDEX({"Small","Medium","Large"},MATCH(TRUE,ISNUMBER(SEARCH({"Small","Medium","Large"},A1621)),0)),"")</f>
        <v>Small</v>
      </c>
      <c r="E1621" t="str">
        <f t="shared" si="25"/>
        <v>0.043</v>
      </c>
    </row>
    <row r="1622" spans="1:5" x14ac:dyDescent="0.3">
      <c r="A1622" t="s">
        <v>1620</v>
      </c>
      <c r="B1622" t="str" cm="1">
        <f t="array" ref="B1622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hemlock"},A1622)),0)),"")</f>
        <v>Pacific silver fir (WA)</v>
      </c>
      <c r="C1622" t="str" cm="1">
        <f t="array" ref="C1622">IFERROR(INDEX({"Ridgetop","Other"},MATCH(TRUE,ISNUMBER(SEARCH({"Ridgetop","Other"},A1622)),0)),"")</f>
        <v>Other</v>
      </c>
      <c r="D1622" t="str" cm="1">
        <f t="array" ref="D1622">IFERROR(INDEX({"Small","Medium","Large"},MATCH(TRUE,ISNUMBER(SEARCH({"Small","Medium","Large"},A1622)),0)),"")</f>
        <v>Medium</v>
      </c>
      <c r="E1622" t="str">
        <f t="shared" si="25"/>
        <v>0.026</v>
      </c>
    </row>
    <row r="1623" spans="1:5" x14ac:dyDescent="0.3">
      <c r="A1623" t="s">
        <v>1621</v>
      </c>
      <c r="B1623" t="str" cm="1">
        <f t="array" ref="B1623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hemlock"},A1623)),0)),"")</f>
        <v>Pacific silver fir (WA)</v>
      </c>
      <c r="C1623" t="str" cm="1">
        <f t="array" ref="C1623">IFERROR(INDEX({"Ridgetop","Other"},MATCH(TRUE,ISNUMBER(SEARCH({"Ridgetop","Other"},A1623)),0)),"")</f>
        <v>Other</v>
      </c>
      <c r="D1623" t="str" cm="1">
        <f t="array" ref="D1623">IFERROR(INDEX({"Small","Medium","Large"},MATCH(TRUE,ISNUMBER(SEARCH({"Small","Medium","Large"},A1623)),0)),"")</f>
        <v>Large</v>
      </c>
      <c r="E1623" t="str">
        <f t="shared" si="25"/>
        <v>0.011</v>
      </c>
    </row>
    <row r="1624" spans="1:5" x14ac:dyDescent="0.3">
      <c r="A1624" t="s">
        <v>1622</v>
      </c>
      <c r="B1624" t="str" cm="1">
        <f t="array" ref="B1624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hemlock"},A1624)),0)),"")</f>
        <v>Pacific silver fir (WA)</v>
      </c>
      <c r="C1624" t="str" cm="1">
        <f t="array" ref="C1624">IFERROR(INDEX({"Ridgetop","Other"},MATCH(TRUE,ISNUMBER(SEARCH({"Ridgetop","Other"},A1624)),0)),"")</f>
        <v>Other</v>
      </c>
      <c r="D1624" t="str" cm="1">
        <f t="array" ref="D1624">IFERROR(INDEX({"Small","Medium","Large"},MATCH(TRUE,ISNUMBER(SEARCH({"Small","Medium","Large"},A1624)),0)),"")</f>
        <v>Small</v>
      </c>
      <c r="E1624" t="str">
        <f t="shared" si="25"/>
        <v>0.048</v>
      </c>
    </row>
    <row r="1625" spans="1:5" x14ac:dyDescent="0.3">
      <c r="A1625" t="s">
        <v>1623</v>
      </c>
      <c r="B1625" t="str" cm="1">
        <f t="array" ref="B1625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hemlock"},A1625)),0)),"")</f>
        <v>Pacific silver fir (WA)</v>
      </c>
      <c r="C1625" t="str" cm="1">
        <f t="array" ref="C1625">IFERROR(INDEX({"Ridgetop","Other"},MATCH(TRUE,ISNUMBER(SEARCH({"Ridgetop","Other"},A1625)),0)),"")</f>
        <v>Other</v>
      </c>
      <c r="D1625" t="str" cm="1">
        <f t="array" ref="D1625">IFERROR(INDEX({"Small","Medium","Large"},MATCH(TRUE,ISNUMBER(SEARCH({"Small","Medium","Large"},A1625)),0)),"")</f>
        <v>Medium</v>
      </c>
      <c r="E1625" t="str">
        <f t="shared" si="25"/>
        <v>0.029</v>
      </c>
    </row>
    <row r="1626" spans="1:5" x14ac:dyDescent="0.3">
      <c r="A1626" t="s">
        <v>1624</v>
      </c>
      <c r="B1626" t="str" cm="1">
        <f t="array" ref="B1626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hemlock"},A1626)),0)),"")</f>
        <v>Pacific silver fir (WA)</v>
      </c>
      <c r="C1626" t="str" cm="1">
        <f t="array" ref="C1626">IFERROR(INDEX({"Ridgetop","Other"},MATCH(TRUE,ISNUMBER(SEARCH({"Ridgetop","Other"},A1626)),0)),"")</f>
        <v>Other</v>
      </c>
      <c r="D1626" t="str" cm="1">
        <f t="array" ref="D1626">IFERROR(INDEX({"Small","Medium","Large"},MATCH(TRUE,ISNUMBER(SEARCH({"Small","Medium","Large"},A1626)),0)),"")</f>
        <v>Large</v>
      </c>
      <c r="E1626" t="str">
        <f t="shared" si="25"/>
        <v>0.013</v>
      </c>
    </row>
    <row r="1627" spans="1:5" x14ac:dyDescent="0.3">
      <c r="A1627" t="s">
        <v>1625</v>
      </c>
      <c r="B1627" t="str" cm="1">
        <f t="array" ref="B1627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hemlock"},A1627)),0)),"")</f>
        <v>Pacific silver fir (WA)</v>
      </c>
      <c r="C1627" t="str" cm="1">
        <f t="array" ref="C1627">IFERROR(INDEX({"Ridgetop","Other"},MATCH(TRUE,ISNUMBER(SEARCH({"Ridgetop","Other"},A1627)),0)),"")</f>
        <v>Other</v>
      </c>
      <c r="D1627" t="str" cm="1">
        <f t="array" ref="D1627">IFERROR(INDEX({"Small","Medium","Large"},MATCH(TRUE,ISNUMBER(SEARCH({"Small","Medium","Large"},A1627)),0)),"")</f>
        <v>Small</v>
      </c>
      <c r="E1627" t="str">
        <f t="shared" si="25"/>
        <v>0.059</v>
      </c>
    </row>
    <row r="1628" spans="1:5" x14ac:dyDescent="0.3">
      <c r="A1628" t="s">
        <v>1626</v>
      </c>
      <c r="B1628" t="str" cm="1">
        <f t="array" ref="B1628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hemlock"},A1628)),0)),"")</f>
        <v>Pacific silver fir (WA)</v>
      </c>
      <c r="C1628" t="str" cm="1">
        <f t="array" ref="C1628">IFERROR(INDEX({"Ridgetop","Other"},MATCH(TRUE,ISNUMBER(SEARCH({"Ridgetop","Other"},A1628)),0)),"")</f>
        <v>Other</v>
      </c>
      <c r="D1628" t="str" cm="1">
        <f t="array" ref="D1628">IFERROR(INDEX({"Small","Medium","Large"},MATCH(TRUE,ISNUMBER(SEARCH({"Small","Medium","Large"},A1628)),0)),"")</f>
        <v>Medium</v>
      </c>
      <c r="E1628" t="str">
        <f t="shared" si="25"/>
        <v>0.036</v>
      </c>
    </row>
    <row r="1629" spans="1:5" x14ac:dyDescent="0.3">
      <c r="A1629" t="s">
        <v>1627</v>
      </c>
      <c r="B1629" t="str" cm="1">
        <f t="array" ref="B1629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hemlock"},A1629)),0)),"")</f>
        <v>Pacific silver fir (WA)</v>
      </c>
      <c r="C1629" t="str" cm="1">
        <f t="array" ref="C1629">IFERROR(INDEX({"Ridgetop","Other"},MATCH(TRUE,ISNUMBER(SEARCH({"Ridgetop","Other"},A1629)),0)),"")</f>
        <v>Other</v>
      </c>
      <c r="D1629" t="str" cm="1">
        <f t="array" ref="D1629">IFERROR(INDEX({"Small","Medium","Large"},MATCH(TRUE,ISNUMBER(SEARCH({"Small","Medium","Large"},A1629)),0)),"")</f>
        <v>Large</v>
      </c>
      <c r="E1629" t="str">
        <f t="shared" si="25"/>
        <v>0.016</v>
      </c>
    </row>
    <row r="1630" spans="1:5" x14ac:dyDescent="0.3">
      <c r="A1630" t="s">
        <v>1628</v>
      </c>
      <c r="B1630" t="str" cm="1">
        <f t="array" ref="B1630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hemlock"},A1630)),0)),"")</f>
        <v>Pacific silver fir (WA)</v>
      </c>
      <c r="C1630" t="str" cm="1">
        <f t="array" ref="C1630">IFERROR(INDEX({"Ridgetop","Other"},MATCH(TRUE,ISNUMBER(SEARCH({"Ridgetop","Other"},A1630)),0)),"")</f>
        <v>Ridgetop</v>
      </c>
      <c r="D1630" t="str" cm="1">
        <f t="array" ref="D1630">IFERROR(INDEX({"Small","Medium","Large"},MATCH(TRUE,ISNUMBER(SEARCH({"Small","Medium","Large"},A1630)),0)),"")</f>
        <v>Small</v>
      </c>
      <c r="E1630" t="str">
        <f t="shared" si="25"/>
        <v>0.076</v>
      </c>
    </row>
    <row r="1631" spans="1:5" x14ac:dyDescent="0.3">
      <c r="A1631" t="s">
        <v>1629</v>
      </c>
      <c r="B1631" t="str" cm="1">
        <f t="array" ref="B1631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hemlock"},A1631)),0)),"")</f>
        <v>Pacific silver fir (WA)</v>
      </c>
      <c r="C1631" t="str" cm="1">
        <f t="array" ref="C1631">IFERROR(INDEX({"Ridgetop","Other"},MATCH(TRUE,ISNUMBER(SEARCH({"Ridgetop","Other"},A1631)),0)),"")</f>
        <v>Ridgetop</v>
      </c>
      <c r="D1631" t="str" cm="1">
        <f t="array" ref="D1631">IFERROR(INDEX({"Small","Medium","Large"},MATCH(TRUE,ISNUMBER(SEARCH({"Small","Medium","Large"},A1631)),0)),"")</f>
        <v>Medium</v>
      </c>
      <c r="E1631" t="str">
        <f t="shared" si="25"/>
        <v>0.047</v>
      </c>
    </row>
    <row r="1632" spans="1:5" x14ac:dyDescent="0.3">
      <c r="A1632" t="s">
        <v>1630</v>
      </c>
      <c r="B1632" t="str" cm="1">
        <f t="array" ref="B1632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hemlock"},A1632)),0)),"")</f>
        <v>Pacific silver fir (WA)</v>
      </c>
      <c r="C1632" t="str" cm="1">
        <f t="array" ref="C1632">IFERROR(INDEX({"Ridgetop","Other"},MATCH(TRUE,ISNUMBER(SEARCH({"Ridgetop","Other"},A1632)),0)),"")</f>
        <v>Ridgetop</v>
      </c>
      <c r="D1632" t="str" cm="1">
        <f t="array" ref="D1632">IFERROR(INDEX({"Small","Medium","Large"},MATCH(TRUE,ISNUMBER(SEARCH({"Small","Medium","Large"},A1632)),0)),"")</f>
        <v>Large</v>
      </c>
      <c r="E1632" t="str">
        <f t="shared" si="25"/>
        <v>0.020</v>
      </c>
    </row>
    <row r="1633" spans="1:5" x14ac:dyDescent="0.3">
      <c r="A1633" t="s">
        <v>1631</v>
      </c>
      <c r="B1633" t="str" cm="1">
        <f t="array" ref="B1633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hemlock"},A1633)),0)),"")</f>
        <v>Pacific silver fir (WA)</v>
      </c>
      <c r="C1633" t="str" cm="1">
        <f t="array" ref="C1633">IFERROR(INDEX({"Ridgetop","Other"},MATCH(TRUE,ISNUMBER(SEARCH({"Ridgetop","Other"},A1633)),0)),"")</f>
        <v>Ridgetop</v>
      </c>
      <c r="D1633" t="str" cm="1">
        <f t="array" ref="D1633">IFERROR(INDEX({"Small","Medium","Large"},MATCH(TRUE,ISNUMBER(SEARCH({"Small","Medium","Large"},A1633)),0)),"")</f>
        <v>Small</v>
      </c>
      <c r="E1633" t="str">
        <f t="shared" si="25"/>
        <v>0.078</v>
      </c>
    </row>
    <row r="1634" spans="1:5" x14ac:dyDescent="0.3">
      <c r="A1634" t="s">
        <v>1632</v>
      </c>
      <c r="B1634" t="str" cm="1">
        <f t="array" ref="B1634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hemlock"},A1634)),0)),"")</f>
        <v>Pacific silver fir (WA)</v>
      </c>
      <c r="C1634" t="str" cm="1">
        <f t="array" ref="C1634">IFERROR(INDEX({"Ridgetop","Other"},MATCH(TRUE,ISNUMBER(SEARCH({"Ridgetop","Other"},A1634)),0)),"")</f>
        <v>Ridgetop</v>
      </c>
      <c r="D1634" t="str" cm="1">
        <f t="array" ref="D1634">IFERROR(INDEX({"Small","Medium","Large"},MATCH(TRUE,ISNUMBER(SEARCH({"Small","Medium","Large"},A1634)),0)),"")</f>
        <v>Medium</v>
      </c>
      <c r="E1634" t="str">
        <f t="shared" si="25"/>
        <v>0.048</v>
      </c>
    </row>
    <row r="1635" spans="1:5" x14ac:dyDescent="0.3">
      <c r="A1635" t="s">
        <v>1633</v>
      </c>
      <c r="B1635" t="str" cm="1">
        <f t="array" ref="B1635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hemlock"},A1635)),0)),"")</f>
        <v>Pacific silver fir (WA)</v>
      </c>
      <c r="C1635" t="str" cm="1">
        <f t="array" ref="C1635">IFERROR(INDEX({"Ridgetop","Other"},MATCH(TRUE,ISNUMBER(SEARCH({"Ridgetop","Other"},A1635)),0)),"")</f>
        <v>Ridgetop</v>
      </c>
      <c r="D1635" t="str" cm="1">
        <f t="array" ref="D1635">IFERROR(INDEX({"Small","Medium","Large"},MATCH(TRUE,ISNUMBER(SEARCH({"Small","Medium","Large"},A1635)),0)),"")</f>
        <v>Large</v>
      </c>
      <c r="E1635" t="str">
        <f t="shared" si="25"/>
        <v>0.021</v>
      </c>
    </row>
    <row r="1636" spans="1:5" x14ac:dyDescent="0.3">
      <c r="A1636" t="s">
        <v>1634</v>
      </c>
      <c r="B1636" t="str" cm="1">
        <f t="array" ref="B1636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hemlock"},A1636)),0)),"")</f>
        <v>Pacific silver fir (WA)</v>
      </c>
      <c r="C1636" t="str" cm="1">
        <f t="array" ref="C1636">IFERROR(INDEX({"Ridgetop","Other"},MATCH(TRUE,ISNUMBER(SEARCH({"Ridgetop","Other"},A1636)),0)),"")</f>
        <v>Ridgetop</v>
      </c>
      <c r="D1636" t="str" cm="1">
        <f t="array" ref="D1636">IFERROR(INDEX({"Small","Medium","Large"},MATCH(TRUE,ISNUMBER(SEARCH({"Small","Medium","Large"},A1636)),0)),"")</f>
        <v>Small</v>
      </c>
      <c r="E1636" t="str">
        <f t="shared" si="25"/>
        <v>0.083</v>
      </c>
    </row>
    <row r="1637" spans="1:5" x14ac:dyDescent="0.3">
      <c r="A1637" t="s">
        <v>1635</v>
      </c>
      <c r="B1637" t="str" cm="1">
        <f t="array" ref="B1637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hemlock"},A1637)),0)),"")</f>
        <v>Pacific silver fir (WA)</v>
      </c>
      <c r="C1637" t="str" cm="1">
        <f t="array" ref="C1637">IFERROR(INDEX({"Ridgetop","Other"},MATCH(TRUE,ISNUMBER(SEARCH({"Ridgetop","Other"},A1637)),0)),"")</f>
        <v>Ridgetop</v>
      </c>
      <c r="D1637" t="str" cm="1">
        <f t="array" ref="D1637">IFERROR(INDEX({"Small","Medium","Large"},MATCH(TRUE,ISNUMBER(SEARCH({"Small","Medium","Large"},A1637)),0)),"")</f>
        <v>Medium</v>
      </c>
      <c r="E1637" t="str">
        <f t="shared" si="25"/>
        <v>0.051</v>
      </c>
    </row>
    <row r="1638" spans="1:5" x14ac:dyDescent="0.3">
      <c r="A1638" t="s">
        <v>1636</v>
      </c>
      <c r="B1638" t="str" cm="1">
        <f t="array" ref="B1638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hemlock"},A1638)),0)),"")</f>
        <v>Pacific silver fir (WA)</v>
      </c>
      <c r="C1638" t="str" cm="1">
        <f t="array" ref="C1638">IFERROR(INDEX({"Ridgetop","Other"},MATCH(TRUE,ISNUMBER(SEARCH({"Ridgetop","Other"},A1638)),0)),"")</f>
        <v>Ridgetop</v>
      </c>
      <c r="D1638" t="str" cm="1">
        <f t="array" ref="D1638">IFERROR(INDEX({"Small","Medium","Large"},MATCH(TRUE,ISNUMBER(SEARCH({"Small","Medium","Large"},A1638)),0)),"")</f>
        <v>Large</v>
      </c>
      <c r="E1638" t="str">
        <f t="shared" si="25"/>
        <v>0.022</v>
      </c>
    </row>
    <row r="1639" spans="1:5" x14ac:dyDescent="0.3">
      <c r="A1639" t="s">
        <v>1637</v>
      </c>
      <c r="B1639" t="str" cm="1">
        <f t="array" ref="B1639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hemlock"},A1639)),0)),"")</f>
        <v>Pacific silver fir (WA)</v>
      </c>
      <c r="C1639" t="str" cm="1">
        <f t="array" ref="C1639">IFERROR(INDEX({"Ridgetop","Other"},MATCH(TRUE,ISNUMBER(SEARCH({"Ridgetop","Other"},A1639)),0)),"")</f>
        <v>Other</v>
      </c>
      <c r="D1639" t="str" cm="1">
        <f t="array" ref="D1639">IFERROR(INDEX({"Small","Medium","Large"},MATCH(TRUE,ISNUMBER(SEARCH({"Small","Medium","Large"},A1639)),0)),"")</f>
        <v>Small</v>
      </c>
      <c r="E1639" t="str">
        <f t="shared" si="25"/>
        <v>0.054</v>
      </c>
    </row>
    <row r="1640" spans="1:5" x14ac:dyDescent="0.3">
      <c r="A1640" t="s">
        <v>1638</v>
      </c>
      <c r="B1640" t="str" cm="1">
        <f t="array" ref="B1640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hemlock"},A1640)),0)),"")</f>
        <v>Pacific silver fir (WA)</v>
      </c>
      <c r="C1640" t="str" cm="1">
        <f t="array" ref="C1640">IFERROR(INDEX({"Ridgetop","Other"},MATCH(TRUE,ISNUMBER(SEARCH({"Ridgetop","Other"},A1640)),0)),"")</f>
        <v>Other</v>
      </c>
      <c r="D1640" t="str" cm="1">
        <f t="array" ref="D1640">IFERROR(INDEX({"Small","Medium","Large"},MATCH(TRUE,ISNUMBER(SEARCH({"Small","Medium","Large"},A1640)),0)),"")</f>
        <v>Medium</v>
      </c>
      <c r="E1640" t="str">
        <f t="shared" si="25"/>
        <v>0.033</v>
      </c>
    </row>
    <row r="1641" spans="1:5" x14ac:dyDescent="0.3">
      <c r="A1641" t="s">
        <v>1639</v>
      </c>
      <c r="B1641" t="str" cm="1">
        <f t="array" ref="B1641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hemlock"},A1641)),0)),"")</f>
        <v>Pacific silver fir (WA)</v>
      </c>
      <c r="C1641" t="str" cm="1">
        <f t="array" ref="C1641">IFERROR(INDEX({"Ridgetop","Other"},MATCH(TRUE,ISNUMBER(SEARCH({"Ridgetop","Other"},A1641)),0)),"")</f>
        <v>Other</v>
      </c>
      <c r="D1641" t="str" cm="1">
        <f t="array" ref="D1641">IFERROR(INDEX({"Small","Medium","Large"},MATCH(TRUE,ISNUMBER(SEARCH({"Small","Medium","Large"},A1641)),0)),"")</f>
        <v>Large</v>
      </c>
      <c r="E1641" t="str">
        <f t="shared" si="25"/>
        <v>0.014</v>
      </c>
    </row>
    <row r="1642" spans="1:5" x14ac:dyDescent="0.3">
      <c r="A1642" t="s">
        <v>1640</v>
      </c>
      <c r="B1642" t="str" cm="1">
        <f t="array" ref="B1642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hemlock"},A1642)),0)),"")</f>
        <v>Pacific silver fir (WA)</v>
      </c>
      <c r="C1642" t="str" cm="1">
        <f t="array" ref="C1642">IFERROR(INDEX({"Ridgetop","Other"},MATCH(TRUE,ISNUMBER(SEARCH({"Ridgetop","Other"},A1642)),0)),"")</f>
        <v>Other</v>
      </c>
      <c r="D1642" t="str" cm="1">
        <f t="array" ref="D1642">IFERROR(INDEX({"Small","Medium","Large"},MATCH(TRUE,ISNUMBER(SEARCH({"Small","Medium","Large"},A1642)),0)),"")</f>
        <v>Small</v>
      </c>
      <c r="E1642" t="str">
        <f t="shared" si="25"/>
        <v>0.059</v>
      </c>
    </row>
    <row r="1643" spans="1:5" x14ac:dyDescent="0.3">
      <c r="A1643" t="s">
        <v>1641</v>
      </c>
      <c r="B1643" t="str" cm="1">
        <f t="array" ref="B1643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hemlock"},A1643)),0)),"")</f>
        <v>Pacific silver fir (WA)</v>
      </c>
      <c r="C1643" t="str" cm="1">
        <f t="array" ref="C1643">IFERROR(INDEX({"Ridgetop","Other"},MATCH(TRUE,ISNUMBER(SEARCH({"Ridgetop","Other"},A1643)),0)),"")</f>
        <v>Other</v>
      </c>
      <c r="D1643" t="str" cm="1">
        <f t="array" ref="D1643">IFERROR(INDEX({"Small","Medium","Large"},MATCH(TRUE,ISNUMBER(SEARCH({"Small","Medium","Large"},A1643)),0)),"")</f>
        <v>Medium</v>
      </c>
      <c r="E1643" t="str">
        <f t="shared" si="25"/>
        <v>0.036</v>
      </c>
    </row>
    <row r="1644" spans="1:5" x14ac:dyDescent="0.3">
      <c r="A1644" t="s">
        <v>1642</v>
      </c>
      <c r="B1644" t="str" cm="1">
        <f t="array" ref="B1644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hemlock"},A1644)),0)),"")</f>
        <v>Pacific silver fir (WA)</v>
      </c>
      <c r="C1644" t="str" cm="1">
        <f t="array" ref="C1644">IFERROR(INDEX({"Ridgetop","Other"},MATCH(TRUE,ISNUMBER(SEARCH({"Ridgetop","Other"},A1644)),0)),"")</f>
        <v>Other</v>
      </c>
      <c r="D1644" t="str" cm="1">
        <f t="array" ref="D1644">IFERROR(INDEX({"Small","Medium","Large"},MATCH(TRUE,ISNUMBER(SEARCH({"Small","Medium","Large"},A1644)),0)),"")</f>
        <v>Large</v>
      </c>
      <c r="E1644" t="str">
        <f t="shared" si="25"/>
        <v>0.016</v>
      </c>
    </row>
    <row r="1645" spans="1:5" x14ac:dyDescent="0.3">
      <c r="A1645" t="s">
        <v>1643</v>
      </c>
      <c r="B1645" t="str" cm="1">
        <f t="array" ref="B1645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hemlock"},A1645)),0)),"")</f>
        <v>Pacific silver fir (WA)</v>
      </c>
      <c r="C1645" t="str" cm="1">
        <f t="array" ref="C1645">IFERROR(INDEX({"Ridgetop","Other"},MATCH(TRUE,ISNUMBER(SEARCH({"Ridgetop","Other"},A1645)),0)),"")</f>
        <v>Other</v>
      </c>
      <c r="D1645" t="str" cm="1">
        <f t="array" ref="D1645">IFERROR(INDEX({"Small","Medium","Large"},MATCH(TRUE,ISNUMBER(SEARCH({"Small","Medium","Large"},A1645)),0)),"")</f>
        <v>Small</v>
      </c>
      <c r="E1645" t="str">
        <f t="shared" si="25"/>
        <v>0.059</v>
      </c>
    </row>
    <row r="1646" spans="1:5" x14ac:dyDescent="0.3">
      <c r="A1646" t="s">
        <v>1644</v>
      </c>
      <c r="B1646" t="str" cm="1">
        <f t="array" ref="B1646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hemlock"},A1646)),0)),"")</f>
        <v>Pacific silver fir (WA)</v>
      </c>
      <c r="C1646" t="str" cm="1">
        <f t="array" ref="C1646">IFERROR(INDEX({"Ridgetop","Other"},MATCH(TRUE,ISNUMBER(SEARCH({"Ridgetop","Other"},A1646)),0)),"")</f>
        <v>Other</v>
      </c>
      <c r="D1646" t="str" cm="1">
        <f t="array" ref="D1646">IFERROR(INDEX({"Small","Medium","Large"},MATCH(TRUE,ISNUMBER(SEARCH({"Small","Medium","Large"},A1646)),0)),"")</f>
        <v>Medium</v>
      </c>
      <c r="E1646" t="str">
        <f t="shared" si="25"/>
        <v>0.036</v>
      </c>
    </row>
    <row r="1647" spans="1:5" x14ac:dyDescent="0.3">
      <c r="A1647" t="s">
        <v>1645</v>
      </c>
      <c r="B1647" t="str" cm="1">
        <f t="array" ref="B1647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hemlock"},A1647)),0)),"")</f>
        <v>Pacific silver fir (WA)</v>
      </c>
      <c r="C1647" t="str" cm="1">
        <f t="array" ref="C1647">IFERROR(INDEX({"Ridgetop","Other"},MATCH(TRUE,ISNUMBER(SEARCH({"Ridgetop","Other"},A1647)),0)),"")</f>
        <v>Other</v>
      </c>
      <c r="D1647" t="str" cm="1">
        <f t="array" ref="D1647">IFERROR(INDEX({"Small","Medium","Large"},MATCH(TRUE,ISNUMBER(SEARCH({"Small","Medium","Large"},A1647)),0)),"")</f>
        <v>Large</v>
      </c>
      <c r="E1647" t="str">
        <f t="shared" si="25"/>
        <v>0.016</v>
      </c>
    </row>
    <row r="1648" spans="1:5" x14ac:dyDescent="0.3">
      <c r="A1648" t="s">
        <v>1646</v>
      </c>
      <c r="B1648" t="str" cm="1">
        <f t="array" ref="B1648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hemlock"},A1648)),0)),"")</f>
        <v>Pacific silver fir (WA)</v>
      </c>
      <c r="C1648" t="str" cm="1">
        <f t="array" ref="C1648">IFERROR(INDEX({"Ridgetop","Other"},MATCH(TRUE,ISNUMBER(SEARCH({"Ridgetop","Other"},A1648)),0)),"")</f>
        <v>Ridgetop</v>
      </c>
      <c r="D1648" t="str" cm="1">
        <f t="array" ref="D1648">IFERROR(INDEX({"Small","Medium","Large"},MATCH(TRUE,ISNUMBER(SEARCH({"Small","Medium","Large"},A1648)),0)),"")</f>
        <v>Small</v>
      </c>
      <c r="E1648" t="str">
        <f t="shared" si="25"/>
        <v>0.098</v>
      </c>
    </row>
    <row r="1649" spans="1:5" x14ac:dyDescent="0.3">
      <c r="A1649" t="s">
        <v>1647</v>
      </c>
      <c r="B1649" t="str" cm="1">
        <f t="array" ref="B1649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hemlock"},A1649)),0)),"")</f>
        <v>Pacific silver fir (WA)</v>
      </c>
      <c r="C1649" t="str" cm="1">
        <f t="array" ref="C1649">IFERROR(INDEX({"Ridgetop","Other"},MATCH(TRUE,ISNUMBER(SEARCH({"Ridgetop","Other"},A1649)),0)),"")</f>
        <v>Ridgetop</v>
      </c>
      <c r="D1649" t="str" cm="1">
        <f t="array" ref="D1649">IFERROR(INDEX({"Small","Medium","Large"},MATCH(TRUE,ISNUMBER(SEARCH({"Small","Medium","Large"},A1649)),0)),"")</f>
        <v>Medium</v>
      </c>
      <c r="E1649" t="str">
        <f t="shared" si="25"/>
        <v>0.060</v>
      </c>
    </row>
    <row r="1650" spans="1:5" x14ac:dyDescent="0.3">
      <c r="A1650" t="s">
        <v>1648</v>
      </c>
      <c r="B1650" t="str" cm="1">
        <f t="array" ref="B1650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hemlock"},A1650)),0)),"")</f>
        <v>Pacific silver fir (WA)</v>
      </c>
      <c r="C1650" t="str" cm="1">
        <f t="array" ref="C1650">IFERROR(INDEX({"Ridgetop","Other"},MATCH(TRUE,ISNUMBER(SEARCH({"Ridgetop","Other"},A1650)),0)),"")</f>
        <v>Ridgetop</v>
      </c>
      <c r="D1650" t="str" cm="1">
        <f t="array" ref="D1650">IFERROR(INDEX({"Small","Medium","Large"},MATCH(TRUE,ISNUMBER(SEARCH({"Small","Medium","Large"},A1650)),0)),"")</f>
        <v>Large</v>
      </c>
      <c r="E1650" t="str">
        <f t="shared" si="25"/>
        <v>0.026</v>
      </c>
    </row>
    <row r="1651" spans="1:5" x14ac:dyDescent="0.3">
      <c r="A1651" t="s">
        <v>1649</v>
      </c>
      <c r="B1651" t="str" cm="1">
        <f t="array" ref="B1651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hemlock"},A1651)),0)),"")</f>
        <v>Pacific silver fir (WA)</v>
      </c>
      <c r="C1651" t="str" cm="1">
        <f t="array" ref="C1651">IFERROR(INDEX({"Ridgetop","Other"},MATCH(TRUE,ISNUMBER(SEARCH({"Ridgetop","Other"},A1651)),0)),"")</f>
        <v>Ridgetop</v>
      </c>
      <c r="D1651" t="str" cm="1">
        <f t="array" ref="D1651">IFERROR(INDEX({"Small","Medium","Large"},MATCH(TRUE,ISNUMBER(SEARCH({"Small","Medium","Large"},A1651)),0)),"")</f>
        <v>Small</v>
      </c>
      <c r="E1651" t="str">
        <f t="shared" si="25"/>
        <v>0.098</v>
      </c>
    </row>
    <row r="1652" spans="1:5" x14ac:dyDescent="0.3">
      <c r="A1652" t="s">
        <v>1650</v>
      </c>
      <c r="B1652" t="str" cm="1">
        <f t="array" ref="B1652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hemlock"},A1652)),0)),"")</f>
        <v>Pacific silver fir (WA)</v>
      </c>
      <c r="C1652" t="str" cm="1">
        <f t="array" ref="C1652">IFERROR(INDEX({"Ridgetop","Other"},MATCH(TRUE,ISNUMBER(SEARCH({"Ridgetop","Other"},A1652)),0)),"")</f>
        <v>Ridgetop</v>
      </c>
      <c r="D1652" t="str" cm="1">
        <f t="array" ref="D1652">IFERROR(INDEX({"Small","Medium","Large"},MATCH(TRUE,ISNUMBER(SEARCH({"Small","Medium","Large"},A1652)),0)),"")</f>
        <v>Medium</v>
      </c>
      <c r="E1652" t="str">
        <f t="shared" si="25"/>
        <v>0.060</v>
      </c>
    </row>
    <row r="1653" spans="1:5" x14ac:dyDescent="0.3">
      <c r="A1653" t="s">
        <v>1651</v>
      </c>
      <c r="B1653" t="str" cm="1">
        <f t="array" ref="B1653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hemlock"},A1653)),0)),"")</f>
        <v>Pacific silver fir (WA)</v>
      </c>
      <c r="C1653" t="str" cm="1">
        <f t="array" ref="C1653">IFERROR(INDEX({"Ridgetop","Other"},MATCH(TRUE,ISNUMBER(SEARCH({"Ridgetop","Other"},A1653)),0)),"")</f>
        <v>Ridgetop</v>
      </c>
      <c r="D1653" t="str" cm="1">
        <f t="array" ref="D1653">IFERROR(INDEX({"Small","Medium","Large"},MATCH(TRUE,ISNUMBER(SEARCH({"Small","Medium","Large"},A1653)),0)),"")</f>
        <v>Large</v>
      </c>
      <c r="E1653" t="str">
        <f t="shared" si="25"/>
        <v>0.026</v>
      </c>
    </row>
    <row r="1654" spans="1:5" x14ac:dyDescent="0.3">
      <c r="A1654" t="s">
        <v>1652</v>
      </c>
      <c r="B1654" t="str" cm="1">
        <f t="array" ref="B1654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hemlock"},A1654)),0)),"")</f>
        <v>Pacific silver fir (WA)</v>
      </c>
      <c r="C1654" t="str" cm="1">
        <f t="array" ref="C1654">IFERROR(INDEX({"Ridgetop","Other"},MATCH(TRUE,ISNUMBER(SEARCH({"Ridgetop","Other"},A1654)),0)),"")</f>
        <v>Ridgetop</v>
      </c>
      <c r="D1654" t="str" cm="1">
        <f t="array" ref="D1654">IFERROR(INDEX({"Small","Medium","Large"},MATCH(TRUE,ISNUMBER(SEARCH({"Small","Medium","Large"},A1654)),0)),"")</f>
        <v>Small</v>
      </c>
      <c r="E1654" t="str">
        <f t="shared" si="25"/>
        <v>0.098</v>
      </c>
    </row>
    <row r="1655" spans="1:5" x14ac:dyDescent="0.3">
      <c r="A1655" t="s">
        <v>1653</v>
      </c>
      <c r="B1655" t="str" cm="1">
        <f t="array" ref="B1655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hemlock"},A1655)),0)),"")</f>
        <v>Pacific silver fir (WA)</v>
      </c>
      <c r="C1655" t="str" cm="1">
        <f t="array" ref="C1655">IFERROR(INDEX({"Ridgetop","Other"},MATCH(TRUE,ISNUMBER(SEARCH({"Ridgetop","Other"},A1655)),0)),"")</f>
        <v>Ridgetop</v>
      </c>
      <c r="D1655" t="str" cm="1">
        <f t="array" ref="D1655">IFERROR(INDEX({"Small","Medium","Large"},MATCH(TRUE,ISNUMBER(SEARCH({"Small","Medium","Large"},A1655)),0)),"")</f>
        <v>Medium</v>
      </c>
      <c r="E1655" t="str">
        <f t="shared" si="25"/>
        <v>0.060</v>
      </c>
    </row>
    <row r="1656" spans="1:5" x14ac:dyDescent="0.3">
      <c r="A1656" t="s">
        <v>1654</v>
      </c>
      <c r="B1656" t="str" cm="1">
        <f t="array" ref="B1656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hemlock"},A1656)),0)),"")</f>
        <v>Pacific silver fir (WA)</v>
      </c>
      <c r="C1656" t="str" cm="1">
        <f t="array" ref="C1656">IFERROR(INDEX({"Ridgetop","Other"},MATCH(TRUE,ISNUMBER(SEARCH({"Ridgetop","Other"},A1656)),0)),"")</f>
        <v>Ridgetop</v>
      </c>
      <c r="D1656" t="str" cm="1">
        <f t="array" ref="D1656">IFERROR(INDEX({"Small","Medium","Large"},MATCH(TRUE,ISNUMBER(SEARCH({"Small","Medium","Large"},A1656)),0)),"")</f>
        <v>Large</v>
      </c>
      <c r="E1656" t="str">
        <f t="shared" si="25"/>
        <v>0.026</v>
      </c>
    </row>
    <row r="1657" spans="1:5" x14ac:dyDescent="0.3">
      <c r="A1657" t="s">
        <v>1655</v>
      </c>
      <c r="B1657" t="str" cm="1">
        <f t="array" ref="B1657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hemlock"},A1657)),0)),"")</f>
        <v>Pacific silver fir (WA)</v>
      </c>
      <c r="C1657" t="str" cm="1">
        <f t="array" ref="C1657">IFERROR(INDEX({"Ridgetop","Other"},MATCH(TRUE,ISNUMBER(SEARCH({"Ridgetop","Other"},A1657)),0)),"")</f>
        <v>Other</v>
      </c>
      <c r="D1657" t="str" cm="1">
        <f t="array" ref="D1657">IFERROR(INDEX({"Small","Medium","Large"},MATCH(TRUE,ISNUMBER(SEARCH({"Small","Medium","Large"},A1657)),0)),"")</f>
        <v>Small</v>
      </c>
      <c r="E1657" t="str">
        <f t="shared" si="25"/>
        <v>0.044</v>
      </c>
    </row>
    <row r="1658" spans="1:5" x14ac:dyDescent="0.3">
      <c r="A1658" t="s">
        <v>1656</v>
      </c>
      <c r="B1658" t="str" cm="1">
        <f t="array" ref="B1658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hemlock"},A1658)),0)),"")</f>
        <v>Pacific silver fir (WA)</v>
      </c>
      <c r="C1658" t="str" cm="1">
        <f t="array" ref="C1658">IFERROR(INDEX({"Ridgetop","Other"},MATCH(TRUE,ISNUMBER(SEARCH({"Ridgetop","Other"},A1658)),0)),"")</f>
        <v>Other</v>
      </c>
      <c r="D1658" t="str" cm="1">
        <f t="array" ref="D1658">IFERROR(INDEX({"Small","Medium","Large"},MATCH(TRUE,ISNUMBER(SEARCH({"Small","Medium","Large"},A1658)),0)),"")</f>
        <v>Medium</v>
      </c>
      <c r="E1658" t="str">
        <f t="shared" si="25"/>
        <v>0.027</v>
      </c>
    </row>
    <row r="1659" spans="1:5" x14ac:dyDescent="0.3">
      <c r="A1659" t="s">
        <v>1657</v>
      </c>
      <c r="B1659" t="str" cm="1">
        <f t="array" ref="B1659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hemlock"},A1659)),0)),"")</f>
        <v>Pacific silver fir (WA)</v>
      </c>
      <c r="C1659" t="str" cm="1">
        <f t="array" ref="C1659">IFERROR(INDEX({"Ridgetop","Other"},MATCH(TRUE,ISNUMBER(SEARCH({"Ridgetop","Other"},A1659)),0)),"")</f>
        <v>Other</v>
      </c>
      <c r="D1659" t="str" cm="1">
        <f t="array" ref="D1659">IFERROR(INDEX({"Small","Medium","Large"},MATCH(TRUE,ISNUMBER(SEARCH({"Small","Medium","Large"},A1659)),0)),"")</f>
        <v>Large</v>
      </c>
      <c r="E1659" t="str">
        <f t="shared" si="25"/>
        <v>0.012</v>
      </c>
    </row>
    <row r="1660" spans="1:5" x14ac:dyDescent="0.3">
      <c r="A1660" t="s">
        <v>1658</v>
      </c>
      <c r="B1660" t="str" cm="1">
        <f t="array" ref="B1660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hemlock"},A1660)),0)),"")</f>
        <v>Pacific silver fir (WA)</v>
      </c>
      <c r="C1660" t="str" cm="1">
        <f t="array" ref="C1660">IFERROR(INDEX({"Ridgetop","Other"},MATCH(TRUE,ISNUMBER(SEARCH({"Ridgetop","Other"},A1660)),0)),"")</f>
        <v>Other</v>
      </c>
      <c r="D1660" t="str" cm="1">
        <f t="array" ref="D1660">IFERROR(INDEX({"Small","Medium","Large"},MATCH(TRUE,ISNUMBER(SEARCH({"Small","Medium","Large"},A1660)),0)),"")</f>
        <v>Small</v>
      </c>
      <c r="E1660" t="str">
        <f t="shared" si="25"/>
        <v>0.049</v>
      </c>
    </row>
    <row r="1661" spans="1:5" x14ac:dyDescent="0.3">
      <c r="A1661" t="s">
        <v>1659</v>
      </c>
      <c r="B1661" t="str" cm="1">
        <f t="array" ref="B1661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hemlock"},A1661)),0)),"")</f>
        <v>Pacific silver fir (WA)</v>
      </c>
      <c r="C1661" t="str" cm="1">
        <f t="array" ref="C1661">IFERROR(INDEX({"Ridgetop","Other"},MATCH(TRUE,ISNUMBER(SEARCH({"Ridgetop","Other"},A1661)),0)),"")</f>
        <v>Other</v>
      </c>
      <c r="D1661" t="str" cm="1">
        <f t="array" ref="D1661">IFERROR(INDEX({"Small","Medium","Large"},MATCH(TRUE,ISNUMBER(SEARCH({"Small","Medium","Large"},A1661)),0)),"")</f>
        <v>Medium</v>
      </c>
      <c r="E1661" t="str">
        <f t="shared" si="25"/>
        <v>0.030</v>
      </c>
    </row>
    <row r="1662" spans="1:5" x14ac:dyDescent="0.3">
      <c r="A1662" t="s">
        <v>1660</v>
      </c>
      <c r="B1662" t="str" cm="1">
        <f t="array" ref="B1662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hemlock"},A1662)),0)),"")</f>
        <v>Pacific silver fir (WA)</v>
      </c>
      <c r="C1662" t="str" cm="1">
        <f t="array" ref="C1662">IFERROR(INDEX({"Ridgetop","Other"},MATCH(TRUE,ISNUMBER(SEARCH({"Ridgetop","Other"},A1662)),0)),"")</f>
        <v>Other</v>
      </c>
      <c r="D1662" t="str" cm="1">
        <f t="array" ref="D1662">IFERROR(INDEX({"Small","Medium","Large"},MATCH(TRUE,ISNUMBER(SEARCH({"Small","Medium","Large"},A1662)),0)),"")</f>
        <v>Large</v>
      </c>
      <c r="E1662" t="str">
        <f t="shared" si="25"/>
        <v>0.013</v>
      </c>
    </row>
    <row r="1663" spans="1:5" x14ac:dyDescent="0.3">
      <c r="A1663" t="s">
        <v>1661</v>
      </c>
      <c r="B1663" t="str" cm="1">
        <f t="array" ref="B1663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hemlock"},A1663)),0)),"")</f>
        <v>Pacific silver fir (WA)</v>
      </c>
      <c r="C1663" t="str" cm="1">
        <f t="array" ref="C1663">IFERROR(INDEX({"Ridgetop","Other"},MATCH(TRUE,ISNUMBER(SEARCH({"Ridgetop","Other"},A1663)),0)),"")</f>
        <v>Other</v>
      </c>
      <c r="D1663" t="str" cm="1">
        <f t="array" ref="D1663">IFERROR(INDEX({"Small","Medium","Large"},MATCH(TRUE,ISNUMBER(SEARCH({"Small","Medium","Large"},A1663)),0)),"")</f>
        <v>Small</v>
      </c>
      <c r="E1663" t="str">
        <f t="shared" si="25"/>
        <v>0.059</v>
      </c>
    </row>
    <row r="1664" spans="1:5" x14ac:dyDescent="0.3">
      <c r="A1664" t="s">
        <v>1662</v>
      </c>
      <c r="B1664" t="str" cm="1">
        <f t="array" ref="B1664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hemlock"},A1664)),0)),"")</f>
        <v>Pacific silver fir (WA)</v>
      </c>
      <c r="C1664" t="str" cm="1">
        <f t="array" ref="C1664">IFERROR(INDEX({"Ridgetop","Other"},MATCH(TRUE,ISNUMBER(SEARCH({"Ridgetop","Other"},A1664)),0)),"")</f>
        <v>Other</v>
      </c>
      <c r="D1664" t="str" cm="1">
        <f t="array" ref="D1664">IFERROR(INDEX({"Small","Medium","Large"},MATCH(TRUE,ISNUMBER(SEARCH({"Small","Medium","Large"},A1664)),0)),"")</f>
        <v>Medium</v>
      </c>
      <c r="E1664" t="str">
        <f t="shared" si="25"/>
        <v>0.036</v>
      </c>
    </row>
    <row r="1665" spans="1:5" x14ac:dyDescent="0.3">
      <c r="A1665" t="s">
        <v>1663</v>
      </c>
      <c r="B1665" t="str" cm="1">
        <f t="array" ref="B1665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hemlock"},A1665)),0)),"")</f>
        <v>Pacific silver fir (WA)</v>
      </c>
      <c r="C1665" t="str" cm="1">
        <f t="array" ref="C1665">IFERROR(INDEX({"Ridgetop","Other"},MATCH(TRUE,ISNUMBER(SEARCH({"Ridgetop","Other"},A1665)),0)),"")</f>
        <v>Other</v>
      </c>
      <c r="D1665" t="str" cm="1">
        <f t="array" ref="D1665">IFERROR(INDEX({"Small","Medium","Large"},MATCH(TRUE,ISNUMBER(SEARCH({"Small","Medium","Large"},A1665)),0)),"")</f>
        <v>Large</v>
      </c>
      <c r="E1665" t="str">
        <f t="shared" si="25"/>
        <v>0.016</v>
      </c>
    </row>
    <row r="1666" spans="1:5" x14ac:dyDescent="0.3">
      <c r="A1666" t="s">
        <v>1664</v>
      </c>
      <c r="B1666" t="str" cm="1">
        <f t="array" ref="B1666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hemlock"},A1666)),0)),"")</f>
        <v>Pacific silver fir (WA)</v>
      </c>
      <c r="C1666" t="str" cm="1">
        <f t="array" ref="C1666">IFERROR(INDEX({"Ridgetop","Other"},MATCH(TRUE,ISNUMBER(SEARCH({"Ridgetop","Other"},A1666)),0)),"")</f>
        <v>Ridgetop</v>
      </c>
      <c r="D1666" t="str" cm="1">
        <f t="array" ref="D1666">IFERROR(INDEX({"Small","Medium","Large"},MATCH(TRUE,ISNUMBER(SEARCH({"Small","Medium","Large"},A1666)),0)),"")</f>
        <v>Small</v>
      </c>
      <c r="E1666" t="str">
        <f t="shared" si="25"/>
        <v>0.083</v>
      </c>
    </row>
    <row r="1667" spans="1:5" x14ac:dyDescent="0.3">
      <c r="A1667" t="s">
        <v>1665</v>
      </c>
      <c r="B1667" t="str" cm="1">
        <f t="array" ref="B1667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hemlock"},A1667)),0)),"")</f>
        <v>Pacific silver fir (WA)</v>
      </c>
      <c r="C1667" t="str" cm="1">
        <f t="array" ref="C1667">IFERROR(INDEX({"Ridgetop","Other"},MATCH(TRUE,ISNUMBER(SEARCH({"Ridgetop","Other"},A1667)),0)),"")</f>
        <v>Ridgetop</v>
      </c>
      <c r="D1667" t="str" cm="1">
        <f t="array" ref="D1667">IFERROR(INDEX({"Small","Medium","Large"},MATCH(TRUE,ISNUMBER(SEARCH({"Small","Medium","Large"},A1667)),0)),"")</f>
        <v>Medium</v>
      </c>
      <c r="E1667" t="str">
        <f t="shared" ref="E1667:E1730" si="26">RIGHT(A1667,LEN(A1667)-FIND("@",SUBSTITUTE(A1667," ","@",LEN(A1667)-LEN(SUBSTITUTE(A1667," ","")))))</f>
        <v>0.051</v>
      </c>
    </row>
    <row r="1668" spans="1:5" x14ac:dyDescent="0.3">
      <c r="A1668" t="s">
        <v>1666</v>
      </c>
      <c r="B1668" t="str" cm="1">
        <f t="array" ref="B1668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hemlock"},A1668)),0)),"")</f>
        <v>Pacific silver fir (WA)</v>
      </c>
      <c r="C1668" t="str" cm="1">
        <f t="array" ref="C1668">IFERROR(INDEX({"Ridgetop","Other"},MATCH(TRUE,ISNUMBER(SEARCH({"Ridgetop","Other"},A1668)),0)),"")</f>
        <v>Ridgetop</v>
      </c>
      <c r="D1668" t="str" cm="1">
        <f t="array" ref="D1668">IFERROR(INDEX({"Small","Medium","Large"},MATCH(TRUE,ISNUMBER(SEARCH({"Small","Medium","Large"},A1668)),0)),"")</f>
        <v>Large</v>
      </c>
      <c r="E1668" t="str">
        <f t="shared" si="26"/>
        <v>0.022</v>
      </c>
    </row>
    <row r="1669" spans="1:5" x14ac:dyDescent="0.3">
      <c r="A1669" t="s">
        <v>1667</v>
      </c>
      <c r="B1669" t="str" cm="1">
        <f t="array" ref="B1669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hemlock"},A1669)),0)),"")</f>
        <v>Pacific silver fir (WA)</v>
      </c>
      <c r="C1669" t="str" cm="1">
        <f t="array" ref="C1669">IFERROR(INDEX({"Ridgetop","Other"},MATCH(TRUE,ISNUMBER(SEARCH({"Ridgetop","Other"},A1669)),0)),"")</f>
        <v>Ridgetop</v>
      </c>
      <c r="D1669" t="str" cm="1">
        <f t="array" ref="D1669">IFERROR(INDEX({"Small","Medium","Large"},MATCH(TRUE,ISNUMBER(SEARCH({"Small","Medium","Large"},A1669)),0)),"")</f>
        <v>Small</v>
      </c>
      <c r="E1669" t="str">
        <f t="shared" si="26"/>
        <v>0.083</v>
      </c>
    </row>
    <row r="1670" spans="1:5" x14ac:dyDescent="0.3">
      <c r="A1670" t="s">
        <v>1668</v>
      </c>
      <c r="B1670" t="str" cm="1">
        <f t="array" ref="B1670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hemlock"},A1670)),0)),"")</f>
        <v>Pacific silver fir (WA)</v>
      </c>
      <c r="C1670" t="str" cm="1">
        <f t="array" ref="C1670">IFERROR(INDEX({"Ridgetop","Other"},MATCH(TRUE,ISNUMBER(SEARCH({"Ridgetop","Other"},A1670)),0)),"")</f>
        <v>Ridgetop</v>
      </c>
      <c r="D1670" t="str" cm="1">
        <f t="array" ref="D1670">IFERROR(INDEX({"Small","Medium","Large"},MATCH(TRUE,ISNUMBER(SEARCH({"Small","Medium","Large"},A1670)),0)),"")</f>
        <v>Medium</v>
      </c>
      <c r="E1670" t="str">
        <f t="shared" si="26"/>
        <v>0.051</v>
      </c>
    </row>
    <row r="1671" spans="1:5" x14ac:dyDescent="0.3">
      <c r="A1671" t="s">
        <v>1669</v>
      </c>
      <c r="B1671" t="str" cm="1">
        <f t="array" ref="B1671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hemlock"},A1671)),0)),"")</f>
        <v>Pacific silver fir (WA)</v>
      </c>
      <c r="C1671" t="str" cm="1">
        <f t="array" ref="C1671">IFERROR(INDEX({"Ridgetop","Other"},MATCH(TRUE,ISNUMBER(SEARCH({"Ridgetop","Other"},A1671)),0)),"")</f>
        <v>Ridgetop</v>
      </c>
      <c r="D1671" t="str" cm="1">
        <f t="array" ref="D1671">IFERROR(INDEX({"Small","Medium","Large"},MATCH(TRUE,ISNUMBER(SEARCH({"Small","Medium","Large"},A1671)),0)),"")</f>
        <v>Large</v>
      </c>
      <c r="E1671" t="str">
        <f t="shared" si="26"/>
        <v>0.022</v>
      </c>
    </row>
    <row r="1672" spans="1:5" x14ac:dyDescent="0.3">
      <c r="A1672" t="s">
        <v>1670</v>
      </c>
      <c r="B1672" t="str" cm="1">
        <f t="array" ref="B1672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hemlock"},A1672)),0)),"")</f>
        <v>Pacific silver fir (WA)</v>
      </c>
      <c r="C1672" t="str" cm="1">
        <f t="array" ref="C1672">IFERROR(INDEX({"Ridgetop","Other"},MATCH(TRUE,ISNUMBER(SEARCH({"Ridgetop","Other"},A1672)),0)),"")</f>
        <v>Ridgetop</v>
      </c>
      <c r="D1672" t="str" cm="1">
        <f t="array" ref="D1672">IFERROR(INDEX({"Small","Medium","Large"},MATCH(TRUE,ISNUMBER(SEARCH({"Small","Medium","Large"},A1672)),0)),"")</f>
        <v>Small</v>
      </c>
      <c r="E1672" t="str">
        <f t="shared" si="26"/>
        <v>0.088</v>
      </c>
    </row>
    <row r="1673" spans="1:5" x14ac:dyDescent="0.3">
      <c r="A1673" t="s">
        <v>1671</v>
      </c>
      <c r="B1673" t="str" cm="1">
        <f t="array" ref="B1673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hemlock"},A1673)),0)),"")</f>
        <v>Pacific silver fir (WA)</v>
      </c>
      <c r="C1673" t="str" cm="1">
        <f t="array" ref="C1673">IFERROR(INDEX({"Ridgetop","Other"},MATCH(TRUE,ISNUMBER(SEARCH({"Ridgetop","Other"},A1673)),0)),"")</f>
        <v>Ridgetop</v>
      </c>
      <c r="D1673" t="str" cm="1">
        <f t="array" ref="D1673">IFERROR(INDEX({"Small","Medium","Large"},MATCH(TRUE,ISNUMBER(SEARCH({"Small","Medium","Large"},A1673)),0)),"")</f>
        <v>Medium</v>
      </c>
      <c r="E1673" t="str">
        <f t="shared" si="26"/>
        <v>0.054</v>
      </c>
    </row>
    <row r="1674" spans="1:5" x14ac:dyDescent="0.3">
      <c r="A1674" t="s">
        <v>1672</v>
      </c>
      <c r="B1674" t="str" cm="1">
        <f t="array" ref="B1674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hemlock"},A1674)),0)),"")</f>
        <v>Pacific silver fir (WA)</v>
      </c>
      <c r="C1674" t="str" cm="1">
        <f t="array" ref="C1674">IFERROR(INDEX({"Ridgetop","Other"},MATCH(TRUE,ISNUMBER(SEARCH({"Ridgetop","Other"},A1674)),0)),"")</f>
        <v>Ridgetop</v>
      </c>
      <c r="D1674" t="str" cm="1">
        <f t="array" ref="D1674">IFERROR(INDEX({"Small","Medium","Large"},MATCH(TRUE,ISNUMBER(SEARCH({"Small","Medium","Large"},A1674)),0)),"")</f>
        <v>Large</v>
      </c>
      <c r="E1674" t="str">
        <f t="shared" si="26"/>
        <v>0.023</v>
      </c>
    </row>
    <row r="1675" spans="1:5" x14ac:dyDescent="0.3">
      <c r="A1675" t="s">
        <v>1673</v>
      </c>
      <c r="B1675" t="str" cm="1">
        <f t="array" ref="B1675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hemlock"},A1675)),0)),"")</f>
        <v>Pacific silver fir (WA)</v>
      </c>
      <c r="C1675" t="str" cm="1">
        <f t="array" ref="C1675">IFERROR(INDEX({"Ridgetop","Other"},MATCH(TRUE,ISNUMBER(SEARCH({"Ridgetop","Other"},A1675)),0)),"")</f>
        <v>Other</v>
      </c>
      <c r="D1675" t="str" cm="1">
        <f t="array" ref="D1675">IFERROR(INDEX({"Small","Medium","Large"},MATCH(TRUE,ISNUMBER(SEARCH({"Small","Medium","Large"},A1675)),0)),"")</f>
        <v>Small</v>
      </c>
      <c r="E1675" t="str">
        <f t="shared" si="26"/>
        <v>0.054</v>
      </c>
    </row>
    <row r="1676" spans="1:5" x14ac:dyDescent="0.3">
      <c r="A1676" t="s">
        <v>1674</v>
      </c>
      <c r="B1676" t="str" cm="1">
        <f t="array" ref="B1676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hemlock"},A1676)),0)),"")</f>
        <v>Pacific silver fir (WA)</v>
      </c>
      <c r="C1676" t="str" cm="1">
        <f t="array" ref="C1676">IFERROR(INDEX({"Ridgetop","Other"},MATCH(TRUE,ISNUMBER(SEARCH({"Ridgetop","Other"},A1676)),0)),"")</f>
        <v>Other</v>
      </c>
      <c r="D1676" t="str" cm="1">
        <f t="array" ref="D1676">IFERROR(INDEX({"Small","Medium","Large"},MATCH(TRUE,ISNUMBER(SEARCH({"Small","Medium","Large"},A1676)),0)),"")</f>
        <v>Medium</v>
      </c>
      <c r="E1676" t="str">
        <f t="shared" si="26"/>
        <v>0.033</v>
      </c>
    </row>
    <row r="1677" spans="1:5" x14ac:dyDescent="0.3">
      <c r="A1677" t="s">
        <v>1675</v>
      </c>
      <c r="B1677" t="str" cm="1">
        <f t="array" ref="B1677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hemlock"},A1677)),0)),"")</f>
        <v>Pacific silver fir (WA)</v>
      </c>
      <c r="C1677" t="str" cm="1">
        <f t="array" ref="C1677">IFERROR(INDEX({"Ridgetop","Other"},MATCH(TRUE,ISNUMBER(SEARCH({"Ridgetop","Other"},A1677)),0)),"")</f>
        <v>Other</v>
      </c>
      <c r="D1677" t="str" cm="1">
        <f t="array" ref="D1677">IFERROR(INDEX({"Small","Medium","Large"},MATCH(TRUE,ISNUMBER(SEARCH({"Small","Medium","Large"},A1677)),0)),"")</f>
        <v>Large</v>
      </c>
      <c r="E1677" t="str">
        <f t="shared" si="26"/>
        <v>0.014</v>
      </c>
    </row>
    <row r="1678" spans="1:5" x14ac:dyDescent="0.3">
      <c r="A1678" t="s">
        <v>1676</v>
      </c>
      <c r="B1678" t="str" cm="1">
        <f t="array" ref="B1678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hemlock"},A1678)),0)),"")</f>
        <v>Pacific silver fir (WA)</v>
      </c>
      <c r="C1678" t="str" cm="1">
        <f t="array" ref="C1678">IFERROR(INDEX({"Ridgetop","Other"},MATCH(TRUE,ISNUMBER(SEARCH({"Ridgetop","Other"},A1678)),0)),"")</f>
        <v>Other</v>
      </c>
      <c r="D1678" t="str" cm="1">
        <f t="array" ref="D1678">IFERROR(INDEX({"Small","Medium","Large"},MATCH(TRUE,ISNUMBER(SEARCH({"Small","Medium","Large"},A1678)),0)),"")</f>
        <v>Small</v>
      </c>
      <c r="E1678" t="str">
        <f t="shared" si="26"/>
        <v>0.059</v>
      </c>
    </row>
    <row r="1679" spans="1:5" x14ac:dyDescent="0.3">
      <c r="A1679" t="s">
        <v>1677</v>
      </c>
      <c r="B1679" t="str" cm="1">
        <f t="array" ref="B1679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hemlock"},A1679)),0)),"")</f>
        <v>Pacific silver fir (WA)</v>
      </c>
      <c r="C1679" t="str" cm="1">
        <f t="array" ref="C1679">IFERROR(INDEX({"Ridgetop","Other"},MATCH(TRUE,ISNUMBER(SEARCH({"Ridgetop","Other"},A1679)),0)),"")</f>
        <v>Other</v>
      </c>
      <c r="D1679" t="str" cm="1">
        <f t="array" ref="D1679">IFERROR(INDEX({"Small","Medium","Large"},MATCH(TRUE,ISNUMBER(SEARCH({"Small","Medium","Large"},A1679)),0)),"")</f>
        <v>Medium</v>
      </c>
      <c r="E1679" t="str">
        <f t="shared" si="26"/>
        <v>0.036</v>
      </c>
    </row>
    <row r="1680" spans="1:5" x14ac:dyDescent="0.3">
      <c r="A1680" t="s">
        <v>1678</v>
      </c>
      <c r="B1680" t="str" cm="1">
        <f t="array" ref="B1680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hemlock"},A1680)),0)),"")</f>
        <v>Pacific silver fir (WA)</v>
      </c>
      <c r="C1680" t="str" cm="1">
        <f t="array" ref="C1680">IFERROR(INDEX({"Ridgetop","Other"},MATCH(TRUE,ISNUMBER(SEARCH({"Ridgetop","Other"},A1680)),0)),"")</f>
        <v>Other</v>
      </c>
      <c r="D1680" t="str" cm="1">
        <f t="array" ref="D1680">IFERROR(INDEX({"Small","Medium","Large"},MATCH(TRUE,ISNUMBER(SEARCH({"Small","Medium","Large"},A1680)),0)),"")</f>
        <v>Large</v>
      </c>
      <c r="E1680" t="str">
        <f t="shared" si="26"/>
        <v>0.016</v>
      </c>
    </row>
    <row r="1681" spans="1:5" x14ac:dyDescent="0.3">
      <c r="A1681" t="s">
        <v>1679</v>
      </c>
      <c r="B1681" t="str" cm="1">
        <f t="array" ref="B1681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hemlock"},A1681)),0)),"")</f>
        <v>Pacific silver fir (WA)</v>
      </c>
      <c r="C1681" t="str" cm="1">
        <f t="array" ref="C1681">IFERROR(INDEX({"Ridgetop","Other"},MATCH(TRUE,ISNUMBER(SEARCH({"Ridgetop","Other"},A1681)),0)),"")</f>
        <v>Other</v>
      </c>
      <c r="D1681" t="str" cm="1">
        <f t="array" ref="D1681">IFERROR(INDEX({"Small","Medium","Large"},MATCH(TRUE,ISNUMBER(SEARCH({"Small","Medium","Large"},A1681)),0)),"")</f>
        <v>Small</v>
      </c>
      <c r="E1681" t="str">
        <f t="shared" si="26"/>
        <v>0.059</v>
      </c>
    </row>
    <row r="1682" spans="1:5" x14ac:dyDescent="0.3">
      <c r="A1682" t="s">
        <v>1680</v>
      </c>
      <c r="B1682" t="str" cm="1">
        <f t="array" ref="B1682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hemlock"},A1682)),0)),"")</f>
        <v>Pacific silver fir (WA)</v>
      </c>
      <c r="C1682" t="str" cm="1">
        <f t="array" ref="C1682">IFERROR(INDEX({"Ridgetop","Other"},MATCH(TRUE,ISNUMBER(SEARCH({"Ridgetop","Other"},A1682)),0)),"")</f>
        <v>Other</v>
      </c>
      <c r="D1682" t="str" cm="1">
        <f t="array" ref="D1682">IFERROR(INDEX({"Small","Medium","Large"},MATCH(TRUE,ISNUMBER(SEARCH({"Small","Medium","Large"},A1682)),0)),"")</f>
        <v>Medium</v>
      </c>
      <c r="E1682" t="str">
        <f t="shared" si="26"/>
        <v>0.036</v>
      </c>
    </row>
    <row r="1683" spans="1:5" x14ac:dyDescent="0.3">
      <c r="A1683" t="s">
        <v>1681</v>
      </c>
      <c r="B1683" t="str" cm="1">
        <f t="array" ref="B1683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hemlock"},A1683)),0)),"")</f>
        <v>Pacific silver fir (WA)</v>
      </c>
      <c r="C1683" t="str" cm="1">
        <f t="array" ref="C1683">IFERROR(INDEX({"Ridgetop","Other"},MATCH(TRUE,ISNUMBER(SEARCH({"Ridgetop","Other"},A1683)),0)),"")</f>
        <v>Other</v>
      </c>
      <c r="D1683" t="str" cm="1">
        <f t="array" ref="D1683">IFERROR(INDEX({"Small","Medium","Large"},MATCH(TRUE,ISNUMBER(SEARCH({"Small","Medium","Large"},A1683)),0)),"")</f>
        <v>Large</v>
      </c>
      <c r="E1683" t="str">
        <f t="shared" si="26"/>
        <v>0.016</v>
      </c>
    </row>
    <row r="1684" spans="1:5" x14ac:dyDescent="0.3">
      <c r="A1684" t="s">
        <v>1682</v>
      </c>
      <c r="B1684" t="str" cm="1">
        <f t="array" ref="B1684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hemlock"},A1684)),0)),"")</f>
        <v>Pacific silver fir (WA)</v>
      </c>
      <c r="C1684" t="str" cm="1">
        <f t="array" ref="C1684">IFERROR(INDEX({"Ridgetop","Other"},MATCH(TRUE,ISNUMBER(SEARCH({"Ridgetop","Other"},A1684)),0)),"")</f>
        <v>Ridgetop</v>
      </c>
      <c r="D1684" t="str" cm="1">
        <f t="array" ref="D1684">IFERROR(INDEX({"Small","Medium","Large"},MATCH(TRUE,ISNUMBER(SEARCH({"Small","Medium","Large"},A1684)),0)),"")</f>
        <v>Small</v>
      </c>
      <c r="E1684" t="str">
        <f t="shared" si="26"/>
        <v>0.098</v>
      </c>
    </row>
    <row r="1685" spans="1:5" x14ac:dyDescent="0.3">
      <c r="A1685" t="s">
        <v>1683</v>
      </c>
      <c r="B1685" t="str" cm="1">
        <f t="array" ref="B1685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hemlock"},A1685)),0)),"")</f>
        <v>Pacific silver fir (WA)</v>
      </c>
      <c r="C1685" t="str" cm="1">
        <f t="array" ref="C1685">IFERROR(INDEX({"Ridgetop","Other"},MATCH(TRUE,ISNUMBER(SEARCH({"Ridgetop","Other"},A1685)),0)),"")</f>
        <v>Ridgetop</v>
      </c>
      <c r="D1685" t="str" cm="1">
        <f t="array" ref="D1685">IFERROR(INDEX({"Small","Medium","Large"},MATCH(TRUE,ISNUMBER(SEARCH({"Small","Medium","Large"},A1685)),0)),"")</f>
        <v>Medium</v>
      </c>
      <c r="E1685" t="str">
        <f t="shared" si="26"/>
        <v>0.060</v>
      </c>
    </row>
    <row r="1686" spans="1:5" x14ac:dyDescent="0.3">
      <c r="A1686" t="s">
        <v>1684</v>
      </c>
      <c r="B1686" t="str" cm="1">
        <f t="array" ref="B1686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hemlock"},A1686)),0)),"")</f>
        <v>Pacific silver fir (WA)</v>
      </c>
      <c r="C1686" t="str" cm="1">
        <f t="array" ref="C1686">IFERROR(INDEX({"Ridgetop","Other"},MATCH(TRUE,ISNUMBER(SEARCH({"Ridgetop","Other"},A1686)),0)),"")</f>
        <v>Ridgetop</v>
      </c>
      <c r="D1686" t="str" cm="1">
        <f t="array" ref="D1686">IFERROR(INDEX({"Small","Medium","Large"},MATCH(TRUE,ISNUMBER(SEARCH({"Small","Medium","Large"},A1686)),0)),"")</f>
        <v>Large</v>
      </c>
      <c r="E1686" t="str">
        <f t="shared" si="26"/>
        <v>0.026</v>
      </c>
    </row>
    <row r="1687" spans="1:5" x14ac:dyDescent="0.3">
      <c r="A1687" t="s">
        <v>1685</v>
      </c>
      <c r="B1687" t="str" cm="1">
        <f t="array" ref="B1687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hemlock"},A1687)),0)),"")</f>
        <v>Pacific silver fir (WA)</v>
      </c>
      <c r="C1687" t="str" cm="1">
        <f t="array" ref="C1687">IFERROR(INDEX({"Ridgetop","Other"},MATCH(TRUE,ISNUMBER(SEARCH({"Ridgetop","Other"},A1687)),0)),"")</f>
        <v>Ridgetop</v>
      </c>
      <c r="D1687" t="str" cm="1">
        <f t="array" ref="D1687">IFERROR(INDEX({"Small","Medium","Large"},MATCH(TRUE,ISNUMBER(SEARCH({"Small","Medium","Large"},A1687)),0)),"")</f>
        <v>Small</v>
      </c>
      <c r="E1687" t="str">
        <f t="shared" si="26"/>
        <v>0.098</v>
      </c>
    </row>
    <row r="1688" spans="1:5" x14ac:dyDescent="0.3">
      <c r="A1688" t="s">
        <v>1686</v>
      </c>
      <c r="B1688" t="str" cm="1">
        <f t="array" ref="B1688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hemlock"},A1688)),0)),"")</f>
        <v>Pacific silver fir (WA)</v>
      </c>
      <c r="C1688" t="str" cm="1">
        <f t="array" ref="C1688">IFERROR(INDEX({"Ridgetop","Other"},MATCH(TRUE,ISNUMBER(SEARCH({"Ridgetop","Other"},A1688)),0)),"")</f>
        <v>Ridgetop</v>
      </c>
      <c r="D1688" t="str" cm="1">
        <f t="array" ref="D1688">IFERROR(INDEX({"Small","Medium","Large"},MATCH(TRUE,ISNUMBER(SEARCH({"Small","Medium","Large"},A1688)),0)),"")</f>
        <v>Medium</v>
      </c>
      <c r="E1688" t="str">
        <f t="shared" si="26"/>
        <v>0.060</v>
      </c>
    </row>
    <row r="1689" spans="1:5" x14ac:dyDescent="0.3">
      <c r="A1689" t="s">
        <v>1687</v>
      </c>
      <c r="B1689" t="str" cm="1">
        <f t="array" ref="B1689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hemlock"},A1689)),0)),"")</f>
        <v>Pacific silver fir (WA)</v>
      </c>
      <c r="C1689" t="str" cm="1">
        <f t="array" ref="C1689">IFERROR(INDEX({"Ridgetop","Other"},MATCH(TRUE,ISNUMBER(SEARCH({"Ridgetop","Other"},A1689)),0)),"")</f>
        <v>Ridgetop</v>
      </c>
      <c r="D1689" t="str" cm="1">
        <f t="array" ref="D1689">IFERROR(INDEX({"Small","Medium","Large"},MATCH(TRUE,ISNUMBER(SEARCH({"Small","Medium","Large"},A1689)),0)),"")</f>
        <v>Large</v>
      </c>
      <c r="E1689" t="str">
        <f t="shared" si="26"/>
        <v>0.026</v>
      </c>
    </row>
    <row r="1690" spans="1:5" x14ac:dyDescent="0.3">
      <c r="A1690" t="s">
        <v>1688</v>
      </c>
      <c r="B1690" t="str" cm="1">
        <f t="array" ref="B1690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hemlock"},A1690)),0)),"")</f>
        <v>Pacific silver fir (WA)</v>
      </c>
      <c r="C1690" t="str" cm="1">
        <f t="array" ref="C1690">IFERROR(INDEX({"Ridgetop","Other"},MATCH(TRUE,ISNUMBER(SEARCH({"Ridgetop","Other"},A1690)),0)),"")</f>
        <v>Ridgetop</v>
      </c>
      <c r="D1690" t="str" cm="1">
        <f t="array" ref="D1690">IFERROR(INDEX({"Small","Medium","Large"},MATCH(TRUE,ISNUMBER(SEARCH({"Small","Medium","Large"},A1690)),0)),"")</f>
        <v>Small</v>
      </c>
      <c r="E1690" t="str">
        <f t="shared" si="26"/>
        <v>0.098</v>
      </c>
    </row>
    <row r="1691" spans="1:5" x14ac:dyDescent="0.3">
      <c r="A1691" t="s">
        <v>1689</v>
      </c>
      <c r="B1691" t="str" cm="1">
        <f t="array" ref="B1691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hemlock"},A1691)),0)),"")</f>
        <v>Pacific silver fir (WA)</v>
      </c>
      <c r="C1691" t="str" cm="1">
        <f t="array" ref="C1691">IFERROR(INDEX({"Ridgetop","Other"},MATCH(TRUE,ISNUMBER(SEARCH({"Ridgetop","Other"},A1691)),0)),"")</f>
        <v>Ridgetop</v>
      </c>
      <c r="D1691" t="str" cm="1">
        <f t="array" ref="D1691">IFERROR(INDEX({"Small","Medium","Large"},MATCH(TRUE,ISNUMBER(SEARCH({"Small","Medium","Large"},A1691)),0)),"")</f>
        <v>Medium</v>
      </c>
      <c r="E1691" t="str">
        <f t="shared" si="26"/>
        <v>0.060</v>
      </c>
    </row>
    <row r="1692" spans="1:5" x14ac:dyDescent="0.3">
      <c r="A1692" t="s">
        <v>1690</v>
      </c>
      <c r="B1692" t="str" cm="1">
        <f t="array" ref="B1692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hemlock"},A1692)),0)),"")</f>
        <v>Pacific silver fir (WA)</v>
      </c>
      <c r="C1692" t="str" cm="1">
        <f t="array" ref="C1692">IFERROR(INDEX({"Ridgetop","Other"},MATCH(TRUE,ISNUMBER(SEARCH({"Ridgetop","Other"},A1692)),0)),"")</f>
        <v>Ridgetop</v>
      </c>
      <c r="D1692" t="str" cm="1">
        <f t="array" ref="D1692">IFERROR(INDEX({"Small","Medium","Large"},MATCH(TRUE,ISNUMBER(SEARCH({"Small","Medium","Large"},A1692)),0)),"")</f>
        <v>Large</v>
      </c>
      <c r="E1692" t="str">
        <f t="shared" si="26"/>
        <v>0.026</v>
      </c>
    </row>
    <row r="1693" spans="1:5" x14ac:dyDescent="0.3">
      <c r="A1693" t="s">
        <v>1691</v>
      </c>
      <c r="B1693" t="str" cm="1">
        <f t="array" ref="B1693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hemlock"},A1693)),0)),"")</f>
        <v>Pacific silver fir (WA)</v>
      </c>
      <c r="C1693" t="str" cm="1">
        <f t="array" ref="C1693">IFERROR(INDEX({"Ridgetop","Other"},MATCH(TRUE,ISNUMBER(SEARCH({"Ridgetop","Other"},A1693)),0)),"")</f>
        <v>Other</v>
      </c>
      <c r="D1693" t="str" cm="1">
        <f t="array" ref="D1693">IFERROR(INDEX({"Small","Medium","Large"},MATCH(TRUE,ISNUMBER(SEARCH({"Small","Medium","Large"},A1693)),0)),"")</f>
        <v>Small</v>
      </c>
      <c r="E1693" t="str">
        <f t="shared" si="26"/>
        <v>0.048</v>
      </c>
    </row>
    <row r="1694" spans="1:5" x14ac:dyDescent="0.3">
      <c r="A1694" t="s">
        <v>1692</v>
      </c>
      <c r="B1694" t="str" cm="1">
        <f t="array" ref="B1694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hemlock"},A1694)),0)),"")</f>
        <v>Pacific silver fir (WA)</v>
      </c>
      <c r="C1694" t="str" cm="1">
        <f t="array" ref="C1694">IFERROR(INDEX({"Ridgetop","Other"},MATCH(TRUE,ISNUMBER(SEARCH({"Ridgetop","Other"},A1694)),0)),"")</f>
        <v>Other</v>
      </c>
      <c r="D1694" t="str" cm="1">
        <f t="array" ref="D1694">IFERROR(INDEX({"Small","Medium","Large"},MATCH(TRUE,ISNUMBER(SEARCH({"Small","Medium","Large"},A1694)),0)),"")</f>
        <v>Medium</v>
      </c>
      <c r="E1694" t="str">
        <f t="shared" si="26"/>
        <v>0.029</v>
      </c>
    </row>
    <row r="1695" spans="1:5" x14ac:dyDescent="0.3">
      <c r="A1695" t="s">
        <v>1693</v>
      </c>
      <c r="B1695" t="str" cm="1">
        <f t="array" ref="B1695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hemlock"},A1695)),0)),"")</f>
        <v>Pacific silver fir (WA)</v>
      </c>
      <c r="C1695" t="str" cm="1">
        <f t="array" ref="C1695">IFERROR(INDEX({"Ridgetop","Other"},MATCH(TRUE,ISNUMBER(SEARCH({"Ridgetop","Other"},A1695)),0)),"")</f>
        <v>Other</v>
      </c>
      <c r="D1695" t="str" cm="1">
        <f t="array" ref="D1695">IFERROR(INDEX({"Small","Medium","Large"},MATCH(TRUE,ISNUMBER(SEARCH({"Small","Medium","Large"},A1695)),0)),"")</f>
        <v>Large</v>
      </c>
      <c r="E1695" t="str">
        <f t="shared" si="26"/>
        <v>0.013</v>
      </c>
    </row>
    <row r="1696" spans="1:5" x14ac:dyDescent="0.3">
      <c r="A1696" t="s">
        <v>1694</v>
      </c>
      <c r="B1696" t="str" cm="1">
        <f t="array" ref="B1696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hemlock"},A1696)),0)),"")</f>
        <v>Pacific silver fir (WA)</v>
      </c>
      <c r="C1696" t="str" cm="1">
        <f t="array" ref="C1696">IFERROR(INDEX({"Ridgetop","Other"},MATCH(TRUE,ISNUMBER(SEARCH({"Ridgetop","Other"},A1696)),0)),"")</f>
        <v>Other</v>
      </c>
      <c r="D1696" t="str" cm="1">
        <f t="array" ref="D1696">IFERROR(INDEX({"Small","Medium","Large"},MATCH(TRUE,ISNUMBER(SEARCH({"Small","Medium","Large"},A1696)),0)),"")</f>
        <v>Small</v>
      </c>
      <c r="E1696" t="str">
        <f t="shared" si="26"/>
        <v>0.054</v>
      </c>
    </row>
    <row r="1697" spans="1:5" x14ac:dyDescent="0.3">
      <c r="A1697" t="s">
        <v>1695</v>
      </c>
      <c r="B1697" t="str" cm="1">
        <f t="array" ref="B1697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hemlock"},A1697)),0)),"")</f>
        <v>Pacific silver fir (WA)</v>
      </c>
      <c r="C1697" t="str" cm="1">
        <f t="array" ref="C1697">IFERROR(INDEX({"Ridgetop","Other"},MATCH(TRUE,ISNUMBER(SEARCH({"Ridgetop","Other"},A1697)),0)),"")</f>
        <v>Other</v>
      </c>
      <c r="D1697" t="str" cm="1">
        <f t="array" ref="D1697">IFERROR(INDEX({"Small","Medium","Large"},MATCH(TRUE,ISNUMBER(SEARCH({"Small","Medium","Large"},A1697)),0)),"")</f>
        <v>Medium</v>
      </c>
      <c r="E1697" t="str">
        <f t="shared" si="26"/>
        <v>0.033</v>
      </c>
    </row>
    <row r="1698" spans="1:5" x14ac:dyDescent="0.3">
      <c r="A1698" t="s">
        <v>1696</v>
      </c>
      <c r="B1698" t="str" cm="1">
        <f t="array" ref="B1698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hemlock"},A1698)),0)),"")</f>
        <v>Pacific silver fir (WA)</v>
      </c>
      <c r="C1698" t="str" cm="1">
        <f t="array" ref="C1698">IFERROR(INDEX({"Ridgetop","Other"},MATCH(TRUE,ISNUMBER(SEARCH({"Ridgetop","Other"},A1698)),0)),"")</f>
        <v>Other</v>
      </c>
      <c r="D1698" t="str" cm="1">
        <f t="array" ref="D1698">IFERROR(INDEX({"Small","Medium","Large"},MATCH(TRUE,ISNUMBER(SEARCH({"Small","Medium","Large"},A1698)),0)),"")</f>
        <v>Large</v>
      </c>
      <c r="E1698" t="str">
        <f t="shared" si="26"/>
        <v>0.014</v>
      </c>
    </row>
    <row r="1699" spans="1:5" x14ac:dyDescent="0.3">
      <c r="A1699" t="s">
        <v>1697</v>
      </c>
      <c r="B1699" t="str" cm="1">
        <f t="array" ref="B1699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hemlock"},A1699)),0)),"")</f>
        <v>Pacific silver fir (WA)</v>
      </c>
      <c r="C1699" t="str" cm="1">
        <f t="array" ref="C1699">IFERROR(INDEX({"Ridgetop","Other"},MATCH(TRUE,ISNUMBER(SEARCH({"Ridgetop","Other"},A1699)),0)),"")</f>
        <v>Other</v>
      </c>
      <c r="D1699" t="str" cm="1">
        <f t="array" ref="D1699">IFERROR(INDEX({"Small","Medium","Large"},MATCH(TRUE,ISNUMBER(SEARCH({"Small","Medium","Large"},A1699)),0)),"")</f>
        <v>Small</v>
      </c>
      <c r="E1699" t="str">
        <f t="shared" si="26"/>
        <v>0.059</v>
      </c>
    </row>
    <row r="1700" spans="1:5" x14ac:dyDescent="0.3">
      <c r="A1700" t="s">
        <v>1698</v>
      </c>
      <c r="B1700" t="str" cm="1">
        <f t="array" ref="B1700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hemlock"},A1700)),0)),"")</f>
        <v>Pacific silver fir (WA)</v>
      </c>
      <c r="C1700" t="str" cm="1">
        <f t="array" ref="C1700">IFERROR(INDEX({"Ridgetop","Other"},MATCH(TRUE,ISNUMBER(SEARCH({"Ridgetop","Other"},A1700)),0)),"")</f>
        <v>Other</v>
      </c>
      <c r="D1700" t="str" cm="1">
        <f t="array" ref="D1700">IFERROR(INDEX({"Small","Medium","Large"},MATCH(TRUE,ISNUMBER(SEARCH({"Small","Medium","Large"},A1700)),0)),"")</f>
        <v>Medium</v>
      </c>
      <c r="E1700" t="str">
        <f t="shared" si="26"/>
        <v>0.036</v>
      </c>
    </row>
    <row r="1701" spans="1:5" x14ac:dyDescent="0.3">
      <c r="A1701" t="s">
        <v>1699</v>
      </c>
      <c r="B1701" t="str" cm="1">
        <f t="array" ref="B1701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hemlock"},A1701)),0)),"")</f>
        <v>Pacific silver fir (WA)</v>
      </c>
      <c r="C1701" t="str" cm="1">
        <f t="array" ref="C1701">IFERROR(INDEX({"Ridgetop","Other"},MATCH(TRUE,ISNUMBER(SEARCH({"Ridgetop","Other"},A1701)),0)),"")</f>
        <v>Other</v>
      </c>
      <c r="D1701" t="str" cm="1">
        <f t="array" ref="D1701">IFERROR(INDEX({"Small","Medium","Large"},MATCH(TRUE,ISNUMBER(SEARCH({"Small","Medium","Large"},A1701)),0)),"")</f>
        <v>Large</v>
      </c>
      <c r="E1701" t="str">
        <f t="shared" si="26"/>
        <v>0.016</v>
      </c>
    </row>
    <row r="1702" spans="1:5" x14ac:dyDescent="0.3">
      <c r="A1702" t="s">
        <v>1700</v>
      </c>
      <c r="B1702" t="str" cm="1">
        <f t="array" ref="B1702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hemlock"},A1702)),0)),"")</f>
        <v>Pacific silver fir (WA)</v>
      </c>
      <c r="C1702" t="str" cm="1">
        <f t="array" ref="C1702">IFERROR(INDEX({"Ridgetop","Other"},MATCH(TRUE,ISNUMBER(SEARCH({"Ridgetop","Other"},A1702)),0)),"")</f>
        <v>Ridgetop</v>
      </c>
      <c r="D1702" t="str" cm="1">
        <f t="array" ref="D1702">IFERROR(INDEX({"Small","Medium","Large"},MATCH(TRUE,ISNUMBER(SEARCH({"Small","Medium","Large"},A1702)),0)),"")</f>
        <v>Small</v>
      </c>
      <c r="E1702" t="str">
        <f t="shared" si="26"/>
        <v>0.091</v>
      </c>
    </row>
    <row r="1703" spans="1:5" x14ac:dyDescent="0.3">
      <c r="A1703" t="s">
        <v>1701</v>
      </c>
      <c r="B1703" t="str" cm="1">
        <f t="array" ref="B1703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hemlock"},A1703)),0)),"")</f>
        <v>Pacific silver fir (WA)</v>
      </c>
      <c r="C1703" t="str" cm="1">
        <f t="array" ref="C1703">IFERROR(INDEX({"Ridgetop","Other"},MATCH(TRUE,ISNUMBER(SEARCH({"Ridgetop","Other"},A1703)),0)),"")</f>
        <v>Ridgetop</v>
      </c>
      <c r="D1703" t="str" cm="1">
        <f t="array" ref="D1703">IFERROR(INDEX({"Small","Medium","Large"},MATCH(TRUE,ISNUMBER(SEARCH({"Small","Medium","Large"},A1703)),0)),"")</f>
        <v>Medium</v>
      </c>
      <c r="E1703" t="str">
        <f t="shared" si="26"/>
        <v>0.056</v>
      </c>
    </row>
    <row r="1704" spans="1:5" x14ac:dyDescent="0.3">
      <c r="A1704" t="s">
        <v>1702</v>
      </c>
      <c r="B1704" t="str" cm="1">
        <f t="array" ref="B1704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hemlock"},A1704)),0)),"")</f>
        <v>Pacific silver fir (WA)</v>
      </c>
      <c r="C1704" t="str" cm="1">
        <f t="array" ref="C1704">IFERROR(INDEX({"Ridgetop","Other"},MATCH(TRUE,ISNUMBER(SEARCH({"Ridgetop","Other"},A1704)),0)),"")</f>
        <v>Ridgetop</v>
      </c>
      <c r="D1704" t="str" cm="1">
        <f t="array" ref="D1704">IFERROR(INDEX({"Small","Medium","Large"},MATCH(TRUE,ISNUMBER(SEARCH({"Small","Medium","Large"},A1704)),0)),"")</f>
        <v>Large</v>
      </c>
      <c r="E1704" t="str">
        <f t="shared" si="26"/>
        <v>0.024</v>
      </c>
    </row>
    <row r="1705" spans="1:5" x14ac:dyDescent="0.3">
      <c r="A1705" t="s">
        <v>1703</v>
      </c>
      <c r="B1705" t="str" cm="1">
        <f t="array" ref="B1705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hemlock"},A1705)),0)),"")</f>
        <v>Pacific silver fir (WA)</v>
      </c>
      <c r="C1705" t="str" cm="1">
        <f t="array" ref="C1705">IFERROR(INDEX({"Ridgetop","Other"},MATCH(TRUE,ISNUMBER(SEARCH({"Ridgetop","Other"},A1705)),0)),"")</f>
        <v>Ridgetop</v>
      </c>
      <c r="D1705" t="str" cm="1">
        <f t="array" ref="D1705">IFERROR(INDEX({"Small","Medium","Large"},MATCH(TRUE,ISNUMBER(SEARCH({"Small","Medium","Large"},A1705)),0)),"")</f>
        <v>Small</v>
      </c>
      <c r="E1705" t="str">
        <f t="shared" si="26"/>
        <v>0.091</v>
      </c>
    </row>
    <row r="1706" spans="1:5" x14ac:dyDescent="0.3">
      <c r="A1706" t="s">
        <v>1704</v>
      </c>
      <c r="B1706" t="str" cm="1">
        <f t="array" ref="B1706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hemlock"},A1706)),0)),"")</f>
        <v>Pacific silver fir (WA)</v>
      </c>
      <c r="C1706" t="str" cm="1">
        <f t="array" ref="C1706">IFERROR(INDEX({"Ridgetop","Other"},MATCH(TRUE,ISNUMBER(SEARCH({"Ridgetop","Other"},A1706)),0)),"")</f>
        <v>Ridgetop</v>
      </c>
      <c r="D1706" t="str" cm="1">
        <f t="array" ref="D1706">IFERROR(INDEX({"Small","Medium","Large"},MATCH(TRUE,ISNUMBER(SEARCH({"Small","Medium","Large"},A1706)),0)),"")</f>
        <v>Medium</v>
      </c>
      <c r="E1706" t="str">
        <f t="shared" si="26"/>
        <v>0.056</v>
      </c>
    </row>
    <row r="1707" spans="1:5" x14ac:dyDescent="0.3">
      <c r="A1707" t="s">
        <v>1705</v>
      </c>
      <c r="B1707" t="str" cm="1">
        <f t="array" ref="B1707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hemlock"},A1707)),0)),"")</f>
        <v>Pacific silver fir (WA)</v>
      </c>
      <c r="C1707" t="str" cm="1">
        <f t="array" ref="C1707">IFERROR(INDEX({"Ridgetop","Other"},MATCH(TRUE,ISNUMBER(SEARCH({"Ridgetop","Other"},A1707)),0)),"")</f>
        <v>Ridgetop</v>
      </c>
      <c r="D1707" t="str" cm="1">
        <f t="array" ref="D1707">IFERROR(INDEX({"Small","Medium","Large"},MATCH(TRUE,ISNUMBER(SEARCH({"Small","Medium","Large"},A1707)),0)),"")</f>
        <v>Large</v>
      </c>
      <c r="E1707" t="str">
        <f t="shared" si="26"/>
        <v>0.024</v>
      </c>
    </row>
    <row r="1708" spans="1:5" x14ac:dyDescent="0.3">
      <c r="A1708" t="s">
        <v>1706</v>
      </c>
      <c r="B1708" t="str" cm="1">
        <f t="array" ref="B1708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hemlock"},A1708)),0)),"")</f>
        <v>Pacific silver fir (WA)</v>
      </c>
      <c r="C1708" t="str" cm="1">
        <f t="array" ref="C1708">IFERROR(INDEX({"Ridgetop","Other"},MATCH(TRUE,ISNUMBER(SEARCH({"Ridgetop","Other"},A1708)),0)),"")</f>
        <v>Ridgetop</v>
      </c>
      <c r="D1708" t="str" cm="1">
        <f t="array" ref="D1708">IFERROR(INDEX({"Small","Medium","Large"},MATCH(TRUE,ISNUMBER(SEARCH({"Small","Medium","Large"},A1708)),0)),"")</f>
        <v>Small</v>
      </c>
      <c r="E1708" t="str">
        <f t="shared" si="26"/>
        <v>0.093</v>
      </c>
    </row>
    <row r="1709" spans="1:5" x14ac:dyDescent="0.3">
      <c r="A1709" t="s">
        <v>1707</v>
      </c>
      <c r="B1709" t="str" cm="1">
        <f t="array" ref="B1709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hemlock"},A1709)),0)),"")</f>
        <v>Pacific silver fir (WA)</v>
      </c>
      <c r="C1709" t="str" cm="1">
        <f t="array" ref="C1709">IFERROR(INDEX({"Ridgetop","Other"},MATCH(TRUE,ISNUMBER(SEARCH({"Ridgetop","Other"},A1709)),0)),"")</f>
        <v>Ridgetop</v>
      </c>
      <c r="D1709" t="str" cm="1">
        <f t="array" ref="D1709">IFERROR(INDEX({"Small","Medium","Large"},MATCH(TRUE,ISNUMBER(SEARCH({"Small","Medium","Large"},A1709)),0)),"")</f>
        <v>Medium</v>
      </c>
      <c r="E1709" t="str">
        <f t="shared" si="26"/>
        <v>0.057</v>
      </c>
    </row>
    <row r="1710" spans="1:5" x14ac:dyDescent="0.3">
      <c r="A1710" t="s">
        <v>1708</v>
      </c>
      <c r="B1710" t="str" cm="1">
        <f t="array" ref="B1710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hemlock"},A1710)),0)),"")</f>
        <v>Pacific silver fir (WA)</v>
      </c>
      <c r="C1710" t="str" cm="1">
        <f t="array" ref="C1710">IFERROR(INDEX({"Ridgetop","Other"},MATCH(TRUE,ISNUMBER(SEARCH({"Ridgetop","Other"},A1710)),0)),"")</f>
        <v>Ridgetop</v>
      </c>
      <c r="D1710" t="str" cm="1">
        <f t="array" ref="D1710">IFERROR(INDEX({"Small","Medium","Large"},MATCH(TRUE,ISNUMBER(SEARCH({"Small","Medium","Large"},A1710)),0)),"")</f>
        <v>Large</v>
      </c>
      <c r="E1710" t="str">
        <f t="shared" si="26"/>
        <v>0.025</v>
      </c>
    </row>
    <row r="1711" spans="1:5" x14ac:dyDescent="0.3">
      <c r="A1711" t="s">
        <v>1709</v>
      </c>
      <c r="B1711" t="str" cm="1">
        <f t="array" ref="B1711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hemlock"},A1711)),0)),"")</f>
        <v>Pacific silver fir (WA)</v>
      </c>
      <c r="C1711" t="str" cm="1">
        <f t="array" ref="C1711">IFERROR(INDEX({"Ridgetop","Other"},MATCH(TRUE,ISNUMBER(SEARCH({"Ridgetop","Other"},A1711)),0)),"")</f>
        <v>Other</v>
      </c>
      <c r="D1711" t="str" cm="1">
        <f t="array" ref="D1711">IFERROR(INDEX({"Small","Medium","Large"},MATCH(TRUE,ISNUMBER(SEARCH({"Small","Medium","Large"},A1711)),0)),"")</f>
        <v>Small</v>
      </c>
      <c r="E1711" t="str">
        <f t="shared" si="26"/>
        <v>0.054</v>
      </c>
    </row>
    <row r="1712" spans="1:5" x14ac:dyDescent="0.3">
      <c r="A1712" t="s">
        <v>1710</v>
      </c>
      <c r="B1712" t="str" cm="1">
        <f t="array" ref="B1712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hemlock"},A1712)),0)),"")</f>
        <v>Pacific silver fir (WA)</v>
      </c>
      <c r="C1712" t="str" cm="1">
        <f t="array" ref="C1712">IFERROR(INDEX({"Ridgetop","Other"},MATCH(TRUE,ISNUMBER(SEARCH({"Ridgetop","Other"},A1712)),0)),"")</f>
        <v>Other</v>
      </c>
      <c r="D1712" t="str" cm="1">
        <f t="array" ref="D1712">IFERROR(INDEX({"Small","Medium","Large"},MATCH(TRUE,ISNUMBER(SEARCH({"Small","Medium","Large"},A1712)),0)),"")</f>
        <v>Medium</v>
      </c>
      <c r="E1712" t="str">
        <f t="shared" si="26"/>
        <v>0.033</v>
      </c>
    </row>
    <row r="1713" spans="1:5" x14ac:dyDescent="0.3">
      <c r="A1713" t="s">
        <v>1711</v>
      </c>
      <c r="B1713" t="str" cm="1">
        <f t="array" ref="B1713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hemlock"},A1713)),0)),"")</f>
        <v>Pacific silver fir (WA)</v>
      </c>
      <c r="C1713" t="str" cm="1">
        <f t="array" ref="C1713">IFERROR(INDEX({"Ridgetop","Other"},MATCH(TRUE,ISNUMBER(SEARCH({"Ridgetop","Other"},A1713)),0)),"")</f>
        <v>Other</v>
      </c>
      <c r="D1713" t="str" cm="1">
        <f t="array" ref="D1713">IFERROR(INDEX({"Small","Medium","Large"},MATCH(TRUE,ISNUMBER(SEARCH({"Small","Medium","Large"},A1713)),0)),"")</f>
        <v>Large</v>
      </c>
      <c r="E1713" t="str">
        <f t="shared" si="26"/>
        <v>0.014</v>
      </c>
    </row>
    <row r="1714" spans="1:5" x14ac:dyDescent="0.3">
      <c r="A1714" t="s">
        <v>1712</v>
      </c>
      <c r="B1714" t="str" cm="1">
        <f t="array" ref="B1714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hemlock"},A1714)),0)),"")</f>
        <v>Pacific silver fir (WA)</v>
      </c>
      <c r="C1714" t="str" cm="1">
        <f t="array" ref="C1714">IFERROR(INDEX({"Ridgetop","Other"},MATCH(TRUE,ISNUMBER(SEARCH({"Ridgetop","Other"},A1714)),0)),"")</f>
        <v>Other</v>
      </c>
      <c r="D1714" t="str" cm="1">
        <f t="array" ref="D1714">IFERROR(INDEX({"Small","Medium","Large"},MATCH(TRUE,ISNUMBER(SEARCH({"Small","Medium","Large"},A1714)),0)),"")</f>
        <v>Small</v>
      </c>
      <c r="E1714" t="str">
        <f t="shared" si="26"/>
        <v>0.059</v>
      </c>
    </row>
    <row r="1715" spans="1:5" x14ac:dyDescent="0.3">
      <c r="A1715" t="s">
        <v>1713</v>
      </c>
      <c r="B1715" t="str" cm="1">
        <f t="array" ref="B1715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hemlock"},A1715)),0)),"")</f>
        <v>Pacific silver fir (WA)</v>
      </c>
      <c r="C1715" t="str" cm="1">
        <f t="array" ref="C1715">IFERROR(INDEX({"Ridgetop","Other"},MATCH(TRUE,ISNUMBER(SEARCH({"Ridgetop","Other"},A1715)),0)),"")</f>
        <v>Other</v>
      </c>
      <c r="D1715" t="str" cm="1">
        <f t="array" ref="D1715">IFERROR(INDEX({"Small","Medium","Large"},MATCH(TRUE,ISNUMBER(SEARCH({"Small","Medium","Large"},A1715)),0)),"")</f>
        <v>Medium</v>
      </c>
      <c r="E1715" t="str">
        <f t="shared" si="26"/>
        <v>0.036</v>
      </c>
    </row>
    <row r="1716" spans="1:5" x14ac:dyDescent="0.3">
      <c r="A1716" t="s">
        <v>1714</v>
      </c>
      <c r="B1716" t="str" cm="1">
        <f t="array" ref="B1716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hemlock"},A1716)),0)),"")</f>
        <v>Pacific silver fir (WA)</v>
      </c>
      <c r="C1716" t="str" cm="1">
        <f t="array" ref="C1716">IFERROR(INDEX({"Ridgetop","Other"},MATCH(TRUE,ISNUMBER(SEARCH({"Ridgetop","Other"},A1716)),0)),"")</f>
        <v>Other</v>
      </c>
      <c r="D1716" t="str" cm="1">
        <f t="array" ref="D1716">IFERROR(INDEX({"Small","Medium","Large"},MATCH(TRUE,ISNUMBER(SEARCH({"Small","Medium","Large"},A1716)),0)),"")</f>
        <v>Large</v>
      </c>
      <c r="E1716" t="str">
        <f t="shared" si="26"/>
        <v>0.016</v>
      </c>
    </row>
    <row r="1717" spans="1:5" x14ac:dyDescent="0.3">
      <c r="A1717" t="s">
        <v>1715</v>
      </c>
      <c r="B1717" t="str" cm="1">
        <f t="array" ref="B1717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hemlock"},A1717)),0)),"")</f>
        <v>Pacific silver fir (WA)</v>
      </c>
      <c r="C1717" t="str" cm="1">
        <f t="array" ref="C1717">IFERROR(INDEX({"Ridgetop","Other"},MATCH(TRUE,ISNUMBER(SEARCH({"Ridgetop","Other"},A1717)),0)),"")</f>
        <v>Other</v>
      </c>
      <c r="D1717" t="str" cm="1">
        <f t="array" ref="D1717">IFERROR(INDEX({"Small","Medium","Large"},MATCH(TRUE,ISNUMBER(SEARCH({"Small","Medium","Large"},A1717)),0)),"")</f>
        <v>Small</v>
      </c>
      <c r="E1717" t="str">
        <f t="shared" si="26"/>
        <v>0.059</v>
      </c>
    </row>
    <row r="1718" spans="1:5" x14ac:dyDescent="0.3">
      <c r="A1718" t="s">
        <v>1716</v>
      </c>
      <c r="B1718" t="str" cm="1">
        <f t="array" ref="B1718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hemlock"},A1718)),0)),"")</f>
        <v>Pacific silver fir (WA)</v>
      </c>
      <c r="C1718" t="str" cm="1">
        <f t="array" ref="C1718">IFERROR(INDEX({"Ridgetop","Other"},MATCH(TRUE,ISNUMBER(SEARCH({"Ridgetop","Other"},A1718)),0)),"")</f>
        <v>Other</v>
      </c>
      <c r="D1718" t="str" cm="1">
        <f t="array" ref="D1718">IFERROR(INDEX({"Small","Medium","Large"},MATCH(TRUE,ISNUMBER(SEARCH({"Small","Medium","Large"},A1718)),0)),"")</f>
        <v>Medium</v>
      </c>
      <c r="E1718" t="str">
        <f t="shared" si="26"/>
        <v>0.036</v>
      </c>
    </row>
    <row r="1719" spans="1:5" x14ac:dyDescent="0.3">
      <c r="A1719" t="s">
        <v>1717</v>
      </c>
      <c r="B1719" t="str" cm="1">
        <f t="array" ref="B1719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hemlock"},A1719)),0)),"")</f>
        <v>Pacific silver fir (WA)</v>
      </c>
      <c r="C1719" t="str" cm="1">
        <f t="array" ref="C1719">IFERROR(INDEX({"Ridgetop","Other"},MATCH(TRUE,ISNUMBER(SEARCH({"Ridgetop","Other"},A1719)),0)),"")</f>
        <v>Other</v>
      </c>
      <c r="D1719" t="str" cm="1">
        <f t="array" ref="D1719">IFERROR(INDEX({"Small","Medium","Large"},MATCH(TRUE,ISNUMBER(SEARCH({"Small","Medium","Large"},A1719)),0)),"")</f>
        <v>Large</v>
      </c>
      <c r="E1719" t="str">
        <f t="shared" si="26"/>
        <v>0.016</v>
      </c>
    </row>
    <row r="1720" spans="1:5" x14ac:dyDescent="0.3">
      <c r="A1720" t="s">
        <v>1718</v>
      </c>
      <c r="B1720" t="str" cm="1">
        <f t="array" ref="B1720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hemlock"},A1720)),0)),"")</f>
        <v>Pacific silver fir (WA)</v>
      </c>
      <c r="C1720" t="str" cm="1">
        <f t="array" ref="C1720">IFERROR(INDEX({"Ridgetop","Other"},MATCH(TRUE,ISNUMBER(SEARCH({"Ridgetop","Other"},A1720)),0)),"")</f>
        <v>Ridgetop</v>
      </c>
      <c r="D1720" t="str" cm="1">
        <f t="array" ref="D1720">IFERROR(INDEX({"Small","Medium","Large"},MATCH(TRUE,ISNUMBER(SEARCH({"Small","Medium","Large"},A1720)),0)),"")</f>
        <v>Small</v>
      </c>
      <c r="E1720" t="str">
        <f t="shared" si="26"/>
        <v>0.098</v>
      </c>
    </row>
    <row r="1721" spans="1:5" x14ac:dyDescent="0.3">
      <c r="A1721" t="s">
        <v>1719</v>
      </c>
      <c r="B1721" t="str" cm="1">
        <f t="array" ref="B1721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hemlock"},A1721)),0)),"")</f>
        <v>Pacific silver fir (WA)</v>
      </c>
      <c r="C1721" t="str" cm="1">
        <f t="array" ref="C1721">IFERROR(INDEX({"Ridgetop","Other"},MATCH(TRUE,ISNUMBER(SEARCH({"Ridgetop","Other"},A1721)),0)),"")</f>
        <v>Ridgetop</v>
      </c>
      <c r="D1721" t="str" cm="1">
        <f t="array" ref="D1721">IFERROR(INDEX({"Small","Medium","Large"},MATCH(TRUE,ISNUMBER(SEARCH({"Small","Medium","Large"},A1721)),0)),"")</f>
        <v>Medium</v>
      </c>
      <c r="E1721" t="str">
        <f t="shared" si="26"/>
        <v>0.060</v>
      </c>
    </row>
    <row r="1722" spans="1:5" x14ac:dyDescent="0.3">
      <c r="A1722" t="s">
        <v>1720</v>
      </c>
      <c r="B1722" t="str" cm="1">
        <f t="array" ref="B1722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hemlock"},A1722)),0)),"")</f>
        <v>Pacific silver fir (WA)</v>
      </c>
      <c r="C1722" t="str" cm="1">
        <f t="array" ref="C1722">IFERROR(INDEX({"Ridgetop","Other"},MATCH(TRUE,ISNUMBER(SEARCH({"Ridgetop","Other"},A1722)),0)),"")</f>
        <v>Ridgetop</v>
      </c>
      <c r="D1722" t="str" cm="1">
        <f t="array" ref="D1722">IFERROR(INDEX({"Small","Medium","Large"},MATCH(TRUE,ISNUMBER(SEARCH({"Small","Medium","Large"},A1722)),0)),"")</f>
        <v>Large</v>
      </c>
      <c r="E1722" t="str">
        <f t="shared" si="26"/>
        <v>0.026</v>
      </c>
    </row>
    <row r="1723" spans="1:5" x14ac:dyDescent="0.3">
      <c r="A1723" t="s">
        <v>1721</v>
      </c>
      <c r="B1723" t="str" cm="1">
        <f t="array" ref="B1723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hemlock"},A1723)),0)),"")</f>
        <v>Pacific silver fir (WA)</v>
      </c>
      <c r="C1723" t="str" cm="1">
        <f t="array" ref="C1723">IFERROR(INDEX({"Ridgetop","Other"},MATCH(TRUE,ISNUMBER(SEARCH({"Ridgetop","Other"},A1723)),0)),"")</f>
        <v>Ridgetop</v>
      </c>
      <c r="D1723" t="str" cm="1">
        <f t="array" ref="D1723">IFERROR(INDEX({"Small","Medium","Large"},MATCH(TRUE,ISNUMBER(SEARCH({"Small","Medium","Large"},A1723)),0)),"")</f>
        <v>Small</v>
      </c>
      <c r="E1723" t="str">
        <f t="shared" si="26"/>
        <v>0.098</v>
      </c>
    </row>
    <row r="1724" spans="1:5" x14ac:dyDescent="0.3">
      <c r="A1724" t="s">
        <v>1722</v>
      </c>
      <c r="B1724" t="str" cm="1">
        <f t="array" ref="B1724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hemlock"},A1724)),0)),"")</f>
        <v>Pacific silver fir (WA)</v>
      </c>
      <c r="C1724" t="str" cm="1">
        <f t="array" ref="C1724">IFERROR(INDEX({"Ridgetop","Other"},MATCH(TRUE,ISNUMBER(SEARCH({"Ridgetop","Other"},A1724)),0)),"")</f>
        <v>Ridgetop</v>
      </c>
      <c r="D1724" t="str" cm="1">
        <f t="array" ref="D1724">IFERROR(INDEX({"Small","Medium","Large"},MATCH(TRUE,ISNUMBER(SEARCH({"Small","Medium","Large"},A1724)),0)),"")</f>
        <v>Medium</v>
      </c>
      <c r="E1724" t="str">
        <f t="shared" si="26"/>
        <v>0.060</v>
      </c>
    </row>
    <row r="1725" spans="1:5" x14ac:dyDescent="0.3">
      <c r="A1725" t="s">
        <v>1723</v>
      </c>
      <c r="B1725" t="str" cm="1">
        <f t="array" ref="B1725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hemlock"},A1725)),0)),"")</f>
        <v>Pacific silver fir (WA)</v>
      </c>
      <c r="C1725" t="str" cm="1">
        <f t="array" ref="C1725">IFERROR(INDEX({"Ridgetop","Other"},MATCH(TRUE,ISNUMBER(SEARCH({"Ridgetop","Other"},A1725)),0)),"")</f>
        <v>Ridgetop</v>
      </c>
      <c r="D1725" t="str" cm="1">
        <f t="array" ref="D1725">IFERROR(INDEX({"Small","Medium","Large"},MATCH(TRUE,ISNUMBER(SEARCH({"Small","Medium","Large"},A1725)),0)),"")</f>
        <v>Large</v>
      </c>
      <c r="E1725" t="str">
        <f t="shared" si="26"/>
        <v>0.026</v>
      </c>
    </row>
    <row r="1726" spans="1:5" x14ac:dyDescent="0.3">
      <c r="A1726" t="s">
        <v>1724</v>
      </c>
      <c r="B1726" t="str" cm="1">
        <f t="array" ref="B1726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hemlock"},A1726)),0)),"")</f>
        <v>Pacific silver fir (WA)</v>
      </c>
      <c r="C1726" t="str" cm="1">
        <f t="array" ref="C1726">IFERROR(INDEX({"Ridgetop","Other"},MATCH(TRUE,ISNUMBER(SEARCH({"Ridgetop","Other"},A1726)),0)),"")</f>
        <v>Ridgetop</v>
      </c>
      <c r="D1726" t="str" cm="1">
        <f t="array" ref="D1726">IFERROR(INDEX({"Small","Medium","Large"},MATCH(TRUE,ISNUMBER(SEARCH({"Small","Medium","Large"},A1726)),0)),"")</f>
        <v>Small</v>
      </c>
      <c r="E1726" t="str">
        <f t="shared" si="26"/>
        <v>0.098</v>
      </c>
    </row>
    <row r="1727" spans="1:5" x14ac:dyDescent="0.3">
      <c r="A1727" t="s">
        <v>1725</v>
      </c>
      <c r="B1727" t="str" cm="1">
        <f t="array" ref="B1727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hemlock"},A1727)),0)),"")</f>
        <v>Pacific silver fir (WA)</v>
      </c>
      <c r="C1727" t="str" cm="1">
        <f t="array" ref="C1727">IFERROR(INDEX({"Ridgetop","Other"},MATCH(TRUE,ISNUMBER(SEARCH({"Ridgetop","Other"},A1727)),0)),"")</f>
        <v>Ridgetop</v>
      </c>
      <c r="D1727" t="str" cm="1">
        <f t="array" ref="D1727">IFERROR(INDEX({"Small","Medium","Large"},MATCH(TRUE,ISNUMBER(SEARCH({"Small","Medium","Large"},A1727)),0)),"")</f>
        <v>Medium</v>
      </c>
      <c r="E1727" t="str">
        <f t="shared" si="26"/>
        <v>0.060</v>
      </c>
    </row>
    <row r="1728" spans="1:5" x14ac:dyDescent="0.3">
      <c r="A1728" t="s">
        <v>1726</v>
      </c>
      <c r="B1728" t="str" cm="1">
        <f t="array" ref="B1728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hemlock"},A1728)),0)),"")</f>
        <v>Pacific silver fir (WA)</v>
      </c>
      <c r="C1728" t="str" cm="1">
        <f t="array" ref="C1728">IFERROR(INDEX({"Ridgetop","Other"},MATCH(TRUE,ISNUMBER(SEARCH({"Ridgetop","Other"},A1728)),0)),"")</f>
        <v>Ridgetop</v>
      </c>
      <c r="D1728" t="str" cm="1">
        <f t="array" ref="D1728">IFERROR(INDEX({"Small","Medium","Large"},MATCH(TRUE,ISNUMBER(SEARCH({"Small","Medium","Large"},A1728)),0)),"")</f>
        <v>Large</v>
      </c>
      <c r="E1728" t="str">
        <f t="shared" si="26"/>
        <v>0.026</v>
      </c>
    </row>
    <row r="1729" spans="1:5" x14ac:dyDescent="0.3">
      <c r="A1729" t="s">
        <v>1727</v>
      </c>
      <c r="B1729" t="str" cm="1">
        <f t="array" ref="B1729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hemlock"},A1729)),0)),"")</f>
        <v>Grand/white fir</v>
      </c>
      <c r="C1729" t="str" cm="1">
        <f t="array" ref="C1729">IFERROR(INDEX({"Ridgetop","Other"},MATCH(TRUE,ISNUMBER(SEARCH({"Ridgetop","Other"},A1729)),0)),"")</f>
        <v>Other</v>
      </c>
      <c r="D1729" t="str" cm="1">
        <f t="array" ref="D1729">IFERROR(INDEX({"Small","Medium","Large"},MATCH(TRUE,ISNUMBER(SEARCH({"Small","Medium","Large"},A1729)),0)),"")</f>
        <v>Small</v>
      </c>
      <c r="E1729" t="str">
        <f t="shared" si="26"/>
        <v>0.088</v>
      </c>
    </row>
    <row r="1730" spans="1:5" x14ac:dyDescent="0.3">
      <c r="A1730" t="s">
        <v>1728</v>
      </c>
      <c r="B1730" t="str" cm="1">
        <f t="array" ref="B1730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hemlock"},A1730)),0)),"")</f>
        <v>Grand/white fir</v>
      </c>
      <c r="C1730" t="str" cm="1">
        <f t="array" ref="C1730">IFERROR(INDEX({"Ridgetop","Other"},MATCH(TRUE,ISNUMBER(SEARCH({"Ridgetop","Other"},A1730)),0)),"")</f>
        <v>Other</v>
      </c>
      <c r="D1730" t="str" cm="1">
        <f t="array" ref="D1730">IFERROR(INDEX({"Small","Medium","Large"},MATCH(TRUE,ISNUMBER(SEARCH({"Small","Medium","Large"},A1730)),0)),"")</f>
        <v>Medium</v>
      </c>
      <c r="E1730" t="str">
        <f t="shared" si="26"/>
        <v>0.032</v>
      </c>
    </row>
    <row r="1731" spans="1:5" x14ac:dyDescent="0.3">
      <c r="A1731" t="s">
        <v>1729</v>
      </c>
      <c r="B1731" t="str" cm="1">
        <f t="array" ref="B1731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hemlock"},A1731)),0)),"")</f>
        <v>Grand/white fir</v>
      </c>
      <c r="C1731" t="str" cm="1">
        <f t="array" ref="C1731">IFERROR(INDEX({"Ridgetop","Other"},MATCH(TRUE,ISNUMBER(SEARCH({"Ridgetop","Other"},A1731)),0)),"")</f>
        <v>Other</v>
      </c>
      <c r="D1731" t="str" cm="1">
        <f t="array" ref="D1731">IFERROR(INDEX({"Small","Medium","Large"},MATCH(TRUE,ISNUMBER(SEARCH({"Small","Medium","Large"},A1731)),0)),"")</f>
        <v>Large</v>
      </c>
      <c r="E1731" t="str">
        <f t="shared" ref="E1731:E1794" si="27">RIGHT(A1731,LEN(A1731)-FIND("@",SUBSTITUTE(A1731," ","@",LEN(A1731)-LEN(SUBSTITUTE(A1731," ","")))))</f>
        <v>0.016</v>
      </c>
    </row>
    <row r="1732" spans="1:5" x14ac:dyDescent="0.3">
      <c r="A1732" t="s">
        <v>1730</v>
      </c>
      <c r="B1732" t="str" cm="1">
        <f t="array" ref="B1732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hemlock"},A1732)),0)),"")</f>
        <v>Grand/white fir</v>
      </c>
      <c r="C1732" t="str" cm="1">
        <f t="array" ref="C1732">IFERROR(INDEX({"Ridgetop","Other"},MATCH(TRUE,ISNUMBER(SEARCH({"Ridgetop","Other"},A1732)),0)),"")</f>
        <v>Other</v>
      </c>
      <c r="D1732" t="str" cm="1">
        <f t="array" ref="D1732">IFERROR(INDEX({"Small","Medium","Large"},MATCH(TRUE,ISNUMBER(SEARCH({"Small","Medium","Large"},A1732)),0)),"")</f>
        <v>Small</v>
      </c>
      <c r="E1732" t="str">
        <f t="shared" si="27"/>
        <v>0.098</v>
      </c>
    </row>
    <row r="1733" spans="1:5" x14ac:dyDescent="0.3">
      <c r="A1733" t="s">
        <v>1731</v>
      </c>
      <c r="B1733" t="str" cm="1">
        <f t="array" ref="B1733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hemlock"},A1733)),0)),"")</f>
        <v>Grand/white fir</v>
      </c>
      <c r="C1733" t="str" cm="1">
        <f t="array" ref="C1733">IFERROR(INDEX({"Ridgetop","Other"},MATCH(TRUE,ISNUMBER(SEARCH({"Ridgetop","Other"},A1733)),0)),"")</f>
        <v>Other</v>
      </c>
      <c r="D1733" t="str" cm="1">
        <f t="array" ref="D1733">IFERROR(INDEX({"Small","Medium","Large"},MATCH(TRUE,ISNUMBER(SEARCH({"Small","Medium","Large"},A1733)),0)),"")</f>
        <v>Medium</v>
      </c>
      <c r="E1733" t="str">
        <f t="shared" si="27"/>
        <v>0.035</v>
      </c>
    </row>
    <row r="1734" spans="1:5" x14ac:dyDescent="0.3">
      <c r="A1734" t="s">
        <v>1732</v>
      </c>
      <c r="B1734" t="str" cm="1">
        <f t="array" ref="B1734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hemlock"},A1734)),0)),"")</f>
        <v>Grand/white fir</v>
      </c>
      <c r="C1734" t="str" cm="1">
        <f t="array" ref="C1734">IFERROR(INDEX({"Ridgetop","Other"},MATCH(TRUE,ISNUMBER(SEARCH({"Ridgetop","Other"},A1734)),0)),"")</f>
        <v>Other</v>
      </c>
      <c r="D1734" t="str" cm="1">
        <f t="array" ref="D1734">IFERROR(INDEX({"Small","Medium","Large"},MATCH(TRUE,ISNUMBER(SEARCH({"Small","Medium","Large"},A1734)),0)),"")</f>
        <v>Large</v>
      </c>
      <c r="E1734" t="str">
        <f t="shared" si="27"/>
        <v>0.018</v>
      </c>
    </row>
    <row r="1735" spans="1:5" x14ac:dyDescent="0.3">
      <c r="A1735" t="s">
        <v>1733</v>
      </c>
      <c r="B1735" t="str" cm="1">
        <f t="array" ref="B1735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hemlock"},A1735)),0)),"")</f>
        <v>Grand/white fir</v>
      </c>
      <c r="C1735" t="str" cm="1">
        <f t="array" ref="C1735">IFERROR(INDEX({"Ridgetop","Other"},MATCH(TRUE,ISNUMBER(SEARCH({"Ridgetop","Other"},A1735)),0)),"")</f>
        <v>Other</v>
      </c>
      <c r="D1735" t="str" cm="1">
        <f t="array" ref="D1735">IFERROR(INDEX({"Small","Medium","Large"},MATCH(TRUE,ISNUMBER(SEARCH({"Small","Medium","Large"},A1735)),0)),"")</f>
        <v>Small</v>
      </c>
      <c r="E1735" t="str">
        <f t="shared" si="27"/>
        <v>0.120</v>
      </c>
    </row>
    <row r="1736" spans="1:5" x14ac:dyDescent="0.3">
      <c r="A1736" t="s">
        <v>1734</v>
      </c>
      <c r="B1736" t="str" cm="1">
        <f t="array" ref="B1736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hemlock"},A1736)),0)),"")</f>
        <v>Grand/white fir</v>
      </c>
      <c r="C1736" t="str" cm="1">
        <f t="array" ref="C1736">IFERROR(INDEX({"Ridgetop","Other"},MATCH(TRUE,ISNUMBER(SEARCH({"Ridgetop","Other"},A1736)),0)),"")</f>
        <v>Other</v>
      </c>
      <c r="D1736" t="str" cm="1">
        <f t="array" ref="D1736">IFERROR(INDEX({"Small","Medium","Large"},MATCH(TRUE,ISNUMBER(SEARCH({"Small","Medium","Large"},A1736)),0)),"")</f>
        <v>Medium</v>
      </c>
      <c r="E1736" t="str">
        <f t="shared" si="27"/>
        <v>0.043</v>
      </c>
    </row>
    <row r="1737" spans="1:5" x14ac:dyDescent="0.3">
      <c r="A1737" t="s">
        <v>1735</v>
      </c>
      <c r="B1737" t="str" cm="1">
        <f t="array" ref="B1737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hemlock"},A1737)),0)),"")</f>
        <v>Grand/white fir</v>
      </c>
      <c r="C1737" t="str" cm="1">
        <f t="array" ref="C1737">IFERROR(INDEX({"Ridgetop","Other"},MATCH(TRUE,ISNUMBER(SEARCH({"Ridgetop","Other"},A1737)),0)),"")</f>
        <v>Other</v>
      </c>
      <c r="D1737" t="str" cm="1">
        <f t="array" ref="D1737">IFERROR(INDEX({"Small","Medium","Large"},MATCH(TRUE,ISNUMBER(SEARCH({"Small","Medium","Large"},A1737)),0)),"")</f>
        <v>Large</v>
      </c>
      <c r="E1737" t="str">
        <f t="shared" si="27"/>
        <v>0.022</v>
      </c>
    </row>
    <row r="1738" spans="1:5" x14ac:dyDescent="0.3">
      <c r="A1738" t="s">
        <v>1736</v>
      </c>
      <c r="B1738" t="str" cm="1">
        <f t="array" ref="B1738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hemlock"},A1738)),0)),"")</f>
        <v>Grand/white fir</v>
      </c>
      <c r="C1738" t="str" cm="1">
        <f t="array" ref="C1738">IFERROR(INDEX({"Ridgetop","Other"},MATCH(TRUE,ISNUMBER(SEARCH({"Ridgetop","Other"},A1738)),0)),"")</f>
        <v>Ridgetop</v>
      </c>
      <c r="D1738" t="str" cm="1">
        <f t="array" ref="D1738">IFERROR(INDEX({"Small","Medium","Large"},MATCH(TRUE,ISNUMBER(SEARCH({"Small","Medium","Large"},A1738)),0)),"")</f>
        <v>Small</v>
      </c>
      <c r="E1738" t="str">
        <f t="shared" si="27"/>
        <v>0.155</v>
      </c>
    </row>
    <row r="1739" spans="1:5" x14ac:dyDescent="0.3">
      <c r="A1739" t="s">
        <v>1737</v>
      </c>
      <c r="B1739" t="str" cm="1">
        <f t="array" ref="B1739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hemlock"},A1739)),0)),"")</f>
        <v>Grand/white fir</v>
      </c>
      <c r="C1739" t="str" cm="1">
        <f t="array" ref="C1739">IFERROR(INDEX({"Ridgetop","Other"},MATCH(TRUE,ISNUMBER(SEARCH({"Ridgetop","Other"},A1739)),0)),"")</f>
        <v>Ridgetop</v>
      </c>
      <c r="D1739" t="str" cm="1">
        <f t="array" ref="D1739">IFERROR(INDEX({"Small","Medium","Large"},MATCH(TRUE,ISNUMBER(SEARCH({"Small","Medium","Large"},A1739)),0)),"")</f>
        <v>Medium</v>
      </c>
      <c r="E1739" t="str">
        <f t="shared" si="27"/>
        <v>0.056</v>
      </c>
    </row>
    <row r="1740" spans="1:5" x14ac:dyDescent="0.3">
      <c r="A1740" t="s">
        <v>1738</v>
      </c>
      <c r="B1740" t="str" cm="1">
        <f t="array" ref="B1740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hemlock"},A1740)),0)),"")</f>
        <v>Grand/white fir</v>
      </c>
      <c r="C1740" t="str" cm="1">
        <f t="array" ref="C1740">IFERROR(INDEX({"Ridgetop","Other"},MATCH(TRUE,ISNUMBER(SEARCH({"Ridgetop","Other"},A1740)),0)),"")</f>
        <v>Ridgetop</v>
      </c>
      <c r="D1740" t="str" cm="1">
        <f t="array" ref="D1740">IFERROR(INDEX({"Small","Medium","Large"},MATCH(TRUE,ISNUMBER(SEARCH({"Small","Medium","Large"},A1740)),0)),"")</f>
        <v>Large</v>
      </c>
      <c r="E1740" t="str">
        <f t="shared" si="27"/>
        <v>0.028</v>
      </c>
    </row>
    <row r="1741" spans="1:5" x14ac:dyDescent="0.3">
      <c r="A1741" t="s">
        <v>1739</v>
      </c>
      <c r="B1741" t="str" cm="1">
        <f t="array" ref="B1741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hemlock"},A1741)),0)),"")</f>
        <v>Grand/white fir</v>
      </c>
      <c r="C1741" t="str" cm="1">
        <f t="array" ref="C1741">IFERROR(INDEX({"Ridgetop","Other"},MATCH(TRUE,ISNUMBER(SEARCH({"Ridgetop","Other"},A1741)),0)),"")</f>
        <v>Ridgetop</v>
      </c>
      <c r="D1741" t="str" cm="1">
        <f t="array" ref="D1741">IFERROR(INDEX({"Small","Medium","Large"},MATCH(TRUE,ISNUMBER(SEARCH({"Small","Medium","Large"},A1741)),0)),"")</f>
        <v>Small</v>
      </c>
      <c r="E1741" t="str">
        <f t="shared" si="27"/>
        <v>0.160</v>
      </c>
    </row>
    <row r="1742" spans="1:5" x14ac:dyDescent="0.3">
      <c r="A1742" t="s">
        <v>1740</v>
      </c>
      <c r="B1742" t="str" cm="1">
        <f t="array" ref="B1742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hemlock"},A1742)),0)),"")</f>
        <v>Grand/white fir</v>
      </c>
      <c r="C1742" t="str" cm="1">
        <f t="array" ref="C1742">IFERROR(INDEX({"Ridgetop","Other"},MATCH(TRUE,ISNUMBER(SEARCH({"Ridgetop","Other"},A1742)),0)),"")</f>
        <v>Ridgetop</v>
      </c>
      <c r="D1742" t="str" cm="1">
        <f t="array" ref="D1742">IFERROR(INDEX({"Small","Medium","Large"},MATCH(TRUE,ISNUMBER(SEARCH({"Small","Medium","Large"},A1742)),0)),"")</f>
        <v>Medium</v>
      </c>
      <c r="E1742" t="str">
        <f t="shared" si="27"/>
        <v>0.058</v>
      </c>
    </row>
    <row r="1743" spans="1:5" x14ac:dyDescent="0.3">
      <c r="A1743" t="s">
        <v>1741</v>
      </c>
      <c r="B1743" t="str" cm="1">
        <f t="array" ref="B1743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hemlock"},A1743)),0)),"")</f>
        <v>Grand/white fir</v>
      </c>
      <c r="C1743" t="str" cm="1">
        <f t="array" ref="C1743">IFERROR(INDEX({"Ridgetop","Other"},MATCH(TRUE,ISNUMBER(SEARCH({"Ridgetop","Other"},A1743)),0)),"")</f>
        <v>Ridgetop</v>
      </c>
      <c r="D1743" t="str" cm="1">
        <f t="array" ref="D1743">IFERROR(INDEX({"Small","Medium","Large"},MATCH(TRUE,ISNUMBER(SEARCH({"Small","Medium","Large"},A1743)),0)),"")</f>
        <v>Large</v>
      </c>
      <c r="E1743" t="str">
        <f t="shared" si="27"/>
        <v>0.029</v>
      </c>
    </row>
    <row r="1744" spans="1:5" x14ac:dyDescent="0.3">
      <c r="A1744" t="s">
        <v>1742</v>
      </c>
      <c r="B1744" t="str" cm="1">
        <f t="array" ref="B1744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hemlock"},A1744)),0)),"")</f>
        <v>Grand/white fir</v>
      </c>
      <c r="C1744" t="str" cm="1">
        <f t="array" ref="C1744">IFERROR(INDEX({"Ridgetop","Other"},MATCH(TRUE,ISNUMBER(SEARCH({"Ridgetop","Other"},A1744)),0)),"")</f>
        <v>Ridgetop</v>
      </c>
      <c r="D1744" t="str" cm="1">
        <f t="array" ref="D1744">IFERROR(INDEX({"Small","Medium","Large"},MATCH(TRUE,ISNUMBER(SEARCH({"Small","Medium","Large"},A1744)),0)),"")</f>
        <v>Small</v>
      </c>
      <c r="E1744" t="str">
        <f t="shared" si="27"/>
        <v>0.170</v>
      </c>
    </row>
    <row r="1745" spans="1:5" x14ac:dyDescent="0.3">
      <c r="A1745" t="s">
        <v>1743</v>
      </c>
      <c r="B1745" t="str" cm="1">
        <f t="array" ref="B1745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hemlock"},A1745)),0)),"")</f>
        <v>Grand/white fir</v>
      </c>
      <c r="C1745" t="str" cm="1">
        <f t="array" ref="C1745">IFERROR(INDEX({"Ridgetop","Other"},MATCH(TRUE,ISNUMBER(SEARCH({"Ridgetop","Other"},A1745)),0)),"")</f>
        <v>Ridgetop</v>
      </c>
      <c r="D1745" t="str" cm="1">
        <f t="array" ref="D1745">IFERROR(INDEX({"Small","Medium","Large"},MATCH(TRUE,ISNUMBER(SEARCH({"Small","Medium","Large"},A1745)),0)),"")</f>
        <v>Medium</v>
      </c>
      <c r="E1745" t="str">
        <f t="shared" si="27"/>
        <v>0.061</v>
      </c>
    </row>
    <row r="1746" spans="1:5" x14ac:dyDescent="0.3">
      <c r="A1746" t="s">
        <v>1744</v>
      </c>
      <c r="B1746" t="str" cm="1">
        <f t="array" ref="B1746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hemlock"},A1746)),0)),"")</f>
        <v>Grand/white fir</v>
      </c>
      <c r="C1746" t="str" cm="1">
        <f t="array" ref="C1746">IFERROR(INDEX({"Ridgetop","Other"},MATCH(TRUE,ISNUMBER(SEARCH({"Ridgetop","Other"},A1746)),0)),"")</f>
        <v>Ridgetop</v>
      </c>
      <c r="D1746" t="str" cm="1">
        <f t="array" ref="D1746">IFERROR(INDEX({"Small","Medium","Large"},MATCH(TRUE,ISNUMBER(SEARCH({"Small","Medium","Large"},A1746)),0)),"")</f>
        <v>Large</v>
      </c>
      <c r="E1746" t="str">
        <f t="shared" si="27"/>
        <v>0.031</v>
      </c>
    </row>
    <row r="1747" spans="1:5" x14ac:dyDescent="0.3">
      <c r="A1747" t="s">
        <v>1745</v>
      </c>
      <c r="B1747" t="str" cm="1">
        <f t="array" ref="B1747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hemlock"},A1747)),0)),"")</f>
        <v>Grand/white fir</v>
      </c>
      <c r="C1747" t="str" cm="1">
        <f t="array" ref="C1747">IFERROR(INDEX({"Ridgetop","Other"},MATCH(TRUE,ISNUMBER(SEARCH({"Ridgetop","Other"},A1747)),0)),"")</f>
        <v>Other</v>
      </c>
      <c r="D1747" t="str" cm="1">
        <f t="array" ref="D1747">IFERROR(INDEX({"Small","Medium","Large"},MATCH(TRUE,ISNUMBER(SEARCH({"Small","Medium","Large"},A1747)),0)),"")</f>
        <v>Small</v>
      </c>
      <c r="E1747" t="str">
        <f t="shared" si="27"/>
        <v>0.110</v>
      </c>
    </row>
    <row r="1748" spans="1:5" x14ac:dyDescent="0.3">
      <c r="A1748" t="s">
        <v>1746</v>
      </c>
      <c r="B1748" t="str" cm="1">
        <f t="array" ref="B1748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hemlock"},A1748)),0)),"")</f>
        <v>Grand/white fir</v>
      </c>
      <c r="C1748" t="str" cm="1">
        <f t="array" ref="C1748">IFERROR(INDEX({"Ridgetop","Other"},MATCH(TRUE,ISNUMBER(SEARCH({"Ridgetop","Other"},A1748)),0)),"")</f>
        <v>Other</v>
      </c>
      <c r="D1748" t="str" cm="1">
        <f t="array" ref="D1748">IFERROR(INDEX({"Small","Medium","Large"},MATCH(TRUE,ISNUMBER(SEARCH({"Small","Medium","Large"},A1748)),0)),"")</f>
        <v>Medium</v>
      </c>
      <c r="E1748" t="str">
        <f t="shared" si="27"/>
        <v>0.040</v>
      </c>
    </row>
    <row r="1749" spans="1:5" x14ac:dyDescent="0.3">
      <c r="A1749" t="s">
        <v>1747</v>
      </c>
      <c r="B1749" t="str" cm="1">
        <f t="array" ref="B1749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hemlock"},A1749)),0)),"")</f>
        <v>Grand/white fir</v>
      </c>
      <c r="C1749" t="str" cm="1">
        <f t="array" ref="C1749">IFERROR(INDEX({"Ridgetop","Other"},MATCH(TRUE,ISNUMBER(SEARCH({"Ridgetop","Other"},A1749)),0)),"")</f>
        <v>Other</v>
      </c>
      <c r="D1749" t="str" cm="1">
        <f t="array" ref="D1749">IFERROR(INDEX({"Small","Medium","Large"},MATCH(TRUE,ISNUMBER(SEARCH({"Small","Medium","Large"},A1749)),0)),"")</f>
        <v>Large</v>
      </c>
      <c r="E1749" t="str">
        <f t="shared" si="27"/>
        <v>0.020</v>
      </c>
    </row>
    <row r="1750" spans="1:5" x14ac:dyDescent="0.3">
      <c r="A1750" t="s">
        <v>1748</v>
      </c>
      <c r="B1750" t="str" cm="1">
        <f t="array" ref="B1750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hemlock"},A1750)),0)),"")</f>
        <v>Grand/white fir</v>
      </c>
      <c r="C1750" t="str" cm="1">
        <f t="array" ref="C1750">IFERROR(INDEX({"Ridgetop","Other"},MATCH(TRUE,ISNUMBER(SEARCH({"Ridgetop","Other"},A1750)),0)),"")</f>
        <v>Other</v>
      </c>
      <c r="D1750" t="str" cm="1">
        <f t="array" ref="D1750">IFERROR(INDEX({"Small","Medium","Large"},MATCH(TRUE,ISNUMBER(SEARCH({"Small","Medium","Large"},A1750)),0)),"")</f>
        <v>Small</v>
      </c>
      <c r="E1750" t="str">
        <f t="shared" si="27"/>
        <v>0.120</v>
      </c>
    </row>
    <row r="1751" spans="1:5" x14ac:dyDescent="0.3">
      <c r="A1751" t="s">
        <v>1749</v>
      </c>
      <c r="B1751" t="str" cm="1">
        <f t="array" ref="B1751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hemlock"},A1751)),0)),"")</f>
        <v>Grand/white fir</v>
      </c>
      <c r="C1751" t="str" cm="1">
        <f t="array" ref="C1751">IFERROR(INDEX({"Ridgetop","Other"},MATCH(TRUE,ISNUMBER(SEARCH({"Ridgetop","Other"},A1751)),0)),"")</f>
        <v>Other</v>
      </c>
      <c r="D1751" t="str" cm="1">
        <f t="array" ref="D1751">IFERROR(INDEX({"Small","Medium","Large"},MATCH(TRUE,ISNUMBER(SEARCH({"Small","Medium","Large"},A1751)),0)),"")</f>
        <v>Medium</v>
      </c>
      <c r="E1751" t="str">
        <f t="shared" si="27"/>
        <v>0.043</v>
      </c>
    </row>
    <row r="1752" spans="1:5" x14ac:dyDescent="0.3">
      <c r="A1752" t="s">
        <v>1750</v>
      </c>
      <c r="B1752" t="str" cm="1">
        <f t="array" ref="B1752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hemlock"},A1752)),0)),"")</f>
        <v>Grand/white fir</v>
      </c>
      <c r="C1752" t="str" cm="1">
        <f t="array" ref="C1752">IFERROR(INDEX({"Ridgetop","Other"},MATCH(TRUE,ISNUMBER(SEARCH({"Ridgetop","Other"},A1752)),0)),"")</f>
        <v>Other</v>
      </c>
      <c r="D1752" t="str" cm="1">
        <f t="array" ref="D1752">IFERROR(INDEX({"Small","Medium","Large"},MATCH(TRUE,ISNUMBER(SEARCH({"Small","Medium","Large"},A1752)),0)),"")</f>
        <v>Large</v>
      </c>
      <c r="E1752" t="str">
        <f t="shared" si="27"/>
        <v>0.022</v>
      </c>
    </row>
    <row r="1753" spans="1:5" x14ac:dyDescent="0.3">
      <c r="A1753" t="s">
        <v>1751</v>
      </c>
      <c r="B1753" t="str" cm="1">
        <f t="array" ref="B1753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hemlock"},A1753)),0)),"")</f>
        <v>Grand/white fir</v>
      </c>
      <c r="C1753" t="str" cm="1">
        <f t="array" ref="C1753">IFERROR(INDEX({"Ridgetop","Other"},MATCH(TRUE,ISNUMBER(SEARCH({"Ridgetop","Other"},A1753)),0)),"")</f>
        <v>Other</v>
      </c>
      <c r="D1753" t="str" cm="1">
        <f t="array" ref="D1753">IFERROR(INDEX({"Small","Medium","Large"},MATCH(TRUE,ISNUMBER(SEARCH({"Small","Medium","Large"},A1753)),0)),"")</f>
        <v>Small</v>
      </c>
      <c r="E1753" t="str">
        <f t="shared" si="27"/>
        <v>0.120</v>
      </c>
    </row>
    <row r="1754" spans="1:5" x14ac:dyDescent="0.3">
      <c r="A1754" t="s">
        <v>1752</v>
      </c>
      <c r="B1754" t="str" cm="1">
        <f t="array" ref="B1754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hemlock"},A1754)),0)),"")</f>
        <v>Grand/white fir</v>
      </c>
      <c r="C1754" t="str" cm="1">
        <f t="array" ref="C1754">IFERROR(INDEX({"Ridgetop","Other"},MATCH(TRUE,ISNUMBER(SEARCH({"Ridgetop","Other"},A1754)),0)),"")</f>
        <v>Other</v>
      </c>
      <c r="D1754" t="str" cm="1">
        <f t="array" ref="D1754">IFERROR(INDEX({"Small","Medium","Large"},MATCH(TRUE,ISNUMBER(SEARCH({"Small","Medium","Large"},A1754)),0)),"")</f>
        <v>Medium</v>
      </c>
      <c r="E1754" t="str">
        <f t="shared" si="27"/>
        <v>0.043</v>
      </c>
    </row>
    <row r="1755" spans="1:5" x14ac:dyDescent="0.3">
      <c r="A1755" t="s">
        <v>1753</v>
      </c>
      <c r="B1755" t="str" cm="1">
        <f t="array" ref="B1755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hemlock"},A1755)),0)),"")</f>
        <v>Grand/white fir</v>
      </c>
      <c r="C1755" t="str" cm="1">
        <f t="array" ref="C1755">IFERROR(INDEX({"Ridgetop","Other"},MATCH(TRUE,ISNUMBER(SEARCH({"Ridgetop","Other"},A1755)),0)),"")</f>
        <v>Other</v>
      </c>
      <c r="D1755" t="str" cm="1">
        <f t="array" ref="D1755">IFERROR(INDEX({"Small","Medium","Large"},MATCH(TRUE,ISNUMBER(SEARCH({"Small","Medium","Large"},A1755)),0)),"")</f>
        <v>Large</v>
      </c>
      <c r="E1755" t="str">
        <f t="shared" si="27"/>
        <v>0.022</v>
      </c>
    </row>
    <row r="1756" spans="1:5" x14ac:dyDescent="0.3">
      <c r="A1756" t="s">
        <v>1754</v>
      </c>
      <c r="B1756" t="str" cm="1">
        <f t="array" ref="B1756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hemlock"},A1756)),0)),"")</f>
        <v>Grand/white fir</v>
      </c>
      <c r="C1756" t="str" cm="1">
        <f t="array" ref="C1756">IFERROR(INDEX({"Ridgetop","Other"},MATCH(TRUE,ISNUMBER(SEARCH({"Ridgetop","Other"},A1756)),0)),"")</f>
        <v>Ridgetop</v>
      </c>
      <c r="D1756" t="str" cm="1">
        <f t="array" ref="D1756">IFERROR(INDEX({"Small","Medium","Large"},MATCH(TRUE,ISNUMBER(SEARCH({"Small","Medium","Large"},A1756)),0)),"")</f>
        <v>Small</v>
      </c>
      <c r="E1756" t="str">
        <f t="shared" si="27"/>
        <v>0.200</v>
      </c>
    </row>
    <row r="1757" spans="1:5" x14ac:dyDescent="0.3">
      <c r="A1757" t="s">
        <v>1755</v>
      </c>
      <c r="B1757" t="str" cm="1">
        <f t="array" ref="B1757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hemlock"},A1757)),0)),"")</f>
        <v>Grand/white fir</v>
      </c>
      <c r="C1757" t="str" cm="1">
        <f t="array" ref="C1757">IFERROR(INDEX({"Ridgetop","Other"},MATCH(TRUE,ISNUMBER(SEARCH({"Ridgetop","Other"},A1757)),0)),"")</f>
        <v>Ridgetop</v>
      </c>
      <c r="D1757" t="str" cm="1">
        <f t="array" ref="D1757">IFERROR(INDEX({"Small","Medium","Large"},MATCH(TRUE,ISNUMBER(SEARCH({"Small","Medium","Large"},A1757)),0)),"")</f>
        <v>Medium</v>
      </c>
      <c r="E1757" t="str">
        <f t="shared" si="27"/>
        <v>0.072</v>
      </c>
    </row>
    <row r="1758" spans="1:5" x14ac:dyDescent="0.3">
      <c r="A1758" t="s">
        <v>1756</v>
      </c>
      <c r="B1758" t="str" cm="1">
        <f t="array" ref="B1758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hemlock"},A1758)),0)),"")</f>
        <v>Grand/white fir</v>
      </c>
      <c r="C1758" t="str" cm="1">
        <f t="array" ref="C1758">IFERROR(INDEX({"Ridgetop","Other"},MATCH(TRUE,ISNUMBER(SEARCH({"Ridgetop","Other"},A1758)),0)),"")</f>
        <v>Ridgetop</v>
      </c>
      <c r="D1758" t="str" cm="1">
        <f t="array" ref="D1758">IFERROR(INDEX({"Small","Medium","Large"},MATCH(TRUE,ISNUMBER(SEARCH({"Small","Medium","Large"},A1758)),0)),"")</f>
        <v>Large</v>
      </c>
      <c r="E1758" t="str">
        <f t="shared" si="27"/>
        <v>0.036</v>
      </c>
    </row>
    <row r="1759" spans="1:5" x14ac:dyDescent="0.3">
      <c r="A1759" t="s">
        <v>1757</v>
      </c>
      <c r="B1759" t="str" cm="1">
        <f t="array" ref="B1759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hemlock"},A1759)),0)),"")</f>
        <v>Grand/white fir</v>
      </c>
      <c r="C1759" t="str" cm="1">
        <f t="array" ref="C1759">IFERROR(INDEX({"Ridgetop","Other"},MATCH(TRUE,ISNUMBER(SEARCH({"Ridgetop","Other"},A1759)),0)),"")</f>
        <v>Ridgetop</v>
      </c>
      <c r="D1759" t="str" cm="1">
        <f t="array" ref="D1759">IFERROR(INDEX({"Small","Medium","Large"},MATCH(TRUE,ISNUMBER(SEARCH({"Small","Medium","Large"},A1759)),0)),"")</f>
        <v>Small</v>
      </c>
      <c r="E1759" t="str">
        <f t="shared" si="27"/>
        <v>0.200</v>
      </c>
    </row>
    <row r="1760" spans="1:5" x14ac:dyDescent="0.3">
      <c r="A1760" t="s">
        <v>1758</v>
      </c>
      <c r="B1760" t="str" cm="1">
        <f t="array" ref="B1760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hemlock"},A1760)),0)),"")</f>
        <v>Grand/white fir</v>
      </c>
      <c r="C1760" t="str" cm="1">
        <f t="array" ref="C1760">IFERROR(INDEX({"Ridgetop","Other"},MATCH(TRUE,ISNUMBER(SEARCH({"Ridgetop","Other"},A1760)),0)),"")</f>
        <v>Ridgetop</v>
      </c>
      <c r="D1760" t="str" cm="1">
        <f t="array" ref="D1760">IFERROR(INDEX({"Small","Medium","Large"},MATCH(TRUE,ISNUMBER(SEARCH({"Small","Medium","Large"},A1760)),0)),"")</f>
        <v>Medium</v>
      </c>
      <c r="E1760" t="str">
        <f t="shared" si="27"/>
        <v>0.072</v>
      </c>
    </row>
    <row r="1761" spans="1:5" x14ac:dyDescent="0.3">
      <c r="A1761" t="s">
        <v>1759</v>
      </c>
      <c r="B1761" t="str" cm="1">
        <f t="array" ref="B1761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hemlock"},A1761)),0)),"")</f>
        <v>Grand/white fir</v>
      </c>
      <c r="C1761" t="str" cm="1">
        <f t="array" ref="C1761">IFERROR(INDEX({"Ridgetop","Other"},MATCH(TRUE,ISNUMBER(SEARCH({"Ridgetop","Other"},A1761)),0)),"")</f>
        <v>Ridgetop</v>
      </c>
      <c r="D1761" t="str" cm="1">
        <f t="array" ref="D1761">IFERROR(INDEX({"Small","Medium","Large"},MATCH(TRUE,ISNUMBER(SEARCH({"Small","Medium","Large"},A1761)),0)),"")</f>
        <v>Large</v>
      </c>
      <c r="E1761" t="str">
        <f t="shared" si="27"/>
        <v>0.036</v>
      </c>
    </row>
    <row r="1762" spans="1:5" x14ac:dyDescent="0.3">
      <c r="A1762" t="s">
        <v>1760</v>
      </c>
      <c r="B1762" t="str" cm="1">
        <f t="array" ref="B1762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hemlock"},A1762)),0)),"")</f>
        <v>Grand/white fir</v>
      </c>
      <c r="C1762" t="str" cm="1">
        <f t="array" ref="C1762">IFERROR(INDEX({"Ridgetop","Other"},MATCH(TRUE,ISNUMBER(SEARCH({"Ridgetop","Other"},A1762)),0)),"")</f>
        <v>Ridgetop</v>
      </c>
      <c r="D1762" t="str" cm="1">
        <f t="array" ref="D1762">IFERROR(INDEX({"Small","Medium","Large"},MATCH(TRUE,ISNUMBER(SEARCH({"Small","Medium","Large"},A1762)),0)),"")</f>
        <v>Small</v>
      </c>
      <c r="E1762" t="str">
        <f t="shared" si="27"/>
        <v>0.200</v>
      </c>
    </row>
    <row r="1763" spans="1:5" x14ac:dyDescent="0.3">
      <c r="A1763" t="s">
        <v>1761</v>
      </c>
      <c r="B1763" t="str" cm="1">
        <f t="array" ref="B1763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hemlock"},A1763)),0)),"")</f>
        <v>Grand/white fir</v>
      </c>
      <c r="C1763" t="str" cm="1">
        <f t="array" ref="C1763">IFERROR(INDEX({"Ridgetop","Other"},MATCH(TRUE,ISNUMBER(SEARCH({"Ridgetop","Other"},A1763)),0)),"")</f>
        <v>Ridgetop</v>
      </c>
      <c r="D1763" t="str" cm="1">
        <f t="array" ref="D1763">IFERROR(INDEX({"Small","Medium","Large"},MATCH(TRUE,ISNUMBER(SEARCH({"Small","Medium","Large"},A1763)),0)),"")</f>
        <v>Medium</v>
      </c>
      <c r="E1763" t="str">
        <f t="shared" si="27"/>
        <v>0.072</v>
      </c>
    </row>
    <row r="1764" spans="1:5" x14ac:dyDescent="0.3">
      <c r="A1764" t="s">
        <v>1762</v>
      </c>
      <c r="B1764" t="str" cm="1">
        <f t="array" ref="B1764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hemlock"},A1764)),0)),"")</f>
        <v>Grand/white fir</v>
      </c>
      <c r="C1764" t="str" cm="1">
        <f t="array" ref="C1764">IFERROR(INDEX({"Ridgetop","Other"},MATCH(TRUE,ISNUMBER(SEARCH({"Ridgetop","Other"},A1764)),0)),"")</f>
        <v>Ridgetop</v>
      </c>
      <c r="D1764" t="str" cm="1">
        <f t="array" ref="D1764">IFERROR(INDEX({"Small","Medium","Large"},MATCH(TRUE,ISNUMBER(SEARCH({"Small","Medium","Large"},A1764)),0)),"")</f>
        <v>Large</v>
      </c>
      <c r="E1764" t="str">
        <f t="shared" si="27"/>
        <v>0.036</v>
      </c>
    </row>
    <row r="1765" spans="1:5" x14ac:dyDescent="0.3">
      <c r="A1765" t="s">
        <v>1763</v>
      </c>
      <c r="B1765" t="str" cm="1">
        <f t="array" ref="B1765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hemlock"},A1765)),0)),"")</f>
        <v>Grand/white fir</v>
      </c>
      <c r="C1765" t="str" cm="1">
        <f t="array" ref="C1765">IFERROR(INDEX({"Ridgetop","Other"},MATCH(TRUE,ISNUMBER(SEARCH({"Ridgetop","Other"},A1765)),0)),"")</f>
        <v>Other</v>
      </c>
      <c r="D1765" t="str" cm="1">
        <f t="array" ref="D1765">IFERROR(INDEX({"Small","Medium","Large"},MATCH(TRUE,ISNUMBER(SEARCH({"Small","Medium","Large"},A1765)),0)),"")</f>
        <v>Small</v>
      </c>
      <c r="E1765" t="str">
        <f t="shared" si="27"/>
        <v>0.090</v>
      </c>
    </row>
    <row r="1766" spans="1:5" x14ac:dyDescent="0.3">
      <c r="A1766" t="s">
        <v>1764</v>
      </c>
      <c r="B1766" t="str" cm="1">
        <f t="array" ref="B1766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hemlock"},A1766)),0)),"")</f>
        <v>Grand/white fir</v>
      </c>
      <c r="C1766" t="str" cm="1">
        <f t="array" ref="C1766">IFERROR(INDEX({"Ridgetop","Other"},MATCH(TRUE,ISNUMBER(SEARCH({"Ridgetop","Other"},A1766)),0)),"")</f>
        <v>Other</v>
      </c>
      <c r="D1766" t="str" cm="1">
        <f t="array" ref="D1766">IFERROR(INDEX({"Small","Medium","Large"},MATCH(TRUE,ISNUMBER(SEARCH({"Small","Medium","Large"},A1766)),0)),"")</f>
        <v>Medium</v>
      </c>
      <c r="E1766" t="str">
        <f t="shared" si="27"/>
        <v>0.032</v>
      </c>
    </row>
    <row r="1767" spans="1:5" x14ac:dyDescent="0.3">
      <c r="A1767" t="s">
        <v>1765</v>
      </c>
      <c r="B1767" t="str" cm="1">
        <f t="array" ref="B1767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hemlock"},A1767)),0)),"")</f>
        <v>Grand/white fir</v>
      </c>
      <c r="C1767" t="str" cm="1">
        <f t="array" ref="C1767">IFERROR(INDEX({"Ridgetop","Other"},MATCH(TRUE,ISNUMBER(SEARCH({"Ridgetop","Other"},A1767)),0)),"")</f>
        <v>Other</v>
      </c>
      <c r="D1767" t="str" cm="1">
        <f t="array" ref="D1767">IFERROR(INDEX({"Small","Medium","Large"},MATCH(TRUE,ISNUMBER(SEARCH({"Small","Medium","Large"},A1767)),0)),"")</f>
        <v>Large</v>
      </c>
      <c r="E1767" t="str">
        <f t="shared" si="27"/>
        <v>0.016</v>
      </c>
    </row>
    <row r="1768" spans="1:5" x14ac:dyDescent="0.3">
      <c r="A1768" t="s">
        <v>1766</v>
      </c>
      <c r="B1768" t="str" cm="1">
        <f t="array" ref="B1768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hemlock"},A1768)),0)),"")</f>
        <v>Grand/white fir</v>
      </c>
      <c r="C1768" t="str" cm="1">
        <f t="array" ref="C1768">IFERROR(INDEX({"Ridgetop","Other"},MATCH(TRUE,ISNUMBER(SEARCH({"Ridgetop","Other"},A1768)),0)),"")</f>
        <v>Other</v>
      </c>
      <c r="D1768" t="str" cm="1">
        <f t="array" ref="D1768">IFERROR(INDEX({"Small","Medium","Large"},MATCH(TRUE,ISNUMBER(SEARCH({"Small","Medium","Large"},A1768)),0)),"")</f>
        <v>Small</v>
      </c>
      <c r="E1768" t="str">
        <f t="shared" si="27"/>
        <v>0.100</v>
      </c>
    </row>
    <row r="1769" spans="1:5" x14ac:dyDescent="0.3">
      <c r="A1769" t="s">
        <v>1767</v>
      </c>
      <c r="B1769" t="str" cm="1">
        <f t="array" ref="B1769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hemlock"},A1769)),0)),"")</f>
        <v>Grand/white fir</v>
      </c>
      <c r="C1769" t="str" cm="1">
        <f t="array" ref="C1769">IFERROR(INDEX({"Ridgetop","Other"},MATCH(TRUE,ISNUMBER(SEARCH({"Ridgetop","Other"},A1769)),0)),"")</f>
        <v>Other</v>
      </c>
      <c r="D1769" t="str" cm="1">
        <f t="array" ref="D1769">IFERROR(INDEX({"Small","Medium","Large"},MATCH(TRUE,ISNUMBER(SEARCH({"Small","Medium","Large"},A1769)),0)),"")</f>
        <v>Medium</v>
      </c>
      <c r="E1769" t="str">
        <f t="shared" si="27"/>
        <v>0.036</v>
      </c>
    </row>
    <row r="1770" spans="1:5" x14ac:dyDescent="0.3">
      <c r="A1770" t="s">
        <v>1768</v>
      </c>
      <c r="B1770" t="str" cm="1">
        <f t="array" ref="B1770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hemlock"},A1770)),0)),"")</f>
        <v>Grand/white fir</v>
      </c>
      <c r="C1770" t="str" cm="1">
        <f t="array" ref="C1770">IFERROR(INDEX({"Ridgetop","Other"},MATCH(TRUE,ISNUMBER(SEARCH({"Ridgetop","Other"},A1770)),0)),"")</f>
        <v>Other</v>
      </c>
      <c r="D1770" t="str" cm="1">
        <f t="array" ref="D1770">IFERROR(INDEX({"Small","Medium","Large"},MATCH(TRUE,ISNUMBER(SEARCH({"Small","Medium","Large"},A1770)),0)),"")</f>
        <v>Large</v>
      </c>
      <c r="E1770" t="str">
        <f t="shared" si="27"/>
        <v>0.018</v>
      </c>
    </row>
    <row r="1771" spans="1:5" x14ac:dyDescent="0.3">
      <c r="A1771" t="s">
        <v>1769</v>
      </c>
      <c r="B1771" t="str" cm="1">
        <f t="array" ref="B1771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hemlock"},A1771)),0)),"")</f>
        <v>Grand/white fir</v>
      </c>
      <c r="C1771" t="str" cm="1">
        <f t="array" ref="C1771">IFERROR(INDEX({"Ridgetop","Other"},MATCH(TRUE,ISNUMBER(SEARCH({"Ridgetop","Other"},A1771)),0)),"")</f>
        <v>Other</v>
      </c>
      <c r="D1771" t="str" cm="1">
        <f t="array" ref="D1771">IFERROR(INDEX({"Small","Medium","Large"},MATCH(TRUE,ISNUMBER(SEARCH({"Small","Medium","Large"},A1771)),0)),"")</f>
        <v>Small</v>
      </c>
      <c r="E1771" t="str">
        <f t="shared" si="27"/>
        <v>0.120</v>
      </c>
    </row>
    <row r="1772" spans="1:5" x14ac:dyDescent="0.3">
      <c r="A1772" t="s">
        <v>1770</v>
      </c>
      <c r="B1772" t="str" cm="1">
        <f t="array" ref="B1772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hemlock"},A1772)),0)),"")</f>
        <v>Grand/white fir</v>
      </c>
      <c r="C1772" t="str" cm="1">
        <f t="array" ref="C1772">IFERROR(INDEX({"Ridgetop","Other"},MATCH(TRUE,ISNUMBER(SEARCH({"Ridgetop","Other"},A1772)),0)),"")</f>
        <v>Other</v>
      </c>
      <c r="D1772" t="str" cm="1">
        <f t="array" ref="D1772">IFERROR(INDEX({"Small","Medium","Large"},MATCH(TRUE,ISNUMBER(SEARCH({"Small","Medium","Large"},A1772)),0)),"")</f>
        <v>Medium</v>
      </c>
      <c r="E1772" t="str">
        <f t="shared" si="27"/>
        <v>0.043</v>
      </c>
    </row>
    <row r="1773" spans="1:5" x14ac:dyDescent="0.3">
      <c r="A1773" t="s">
        <v>1771</v>
      </c>
      <c r="B1773" t="str" cm="1">
        <f t="array" ref="B1773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hemlock"},A1773)),0)),"")</f>
        <v>Grand/white fir</v>
      </c>
      <c r="C1773" t="str" cm="1">
        <f t="array" ref="C1773">IFERROR(INDEX({"Ridgetop","Other"},MATCH(TRUE,ISNUMBER(SEARCH({"Ridgetop","Other"},A1773)),0)),"")</f>
        <v>Other</v>
      </c>
      <c r="D1773" t="str" cm="1">
        <f t="array" ref="D1773">IFERROR(INDEX({"Small","Medium","Large"},MATCH(TRUE,ISNUMBER(SEARCH({"Small","Medium","Large"},A1773)),0)),"")</f>
        <v>Large</v>
      </c>
      <c r="E1773" t="str">
        <f t="shared" si="27"/>
        <v>0.022</v>
      </c>
    </row>
    <row r="1774" spans="1:5" x14ac:dyDescent="0.3">
      <c r="A1774" t="s">
        <v>1772</v>
      </c>
      <c r="B1774" t="str" cm="1">
        <f t="array" ref="B1774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hemlock"},A1774)),0)),"")</f>
        <v>Grand/white fir</v>
      </c>
      <c r="C1774" t="str" cm="1">
        <f t="array" ref="C1774">IFERROR(INDEX({"Ridgetop","Other"},MATCH(TRUE,ISNUMBER(SEARCH({"Ridgetop","Other"},A1774)),0)),"")</f>
        <v>Ridgetop</v>
      </c>
      <c r="D1774" t="str" cm="1">
        <f t="array" ref="D1774">IFERROR(INDEX({"Small","Medium","Large"},MATCH(TRUE,ISNUMBER(SEARCH({"Small","Medium","Large"},A1774)),0)),"")</f>
        <v>Small</v>
      </c>
      <c r="E1774" t="str">
        <f t="shared" si="27"/>
        <v>0.170</v>
      </c>
    </row>
    <row r="1775" spans="1:5" x14ac:dyDescent="0.3">
      <c r="A1775" t="s">
        <v>1773</v>
      </c>
      <c r="B1775" t="str" cm="1">
        <f t="array" ref="B1775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hemlock"},A1775)),0)),"")</f>
        <v>Grand/white fir</v>
      </c>
      <c r="C1775" t="str" cm="1">
        <f t="array" ref="C1775">IFERROR(INDEX({"Ridgetop","Other"},MATCH(TRUE,ISNUMBER(SEARCH({"Ridgetop","Other"},A1775)),0)),"")</f>
        <v>Ridgetop</v>
      </c>
      <c r="D1775" t="str" cm="1">
        <f t="array" ref="D1775">IFERROR(INDEX({"Small","Medium","Large"},MATCH(TRUE,ISNUMBER(SEARCH({"Small","Medium","Large"},A1775)),0)),"")</f>
        <v>Medium</v>
      </c>
      <c r="E1775" t="str">
        <f t="shared" si="27"/>
        <v>0.061</v>
      </c>
    </row>
    <row r="1776" spans="1:5" x14ac:dyDescent="0.3">
      <c r="A1776" t="s">
        <v>1774</v>
      </c>
      <c r="B1776" t="str" cm="1">
        <f t="array" ref="B1776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hemlock"},A1776)),0)),"")</f>
        <v>Grand/white fir</v>
      </c>
      <c r="C1776" t="str" cm="1">
        <f t="array" ref="C1776">IFERROR(INDEX({"Ridgetop","Other"},MATCH(TRUE,ISNUMBER(SEARCH({"Ridgetop","Other"},A1776)),0)),"")</f>
        <v>Ridgetop</v>
      </c>
      <c r="D1776" t="str" cm="1">
        <f t="array" ref="D1776">IFERROR(INDEX({"Small","Medium","Large"},MATCH(TRUE,ISNUMBER(SEARCH({"Small","Medium","Large"},A1776)),0)),"")</f>
        <v>Large</v>
      </c>
      <c r="E1776" t="str">
        <f t="shared" si="27"/>
        <v>0.031</v>
      </c>
    </row>
    <row r="1777" spans="1:5" x14ac:dyDescent="0.3">
      <c r="A1777" t="s">
        <v>1775</v>
      </c>
      <c r="B1777" t="str" cm="1">
        <f t="array" ref="B1777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hemlock"},A1777)),0)),"")</f>
        <v>Grand/white fir</v>
      </c>
      <c r="C1777" t="str" cm="1">
        <f t="array" ref="C1777">IFERROR(INDEX({"Ridgetop","Other"},MATCH(TRUE,ISNUMBER(SEARCH({"Ridgetop","Other"},A1777)),0)),"")</f>
        <v>Ridgetop</v>
      </c>
      <c r="D1777" t="str" cm="1">
        <f t="array" ref="D1777">IFERROR(INDEX({"Small","Medium","Large"},MATCH(TRUE,ISNUMBER(SEARCH({"Small","Medium","Large"},A1777)),0)),"")</f>
        <v>Small</v>
      </c>
      <c r="E1777" t="str">
        <f t="shared" si="27"/>
        <v>0.170</v>
      </c>
    </row>
    <row r="1778" spans="1:5" x14ac:dyDescent="0.3">
      <c r="A1778" t="s">
        <v>1776</v>
      </c>
      <c r="B1778" t="str" cm="1">
        <f t="array" ref="B1778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hemlock"},A1778)),0)),"")</f>
        <v>Grand/white fir</v>
      </c>
      <c r="C1778" t="str" cm="1">
        <f t="array" ref="C1778">IFERROR(INDEX({"Ridgetop","Other"},MATCH(TRUE,ISNUMBER(SEARCH({"Ridgetop","Other"},A1778)),0)),"")</f>
        <v>Ridgetop</v>
      </c>
      <c r="D1778" t="str" cm="1">
        <f t="array" ref="D1778">IFERROR(INDEX({"Small","Medium","Large"},MATCH(TRUE,ISNUMBER(SEARCH({"Small","Medium","Large"},A1778)),0)),"")</f>
        <v>Medium</v>
      </c>
      <c r="E1778" t="str">
        <f t="shared" si="27"/>
        <v>0.061</v>
      </c>
    </row>
    <row r="1779" spans="1:5" x14ac:dyDescent="0.3">
      <c r="A1779" t="s">
        <v>1777</v>
      </c>
      <c r="B1779" t="str" cm="1">
        <f t="array" ref="B1779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hemlock"},A1779)),0)),"")</f>
        <v>Grand/white fir</v>
      </c>
      <c r="C1779" t="str" cm="1">
        <f t="array" ref="C1779">IFERROR(INDEX({"Ridgetop","Other"},MATCH(TRUE,ISNUMBER(SEARCH({"Ridgetop","Other"},A1779)),0)),"")</f>
        <v>Ridgetop</v>
      </c>
      <c r="D1779" t="str" cm="1">
        <f t="array" ref="D1779">IFERROR(INDEX({"Small","Medium","Large"},MATCH(TRUE,ISNUMBER(SEARCH({"Small","Medium","Large"},A1779)),0)),"")</f>
        <v>Large</v>
      </c>
      <c r="E1779" t="str">
        <f t="shared" si="27"/>
        <v>0.031</v>
      </c>
    </row>
    <row r="1780" spans="1:5" x14ac:dyDescent="0.3">
      <c r="A1780" t="s">
        <v>1778</v>
      </c>
      <c r="B1780" t="str" cm="1">
        <f t="array" ref="B1780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hemlock"},A1780)),0)),"")</f>
        <v>Grand/white fir</v>
      </c>
      <c r="C1780" t="str" cm="1">
        <f t="array" ref="C1780">IFERROR(INDEX({"Ridgetop","Other"},MATCH(TRUE,ISNUMBER(SEARCH({"Ridgetop","Other"},A1780)),0)),"")</f>
        <v>Ridgetop</v>
      </c>
      <c r="D1780" t="str" cm="1">
        <f t="array" ref="D1780">IFERROR(INDEX({"Small","Medium","Large"},MATCH(TRUE,ISNUMBER(SEARCH({"Small","Medium","Large"},A1780)),0)),"")</f>
        <v>Small</v>
      </c>
      <c r="E1780" t="str">
        <f t="shared" si="27"/>
        <v>0.180</v>
      </c>
    </row>
    <row r="1781" spans="1:5" x14ac:dyDescent="0.3">
      <c r="A1781" t="s">
        <v>1779</v>
      </c>
      <c r="B1781" t="str" cm="1">
        <f t="array" ref="B1781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hemlock"},A1781)),0)),"")</f>
        <v>Grand/white fir</v>
      </c>
      <c r="C1781" t="str" cm="1">
        <f t="array" ref="C1781">IFERROR(INDEX({"Ridgetop","Other"},MATCH(TRUE,ISNUMBER(SEARCH({"Ridgetop","Other"},A1781)),0)),"")</f>
        <v>Ridgetop</v>
      </c>
      <c r="D1781" t="str" cm="1">
        <f t="array" ref="D1781">IFERROR(INDEX({"Small","Medium","Large"},MATCH(TRUE,ISNUMBER(SEARCH({"Small","Medium","Large"},A1781)),0)),"")</f>
        <v>Medium</v>
      </c>
      <c r="E1781" t="str">
        <f t="shared" si="27"/>
        <v>0.065</v>
      </c>
    </row>
    <row r="1782" spans="1:5" x14ac:dyDescent="0.3">
      <c r="A1782" t="s">
        <v>1780</v>
      </c>
      <c r="B1782" t="str" cm="1">
        <f t="array" ref="B1782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hemlock"},A1782)),0)),"")</f>
        <v>Grand/white fir</v>
      </c>
      <c r="C1782" t="str" cm="1">
        <f t="array" ref="C1782">IFERROR(INDEX({"Ridgetop","Other"},MATCH(TRUE,ISNUMBER(SEARCH({"Ridgetop","Other"},A1782)),0)),"")</f>
        <v>Ridgetop</v>
      </c>
      <c r="D1782" t="str" cm="1">
        <f t="array" ref="D1782">IFERROR(INDEX({"Small","Medium","Large"},MATCH(TRUE,ISNUMBER(SEARCH({"Small","Medium","Large"},A1782)),0)),"")</f>
        <v>Large</v>
      </c>
      <c r="E1782" t="str">
        <f t="shared" si="27"/>
        <v>0.032</v>
      </c>
    </row>
    <row r="1783" spans="1:5" x14ac:dyDescent="0.3">
      <c r="A1783" t="s">
        <v>1781</v>
      </c>
      <c r="B1783" t="str" cm="1">
        <f t="array" ref="B1783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hemlock"},A1783)),0)),"")</f>
        <v>Grand/white fir</v>
      </c>
      <c r="C1783" t="str" cm="1">
        <f t="array" ref="C1783">IFERROR(INDEX({"Ridgetop","Other"},MATCH(TRUE,ISNUMBER(SEARCH({"Ridgetop","Other"},A1783)),0)),"")</f>
        <v>Other</v>
      </c>
      <c r="D1783" t="str" cm="1">
        <f t="array" ref="D1783">IFERROR(INDEX({"Small","Medium","Large"},MATCH(TRUE,ISNUMBER(SEARCH({"Small","Medium","Large"},A1783)),0)),"")</f>
        <v>Small</v>
      </c>
      <c r="E1783" t="str">
        <f t="shared" si="27"/>
        <v>0.110</v>
      </c>
    </row>
    <row r="1784" spans="1:5" x14ac:dyDescent="0.3">
      <c r="A1784" t="s">
        <v>1782</v>
      </c>
      <c r="B1784" t="str" cm="1">
        <f t="array" ref="B1784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hemlock"},A1784)),0)),"")</f>
        <v>Grand/white fir</v>
      </c>
      <c r="C1784" t="str" cm="1">
        <f t="array" ref="C1784">IFERROR(INDEX({"Ridgetop","Other"},MATCH(TRUE,ISNUMBER(SEARCH({"Ridgetop","Other"},A1784)),0)),"")</f>
        <v>Other</v>
      </c>
      <c r="D1784" t="str" cm="1">
        <f t="array" ref="D1784">IFERROR(INDEX({"Small","Medium","Large"},MATCH(TRUE,ISNUMBER(SEARCH({"Small","Medium","Large"},A1784)),0)),"")</f>
        <v>Medium</v>
      </c>
      <c r="E1784" t="str">
        <f t="shared" si="27"/>
        <v>0.040</v>
      </c>
    </row>
    <row r="1785" spans="1:5" x14ac:dyDescent="0.3">
      <c r="A1785" t="s">
        <v>1783</v>
      </c>
      <c r="B1785" t="str" cm="1">
        <f t="array" ref="B1785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hemlock"},A1785)),0)),"")</f>
        <v>Grand/white fir</v>
      </c>
      <c r="C1785" t="str" cm="1">
        <f t="array" ref="C1785">IFERROR(INDEX({"Ridgetop","Other"},MATCH(TRUE,ISNUMBER(SEARCH({"Ridgetop","Other"},A1785)),0)),"")</f>
        <v>Other</v>
      </c>
      <c r="D1785" t="str" cm="1">
        <f t="array" ref="D1785">IFERROR(INDEX({"Small","Medium","Large"},MATCH(TRUE,ISNUMBER(SEARCH({"Small","Medium","Large"},A1785)),0)),"")</f>
        <v>Large</v>
      </c>
      <c r="E1785" t="str">
        <f t="shared" si="27"/>
        <v>0.020</v>
      </c>
    </row>
    <row r="1786" spans="1:5" x14ac:dyDescent="0.3">
      <c r="A1786" t="s">
        <v>1784</v>
      </c>
      <c r="B1786" t="str" cm="1">
        <f t="array" ref="B1786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hemlock"},A1786)),0)),"")</f>
        <v>Grand/white fir</v>
      </c>
      <c r="C1786" t="str" cm="1">
        <f t="array" ref="C1786">IFERROR(INDEX({"Ridgetop","Other"},MATCH(TRUE,ISNUMBER(SEARCH({"Ridgetop","Other"},A1786)),0)),"")</f>
        <v>Other</v>
      </c>
      <c r="D1786" t="str" cm="1">
        <f t="array" ref="D1786">IFERROR(INDEX({"Small","Medium","Large"},MATCH(TRUE,ISNUMBER(SEARCH({"Small","Medium","Large"},A1786)),0)),"")</f>
        <v>Small</v>
      </c>
      <c r="E1786" t="str">
        <f t="shared" si="27"/>
        <v>0.120</v>
      </c>
    </row>
    <row r="1787" spans="1:5" x14ac:dyDescent="0.3">
      <c r="A1787" t="s">
        <v>1785</v>
      </c>
      <c r="B1787" t="str" cm="1">
        <f t="array" ref="B1787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hemlock"},A1787)),0)),"")</f>
        <v>Grand/white fir</v>
      </c>
      <c r="C1787" t="str" cm="1">
        <f t="array" ref="C1787">IFERROR(INDEX({"Ridgetop","Other"},MATCH(TRUE,ISNUMBER(SEARCH({"Ridgetop","Other"},A1787)),0)),"")</f>
        <v>Other</v>
      </c>
      <c r="D1787" t="str" cm="1">
        <f t="array" ref="D1787">IFERROR(INDEX({"Small","Medium","Large"},MATCH(TRUE,ISNUMBER(SEARCH({"Small","Medium","Large"},A1787)),0)),"")</f>
        <v>Medium</v>
      </c>
      <c r="E1787" t="str">
        <f t="shared" si="27"/>
        <v>0.043</v>
      </c>
    </row>
    <row r="1788" spans="1:5" x14ac:dyDescent="0.3">
      <c r="A1788" t="s">
        <v>1786</v>
      </c>
      <c r="B1788" t="str" cm="1">
        <f t="array" ref="B1788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hemlock"},A1788)),0)),"")</f>
        <v>Grand/white fir</v>
      </c>
      <c r="C1788" t="str" cm="1">
        <f t="array" ref="C1788">IFERROR(INDEX({"Ridgetop","Other"},MATCH(TRUE,ISNUMBER(SEARCH({"Ridgetop","Other"},A1788)),0)),"")</f>
        <v>Other</v>
      </c>
      <c r="D1788" t="str" cm="1">
        <f t="array" ref="D1788">IFERROR(INDEX({"Small","Medium","Large"},MATCH(TRUE,ISNUMBER(SEARCH({"Small","Medium","Large"},A1788)),0)),"")</f>
        <v>Large</v>
      </c>
      <c r="E1788" t="str">
        <f t="shared" si="27"/>
        <v>0.022</v>
      </c>
    </row>
    <row r="1789" spans="1:5" x14ac:dyDescent="0.3">
      <c r="A1789" t="s">
        <v>1787</v>
      </c>
      <c r="B1789" t="str" cm="1">
        <f t="array" ref="B1789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hemlock"},A1789)),0)),"")</f>
        <v>Grand/white fir</v>
      </c>
      <c r="C1789" t="str" cm="1">
        <f t="array" ref="C1789">IFERROR(INDEX({"Ridgetop","Other"},MATCH(TRUE,ISNUMBER(SEARCH({"Ridgetop","Other"},A1789)),0)),"")</f>
        <v>Other</v>
      </c>
      <c r="D1789" t="str" cm="1">
        <f t="array" ref="D1789">IFERROR(INDEX({"Small","Medium","Large"},MATCH(TRUE,ISNUMBER(SEARCH({"Small","Medium","Large"},A1789)),0)),"")</f>
        <v>Small</v>
      </c>
      <c r="E1789" t="str">
        <f t="shared" si="27"/>
        <v>0.120</v>
      </c>
    </row>
    <row r="1790" spans="1:5" x14ac:dyDescent="0.3">
      <c r="A1790" t="s">
        <v>1788</v>
      </c>
      <c r="B1790" t="str" cm="1">
        <f t="array" ref="B1790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hemlock"},A1790)),0)),"")</f>
        <v>Grand/white fir</v>
      </c>
      <c r="C1790" t="str" cm="1">
        <f t="array" ref="C1790">IFERROR(INDEX({"Ridgetop","Other"},MATCH(TRUE,ISNUMBER(SEARCH({"Ridgetop","Other"},A1790)),0)),"")</f>
        <v>Other</v>
      </c>
      <c r="D1790" t="str" cm="1">
        <f t="array" ref="D1790">IFERROR(INDEX({"Small","Medium","Large"},MATCH(TRUE,ISNUMBER(SEARCH({"Small","Medium","Large"},A1790)),0)),"")</f>
        <v>Medium</v>
      </c>
      <c r="E1790" t="str">
        <f t="shared" si="27"/>
        <v>0.043</v>
      </c>
    </row>
    <row r="1791" spans="1:5" x14ac:dyDescent="0.3">
      <c r="A1791" t="s">
        <v>1789</v>
      </c>
      <c r="B1791" t="str" cm="1">
        <f t="array" ref="B1791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hemlock"},A1791)),0)),"")</f>
        <v>Grand/white fir</v>
      </c>
      <c r="C1791" t="str" cm="1">
        <f t="array" ref="C1791">IFERROR(INDEX({"Ridgetop","Other"},MATCH(TRUE,ISNUMBER(SEARCH({"Ridgetop","Other"},A1791)),0)),"")</f>
        <v>Other</v>
      </c>
      <c r="D1791" t="str" cm="1">
        <f t="array" ref="D1791">IFERROR(INDEX({"Small","Medium","Large"},MATCH(TRUE,ISNUMBER(SEARCH({"Small","Medium","Large"},A1791)),0)),"")</f>
        <v>Large</v>
      </c>
      <c r="E1791" t="str">
        <f t="shared" si="27"/>
        <v>0.022</v>
      </c>
    </row>
    <row r="1792" spans="1:5" x14ac:dyDescent="0.3">
      <c r="A1792" t="s">
        <v>1790</v>
      </c>
      <c r="B1792" t="str" cm="1">
        <f t="array" ref="B1792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hemlock"},A1792)),0)),"")</f>
        <v>Grand/white fir</v>
      </c>
      <c r="C1792" t="str" cm="1">
        <f t="array" ref="C1792">IFERROR(INDEX({"Ridgetop","Other"},MATCH(TRUE,ISNUMBER(SEARCH({"Ridgetop","Other"},A1792)),0)),"")</f>
        <v>Ridgetop</v>
      </c>
      <c r="D1792" t="str" cm="1">
        <f t="array" ref="D1792">IFERROR(INDEX({"Small","Medium","Large"},MATCH(TRUE,ISNUMBER(SEARCH({"Small","Medium","Large"},A1792)),0)),"")</f>
        <v>Small</v>
      </c>
      <c r="E1792" t="str">
        <f t="shared" si="27"/>
        <v>0.200</v>
      </c>
    </row>
    <row r="1793" spans="1:5" x14ac:dyDescent="0.3">
      <c r="A1793" t="s">
        <v>1791</v>
      </c>
      <c r="B1793" t="str" cm="1">
        <f t="array" ref="B1793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hemlock"},A1793)),0)),"")</f>
        <v>Grand/white fir</v>
      </c>
      <c r="C1793" t="str" cm="1">
        <f t="array" ref="C1793">IFERROR(INDEX({"Ridgetop","Other"},MATCH(TRUE,ISNUMBER(SEARCH({"Ridgetop","Other"},A1793)),0)),"")</f>
        <v>Ridgetop</v>
      </c>
      <c r="D1793" t="str" cm="1">
        <f t="array" ref="D1793">IFERROR(INDEX({"Small","Medium","Large"},MATCH(TRUE,ISNUMBER(SEARCH({"Small","Medium","Large"},A1793)),0)),"")</f>
        <v>Medium</v>
      </c>
      <c r="E1793" t="str">
        <f t="shared" si="27"/>
        <v>0.072</v>
      </c>
    </row>
    <row r="1794" spans="1:5" x14ac:dyDescent="0.3">
      <c r="A1794" t="s">
        <v>1792</v>
      </c>
      <c r="B1794" t="str" cm="1">
        <f t="array" ref="B1794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hemlock"},A1794)),0)),"")</f>
        <v>Grand/white fir</v>
      </c>
      <c r="C1794" t="str" cm="1">
        <f t="array" ref="C1794">IFERROR(INDEX({"Ridgetop","Other"},MATCH(TRUE,ISNUMBER(SEARCH({"Ridgetop","Other"},A1794)),0)),"")</f>
        <v>Ridgetop</v>
      </c>
      <c r="D1794" t="str" cm="1">
        <f t="array" ref="D1794">IFERROR(INDEX({"Small","Medium","Large"},MATCH(TRUE,ISNUMBER(SEARCH({"Small","Medium","Large"},A1794)),0)),"")</f>
        <v>Large</v>
      </c>
      <c r="E1794" t="str">
        <f t="shared" si="27"/>
        <v>0.036</v>
      </c>
    </row>
    <row r="1795" spans="1:5" x14ac:dyDescent="0.3">
      <c r="A1795" t="s">
        <v>1793</v>
      </c>
      <c r="B1795" t="str" cm="1">
        <f t="array" ref="B1795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hemlock"},A1795)),0)),"")</f>
        <v>Grand/white fir</v>
      </c>
      <c r="C1795" t="str" cm="1">
        <f t="array" ref="C1795">IFERROR(INDEX({"Ridgetop","Other"},MATCH(TRUE,ISNUMBER(SEARCH({"Ridgetop","Other"},A1795)),0)),"")</f>
        <v>Ridgetop</v>
      </c>
      <c r="D1795" t="str" cm="1">
        <f t="array" ref="D1795">IFERROR(INDEX({"Small","Medium","Large"},MATCH(TRUE,ISNUMBER(SEARCH({"Small","Medium","Large"},A1795)),0)),"")</f>
        <v>Small</v>
      </c>
      <c r="E1795" t="str">
        <f t="shared" ref="E1795:E1858" si="28">RIGHT(A1795,LEN(A1795)-FIND("@",SUBSTITUTE(A1795," ","@",LEN(A1795)-LEN(SUBSTITUTE(A1795," ","")))))</f>
        <v>0.200</v>
      </c>
    </row>
    <row r="1796" spans="1:5" x14ac:dyDescent="0.3">
      <c r="A1796" t="s">
        <v>1794</v>
      </c>
      <c r="B1796" t="str" cm="1">
        <f t="array" ref="B1796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hemlock"},A1796)),0)),"")</f>
        <v>Grand/white fir</v>
      </c>
      <c r="C1796" t="str" cm="1">
        <f t="array" ref="C1796">IFERROR(INDEX({"Ridgetop","Other"},MATCH(TRUE,ISNUMBER(SEARCH({"Ridgetop","Other"},A1796)),0)),"")</f>
        <v>Ridgetop</v>
      </c>
      <c r="D1796" t="str" cm="1">
        <f t="array" ref="D1796">IFERROR(INDEX({"Small","Medium","Large"},MATCH(TRUE,ISNUMBER(SEARCH({"Small","Medium","Large"},A1796)),0)),"")</f>
        <v>Medium</v>
      </c>
      <c r="E1796" t="str">
        <f t="shared" si="28"/>
        <v>0.072</v>
      </c>
    </row>
    <row r="1797" spans="1:5" x14ac:dyDescent="0.3">
      <c r="A1797" t="s">
        <v>1795</v>
      </c>
      <c r="B1797" t="str" cm="1">
        <f t="array" ref="B1797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hemlock"},A1797)),0)),"")</f>
        <v>Grand/white fir</v>
      </c>
      <c r="C1797" t="str" cm="1">
        <f t="array" ref="C1797">IFERROR(INDEX({"Ridgetop","Other"},MATCH(TRUE,ISNUMBER(SEARCH({"Ridgetop","Other"},A1797)),0)),"")</f>
        <v>Ridgetop</v>
      </c>
      <c r="D1797" t="str" cm="1">
        <f t="array" ref="D1797">IFERROR(INDEX({"Small","Medium","Large"},MATCH(TRUE,ISNUMBER(SEARCH({"Small","Medium","Large"},A1797)),0)),"")</f>
        <v>Large</v>
      </c>
      <c r="E1797" t="str">
        <f t="shared" si="28"/>
        <v>0.036</v>
      </c>
    </row>
    <row r="1798" spans="1:5" x14ac:dyDescent="0.3">
      <c r="A1798" t="s">
        <v>1796</v>
      </c>
      <c r="B1798" t="str" cm="1">
        <f t="array" ref="B1798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hemlock"},A1798)),0)),"")</f>
        <v>Grand/white fir</v>
      </c>
      <c r="C1798" t="str" cm="1">
        <f t="array" ref="C1798">IFERROR(INDEX({"Ridgetop","Other"},MATCH(TRUE,ISNUMBER(SEARCH({"Ridgetop","Other"},A1798)),0)),"")</f>
        <v>Ridgetop</v>
      </c>
      <c r="D1798" t="str" cm="1">
        <f t="array" ref="D1798">IFERROR(INDEX({"Small","Medium","Large"},MATCH(TRUE,ISNUMBER(SEARCH({"Small","Medium","Large"},A1798)),0)),"")</f>
        <v>Small</v>
      </c>
      <c r="E1798" t="str">
        <f t="shared" si="28"/>
        <v>0.200</v>
      </c>
    </row>
    <row r="1799" spans="1:5" x14ac:dyDescent="0.3">
      <c r="A1799" t="s">
        <v>1797</v>
      </c>
      <c r="B1799" t="str" cm="1">
        <f t="array" ref="B1799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hemlock"},A1799)),0)),"")</f>
        <v>Grand/white fir</v>
      </c>
      <c r="C1799" t="str" cm="1">
        <f t="array" ref="C1799">IFERROR(INDEX({"Ridgetop","Other"},MATCH(TRUE,ISNUMBER(SEARCH({"Ridgetop","Other"},A1799)),0)),"")</f>
        <v>Ridgetop</v>
      </c>
      <c r="D1799" t="str" cm="1">
        <f t="array" ref="D1799">IFERROR(INDEX({"Small","Medium","Large"},MATCH(TRUE,ISNUMBER(SEARCH({"Small","Medium","Large"},A1799)),0)),"")</f>
        <v>Medium</v>
      </c>
      <c r="E1799" t="str">
        <f t="shared" si="28"/>
        <v>0.072</v>
      </c>
    </row>
    <row r="1800" spans="1:5" x14ac:dyDescent="0.3">
      <c r="A1800" t="s">
        <v>1798</v>
      </c>
      <c r="B1800" t="str" cm="1">
        <f t="array" ref="B1800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hemlock"},A1800)),0)),"")</f>
        <v>Grand/white fir</v>
      </c>
      <c r="C1800" t="str" cm="1">
        <f t="array" ref="C1800">IFERROR(INDEX({"Ridgetop","Other"},MATCH(TRUE,ISNUMBER(SEARCH({"Ridgetop","Other"},A1800)),0)),"")</f>
        <v>Ridgetop</v>
      </c>
      <c r="D1800" t="str" cm="1">
        <f t="array" ref="D1800">IFERROR(INDEX({"Small","Medium","Large"},MATCH(TRUE,ISNUMBER(SEARCH({"Small","Medium","Large"},A1800)),0)),"")</f>
        <v>Large</v>
      </c>
      <c r="E1800" t="str">
        <f t="shared" si="28"/>
        <v>0.036</v>
      </c>
    </row>
    <row r="1801" spans="1:5" x14ac:dyDescent="0.3">
      <c r="A1801" t="s">
        <v>1799</v>
      </c>
      <c r="B1801" t="str" cm="1">
        <f t="array" ref="B1801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hemlock"},A1801)),0)),"")</f>
        <v>Grand/white fir</v>
      </c>
      <c r="C1801" t="str" cm="1">
        <f t="array" ref="C1801">IFERROR(INDEX({"Ridgetop","Other"},MATCH(TRUE,ISNUMBER(SEARCH({"Ridgetop","Other"},A1801)),0)),"")</f>
        <v>Other</v>
      </c>
      <c r="D1801" t="str" cm="1">
        <f t="array" ref="D1801">IFERROR(INDEX({"Small","Medium","Large"},MATCH(TRUE,ISNUMBER(SEARCH({"Small","Medium","Large"},A1801)),0)),"")</f>
        <v>Small</v>
      </c>
      <c r="E1801" t="str">
        <f t="shared" si="28"/>
        <v>0.098</v>
      </c>
    </row>
    <row r="1802" spans="1:5" x14ac:dyDescent="0.3">
      <c r="A1802" t="s">
        <v>1800</v>
      </c>
      <c r="B1802" t="str" cm="1">
        <f t="array" ref="B1802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hemlock"},A1802)),0)),"")</f>
        <v>Grand/white fir</v>
      </c>
      <c r="C1802" t="str" cm="1">
        <f t="array" ref="C1802">IFERROR(INDEX({"Ridgetop","Other"},MATCH(TRUE,ISNUMBER(SEARCH({"Ridgetop","Other"},A1802)),0)),"")</f>
        <v>Other</v>
      </c>
      <c r="D1802" t="str" cm="1">
        <f t="array" ref="D1802">IFERROR(INDEX({"Small","Medium","Large"},MATCH(TRUE,ISNUMBER(SEARCH({"Small","Medium","Large"},A1802)),0)),"")</f>
        <v>Medium</v>
      </c>
      <c r="E1802" t="str">
        <f t="shared" si="28"/>
        <v>0.035</v>
      </c>
    </row>
    <row r="1803" spans="1:5" x14ac:dyDescent="0.3">
      <c r="A1803" t="s">
        <v>1801</v>
      </c>
      <c r="B1803" t="str" cm="1">
        <f t="array" ref="B1803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hemlock"},A1803)),0)),"")</f>
        <v>Grand/white fir</v>
      </c>
      <c r="C1803" t="str" cm="1">
        <f t="array" ref="C1803">IFERROR(INDEX({"Ridgetop","Other"},MATCH(TRUE,ISNUMBER(SEARCH({"Ridgetop","Other"},A1803)),0)),"")</f>
        <v>Other</v>
      </c>
      <c r="D1803" t="str" cm="1">
        <f t="array" ref="D1803">IFERROR(INDEX({"Small","Medium","Large"},MATCH(TRUE,ISNUMBER(SEARCH({"Small","Medium","Large"},A1803)),0)),"")</f>
        <v>Large</v>
      </c>
      <c r="E1803" t="str">
        <f t="shared" si="28"/>
        <v>0.018</v>
      </c>
    </row>
    <row r="1804" spans="1:5" x14ac:dyDescent="0.3">
      <c r="A1804" t="s">
        <v>1802</v>
      </c>
      <c r="B1804" t="str" cm="1">
        <f t="array" ref="B1804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hemlock"},A1804)),0)),"")</f>
        <v>Grand/white fir</v>
      </c>
      <c r="C1804" t="str" cm="1">
        <f t="array" ref="C1804">IFERROR(INDEX({"Ridgetop","Other"},MATCH(TRUE,ISNUMBER(SEARCH({"Ridgetop","Other"},A1804)),0)),"")</f>
        <v>Other</v>
      </c>
      <c r="D1804" t="str" cm="1">
        <f t="array" ref="D1804">IFERROR(INDEX({"Small","Medium","Large"},MATCH(TRUE,ISNUMBER(SEARCH({"Small","Medium","Large"},A1804)),0)),"")</f>
        <v>Small</v>
      </c>
      <c r="E1804" t="str">
        <f t="shared" si="28"/>
        <v>0.110</v>
      </c>
    </row>
    <row r="1805" spans="1:5" x14ac:dyDescent="0.3">
      <c r="A1805" t="s">
        <v>1803</v>
      </c>
      <c r="B1805" t="str" cm="1">
        <f t="array" ref="B1805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hemlock"},A1805)),0)),"")</f>
        <v>Grand/white fir</v>
      </c>
      <c r="C1805" t="str" cm="1">
        <f t="array" ref="C1805">IFERROR(INDEX({"Ridgetop","Other"},MATCH(TRUE,ISNUMBER(SEARCH({"Ridgetop","Other"},A1805)),0)),"")</f>
        <v>Other</v>
      </c>
      <c r="D1805" t="str" cm="1">
        <f t="array" ref="D1805">IFERROR(INDEX({"Small","Medium","Large"},MATCH(TRUE,ISNUMBER(SEARCH({"Small","Medium","Large"},A1805)),0)),"")</f>
        <v>Medium</v>
      </c>
      <c r="E1805" t="str">
        <f t="shared" si="28"/>
        <v>0.040</v>
      </c>
    </row>
    <row r="1806" spans="1:5" x14ac:dyDescent="0.3">
      <c r="A1806" t="s">
        <v>1804</v>
      </c>
      <c r="B1806" t="str" cm="1">
        <f t="array" ref="B1806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hemlock"},A1806)),0)),"")</f>
        <v>Grand/white fir</v>
      </c>
      <c r="C1806" t="str" cm="1">
        <f t="array" ref="C1806">IFERROR(INDEX({"Ridgetop","Other"},MATCH(TRUE,ISNUMBER(SEARCH({"Ridgetop","Other"},A1806)),0)),"")</f>
        <v>Other</v>
      </c>
      <c r="D1806" t="str" cm="1">
        <f t="array" ref="D1806">IFERROR(INDEX({"Small","Medium","Large"},MATCH(TRUE,ISNUMBER(SEARCH({"Small","Medium","Large"},A1806)),0)),"")</f>
        <v>Large</v>
      </c>
      <c r="E1806" t="str">
        <f t="shared" si="28"/>
        <v>0.020</v>
      </c>
    </row>
    <row r="1807" spans="1:5" x14ac:dyDescent="0.3">
      <c r="A1807" t="s">
        <v>1805</v>
      </c>
      <c r="B1807" t="str" cm="1">
        <f t="array" ref="B1807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hemlock"},A1807)),0)),"")</f>
        <v>Grand/white fir</v>
      </c>
      <c r="C1807" t="str" cm="1">
        <f t="array" ref="C1807">IFERROR(INDEX({"Ridgetop","Other"},MATCH(TRUE,ISNUMBER(SEARCH({"Ridgetop","Other"},A1807)),0)),"")</f>
        <v>Other</v>
      </c>
      <c r="D1807" t="str" cm="1">
        <f t="array" ref="D1807">IFERROR(INDEX({"Small","Medium","Large"},MATCH(TRUE,ISNUMBER(SEARCH({"Small","Medium","Large"},A1807)),0)),"")</f>
        <v>Small</v>
      </c>
      <c r="E1807" t="str">
        <f t="shared" si="28"/>
        <v>0.120</v>
      </c>
    </row>
    <row r="1808" spans="1:5" x14ac:dyDescent="0.3">
      <c r="A1808" t="s">
        <v>1806</v>
      </c>
      <c r="B1808" t="str" cm="1">
        <f t="array" ref="B1808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hemlock"},A1808)),0)),"")</f>
        <v>Grand/white fir</v>
      </c>
      <c r="C1808" t="str" cm="1">
        <f t="array" ref="C1808">IFERROR(INDEX({"Ridgetop","Other"},MATCH(TRUE,ISNUMBER(SEARCH({"Ridgetop","Other"},A1808)),0)),"")</f>
        <v>Other</v>
      </c>
      <c r="D1808" t="str" cm="1">
        <f t="array" ref="D1808">IFERROR(INDEX({"Small","Medium","Large"},MATCH(TRUE,ISNUMBER(SEARCH({"Small","Medium","Large"},A1808)),0)),"")</f>
        <v>Medium</v>
      </c>
      <c r="E1808" t="str">
        <f t="shared" si="28"/>
        <v>0.043</v>
      </c>
    </row>
    <row r="1809" spans="1:5" x14ac:dyDescent="0.3">
      <c r="A1809" t="s">
        <v>1807</v>
      </c>
      <c r="B1809" t="str" cm="1">
        <f t="array" ref="B1809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hemlock"},A1809)),0)),"")</f>
        <v>Grand/white fir</v>
      </c>
      <c r="C1809" t="str" cm="1">
        <f t="array" ref="C1809">IFERROR(INDEX({"Ridgetop","Other"},MATCH(TRUE,ISNUMBER(SEARCH({"Ridgetop","Other"},A1809)),0)),"")</f>
        <v>Other</v>
      </c>
      <c r="D1809" t="str" cm="1">
        <f t="array" ref="D1809">IFERROR(INDEX({"Small","Medium","Large"},MATCH(TRUE,ISNUMBER(SEARCH({"Small","Medium","Large"},A1809)),0)),"")</f>
        <v>Large</v>
      </c>
      <c r="E1809" t="str">
        <f t="shared" si="28"/>
        <v>0.022</v>
      </c>
    </row>
    <row r="1810" spans="1:5" x14ac:dyDescent="0.3">
      <c r="A1810" t="s">
        <v>1808</v>
      </c>
      <c r="B1810" t="str" cm="1">
        <f t="array" ref="B1810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hemlock"},A1810)),0)),"")</f>
        <v>Grand/white fir</v>
      </c>
      <c r="C1810" t="str" cm="1">
        <f t="array" ref="C1810">IFERROR(INDEX({"Ridgetop","Other"},MATCH(TRUE,ISNUMBER(SEARCH({"Ridgetop","Other"},A1810)),0)),"")</f>
        <v>Ridgetop</v>
      </c>
      <c r="D1810" t="str" cm="1">
        <f t="array" ref="D1810">IFERROR(INDEX({"Small","Medium","Large"},MATCH(TRUE,ISNUMBER(SEARCH({"Small","Medium","Large"},A1810)),0)),"")</f>
        <v>Small</v>
      </c>
      <c r="E1810" t="str">
        <f t="shared" si="28"/>
        <v>0.185</v>
      </c>
    </row>
    <row r="1811" spans="1:5" x14ac:dyDescent="0.3">
      <c r="A1811" t="s">
        <v>1809</v>
      </c>
      <c r="B1811" t="str" cm="1">
        <f t="array" ref="B1811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hemlock"},A1811)),0)),"")</f>
        <v>Grand/white fir</v>
      </c>
      <c r="C1811" t="str" cm="1">
        <f t="array" ref="C1811">IFERROR(INDEX({"Ridgetop","Other"},MATCH(TRUE,ISNUMBER(SEARCH({"Ridgetop","Other"},A1811)),0)),"")</f>
        <v>Ridgetop</v>
      </c>
      <c r="D1811" t="str" cm="1">
        <f t="array" ref="D1811">IFERROR(INDEX({"Small","Medium","Large"},MATCH(TRUE,ISNUMBER(SEARCH({"Small","Medium","Large"},A1811)),0)),"")</f>
        <v>Medium</v>
      </c>
      <c r="E1811" t="str">
        <f t="shared" si="28"/>
        <v>0.067</v>
      </c>
    </row>
    <row r="1812" spans="1:5" x14ac:dyDescent="0.3">
      <c r="A1812" t="s">
        <v>1810</v>
      </c>
      <c r="B1812" t="str" cm="1">
        <f t="array" ref="B1812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hemlock"},A1812)),0)),"")</f>
        <v>Grand/white fir</v>
      </c>
      <c r="C1812" t="str" cm="1">
        <f t="array" ref="C1812">IFERROR(INDEX({"Ridgetop","Other"},MATCH(TRUE,ISNUMBER(SEARCH({"Ridgetop","Other"},A1812)),0)),"")</f>
        <v>Ridgetop</v>
      </c>
      <c r="D1812" t="str" cm="1">
        <f t="array" ref="D1812">IFERROR(INDEX({"Small","Medium","Large"},MATCH(TRUE,ISNUMBER(SEARCH({"Small","Medium","Large"},A1812)),0)),"")</f>
        <v>Large</v>
      </c>
      <c r="E1812" t="str">
        <f t="shared" si="28"/>
        <v>0.033</v>
      </c>
    </row>
    <row r="1813" spans="1:5" x14ac:dyDescent="0.3">
      <c r="A1813" t="s">
        <v>1811</v>
      </c>
      <c r="B1813" t="str" cm="1">
        <f t="array" ref="B1813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hemlock"},A1813)),0)),"")</f>
        <v>Grand/white fir</v>
      </c>
      <c r="C1813" t="str" cm="1">
        <f t="array" ref="C1813">IFERROR(INDEX({"Ridgetop","Other"},MATCH(TRUE,ISNUMBER(SEARCH({"Ridgetop","Other"},A1813)),0)),"")</f>
        <v>Ridgetop</v>
      </c>
      <c r="D1813" t="str" cm="1">
        <f t="array" ref="D1813">IFERROR(INDEX({"Small","Medium","Large"},MATCH(TRUE,ISNUMBER(SEARCH({"Small","Medium","Large"},A1813)),0)),"")</f>
        <v>Small</v>
      </c>
      <c r="E1813" t="str">
        <f t="shared" si="28"/>
        <v>0.185</v>
      </c>
    </row>
    <row r="1814" spans="1:5" x14ac:dyDescent="0.3">
      <c r="A1814" t="s">
        <v>1812</v>
      </c>
      <c r="B1814" t="str" cm="1">
        <f t="array" ref="B1814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hemlock"},A1814)),0)),"")</f>
        <v>Grand/white fir</v>
      </c>
      <c r="C1814" t="str" cm="1">
        <f t="array" ref="C1814">IFERROR(INDEX({"Ridgetop","Other"},MATCH(TRUE,ISNUMBER(SEARCH({"Ridgetop","Other"},A1814)),0)),"")</f>
        <v>Ridgetop</v>
      </c>
      <c r="D1814" t="str" cm="1">
        <f t="array" ref="D1814">IFERROR(INDEX({"Small","Medium","Large"},MATCH(TRUE,ISNUMBER(SEARCH({"Small","Medium","Large"},A1814)),0)),"")</f>
        <v>Medium</v>
      </c>
      <c r="E1814" t="str">
        <f t="shared" si="28"/>
        <v>0.067</v>
      </c>
    </row>
    <row r="1815" spans="1:5" x14ac:dyDescent="0.3">
      <c r="A1815" t="s">
        <v>1813</v>
      </c>
      <c r="B1815" t="str" cm="1">
        <f t="array" ref="B1815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hemlock"},A1815)),0)),"")</f>
        <v>Grand/white fir</v>
      </c>
      <c r="C1815" t="str" cm="1">
        <f t="array" ref="C1815">IFERROR(INDEX({"Ridgetop","Other"},MATCH(TRUE,ISNUMBER(SEARCH({"Ridgetop","Other"},A1815)),0)),"")</f>
        <v>Ridgetop</v>
      </c>
      <c r="D1815" t="str" cm="1">
        <f t="array" ref="D1815">IFERROR(INDEX({"Small","Medium","Large"},MATCH(TRUE,ISNUMBER(SEARCH({"Small","Medium","Large"},A1815)),0)),"")</f>
        <v>Large</v>
      </c>
      <c r="E1815" t="str">
        <f t="shared" si="28"/>
        <v>0.033</v>
      </c>
    </row>
    <row r="1816" spans="1:5" x14ac:dyDescent="0.3">
      <c r="A1816" t="s">
        <v>1814</v>
      </c>
      <c r="B1816" t="str" cm="1">
        <f t="array" ref="B1816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hemlock"},A1816)),0)),"")</f>
        <v>Grand/white fir</v>
      </c>
      <c r="C1816" t="str" cm="1">
        <f t="array" ref="C1816">IFERROR(INDEX({"Ridgetop","Other"},MATCH(TRUE,ISNUMBER(SEARCH({"Ridgetop","Other"},A1816)),0)),"")</f>
        <v>Ridgetop</v>
      </c>
      <c r="D1816" t="str" cm="1">
        <f t="array" ref="D1816">IFERROR(INDEX({"Small","Medium","Large"},MATCH(TRUE,ISNUMBER(SEARCH({"Small","Medium","Large"},A1816)),0)),"")</f>
        <v>Small</v>
      </c>
      <c r="E1816" t="str">
        <f t="shared" si="28"/>
        <v>0.190</v>
      </c>
    </row>
    <row r="1817" spans="1:5" x14ac:dyDescent="0.3">
      <c r="A1817" t="s">
        <v>1815</v>
      </c>
      <c r="B1817" t="str" cm="1">
        <f t="array" ref="B1817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hemlock"},A1817)),0)),"")</f>
        <v>Grand/white fir</v>
      </c>
      <c r="C1817" t="str" cm="1">
        <f t="array" ref="C1817">IFERROR(INDEX({"Ridgetop","Other"},MATCH(TRUE,ISNUMBER(SEARCH({"Ridgetop","Other"},A1817)),0)),"")</f>
        <v>Ridgetop</v>
      </c>
      <c r="D1817" t="str" cm="1">
        <f t="array" ref="D1817">IFERROR(INDEX({"Small","Medium","Large"},MATCH(TRUE,ISNUMBER(SEARCH({"Small","Medium","Large"},A1817)),0)),"")</f>
        <v>Medium</v>
      </c>
      <c r="E1817" t="str">
        <f t="shared" si="28"/>
        <v>0.068</v>
      </c>
    </row>
    <row r="1818" spans="1:5" x14ac:dyDescent="0.3">
      <c r="A1818" t="s">
        <v>1816</v>
      </c>
      <c r="B1818" t="str" cm="1">
        <f t="array" ref="B1818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hemlock"},A1818)),0)),"")</f>
        <v>Grand/white fir</v>
      </c>
      <c r="C1818" t="str" cm="1">
        <f t="array" ref="C1818">IFERROR(INDEX({"Ridgetop","Other"},MATCH(TRUE,ISNUMBER(SEARCH({"Ridgetop","Other"},A1818)),0)),"")</f>
        <v>Ridgetop</v>
      </c>
      <c r="D1818" t="str" cm="1">
        <f t="array" ref="D1818">IFERROR(INDEX({"Small","Medium","Large"},MATCH(TRUE,ISNUMBER(SEARCH({"Small","Medium","Large"},A1818)),0)),"")</f>
        <v>Large</v>
      </c>
      <c r="E1818" t="str">
        <f t="shared" si="28"/>
        <v>0.034</v>
      </c>
    </row>
    <row r="1819" spans="1:5" x14ac:dyDescent="0.3">
      <c r="A1819" t="s">
        <v>1817</v>
      </c>
      <c r="B1819" t="str" cm="1">
        <f t="array" ref="B1819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hemlock"},A1819)),0)),"")</f>
        <v>Grand/white fir</v>
      </c>
      <c r="C1819" t="str" cm="1">
        <f t="array" ref="C1819">IFERROR(INDEX({"Ridgetop","Other"},MATCH(TRUE,ISNUMBER(SEARCH({"Ridgetop","Other"},A1819)),0)),"")</f>
        <v>Other</v>
      </c>
      <c r="D1819" t="str" cm="1">
        <f t="array" ref="D1819">IFERROR(INDEX({"Small","Medium","Large"},MATCH(TRUE,ISNUMBER(SEARCH({"Small","Medium","Large"},A1819)),0)),"")</f>
        <v>Small</v>
      </c>
      <c r="E1819" t="str">
        <f t="shared" si="28"/>
        <v>0.110</v>
      </c>
    </row>
    <row r="1820" spans="1:5" x14ac:dyDescent="0.3">
      <c r="A1820" t="s">
        <v>1818</v>
      </c>
      <c r="B1820" t="str" cm="1">
        <f t="array" ref="B1820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hemlock"},A1820)),0)),"")</f>
        <v>Grand/white fir</v>
      </c>
      <c r="C1820" t="str" cm="1">
        <f t="array" ref="C1820">IFERROR(INDEX({"Ridgetop","Other"},MATCH(TRUE,ISNUMBER(SEARCH({"Ridgetop","Other"},A1820)),0)),"")</f>
        <v>Other</v>
      </c>
      <c r="D1820" t="str" cm="1">
        <f t="array" ref="D1820">IFERROR(INDEX({"Small","Medium","Large"},MATCH(TRUE,ISNUMBER(SEARCH({"Small","Medium","Large"},A1820)),0)),"")</f>
        <v>Medium</v>
      </c>
      <c r="E1820" t="str">
        <f t="shared" si="28"/>
        <v>0.040</v>
      </c>
    </row>
    <row r="1821" spans="1:5" x14ac:dyDescent="0.3">
      <c r="A1821" t="s">
        <v>1819</v>
      </c>
      <c r="B1821" t="str" cm="1">
        <f t="array" ref="B1821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hemlock"},A1821)),0)),"")</f>
        <v>Grand/white fir</v>
      </c>
      <c r="C1821" t="str" cm="1">
        <f t="array" ref="C1821">IFERROR(INDEX({"Ridgetop","Other"},MATCH(TRUE,ISNUMBER(SEARCH({"Ridgetop","Other"},A1821)),0)),"")</f>
        <v>Other</v>
      </c>
      <c r="D1821" t="str" cm="1">
        <f t="array" ref="D1821">IFERROR(INDEX({"Small","Medium","Large"},MATCH(TRUE,ISNUMBER(SEARCH({"Small","Medium","Large"},A1821)),0)),"")</f>
        <v>Large</v>
      </c>
      <c r="E1821" t="str">
        <f t="shared" si="28"/>
        <v>0.020</v>
      </c>
    </row>
    <row r="1822" spans="1:5" x14ac:dyDescent="0.3">
      <c r="A1822" t="s">
        <v>1820</v>
      </c>
      <c r="B1822" t="str" cm="1">
        <f t="array" ref="B1822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hemlock"},A1822)),0)),"")</f>
        <v>Grand/white fir</v>
      </c>
      <c r="C1822" t="str" cm="1">
        <f t="array" ref="C1822">IFERROR(INDEX({"Ridgetop","Other"},MATCH(TRUE,ISNUMBER(SEARCH({"Ridgetop","Other"},A1822)),0)),"")</f>
        <v>Other</v>
      </c>
      <c r="D1822" t="str" cm="1">
        <f t="array" ref="D1822">IFERROR(INDEX({"Small","Medium","Large"},MATCH(TRUE,ISNUMBER(SEARCH({"Small","Medium","Large"},A1822)),0)),"")</f>
        <v>Small</v>
      </c>
      <c r="E1822" t="str">
        <f t="shared" si="28"/>
        <v>0.120</v>
      </c>
    </row>
    <row r="1823" spans="1:5" x14ac:dyDescent="0.3">
      <c r="A1823" t="s">
        <v>1821</v>
      </c>
      <c r="B1823" t="str" cm="1">
        <f t="array" ref="B1823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hemlock"},A1823)),0)),"")</f>
        <v>Grand/white fir</v>
      </c>
      <c r="C1823" t="str" cm="1">
        <f t="array" ref="C1823">IFERROR(INDEX({"Ridgetop","Other"},MATCH(TRUE,ISNUMBER(SEARCH({"Ridgetop","Other"},A1823)),0)),"")</f>
        <v>Other</v>
      </c>
      <c r="D1823" t="str" cm="1">
        <f t="array" ref="D1823">IFERROR(INDEX({"Small","Medium","Large"},MATCH(TRUE,ISNUMBER(SEARCH({"Small","Medium","Large"},A1823)),0)),"")</f>
        <v>Medium</v>
      </c>
      <c r="E1823" t="str">
        <f t="shared" si="28"/>
        <v>0.043</v>
      </c>
    </row>
    <row r="1824" spans="1:5" x14ac:dyDescent="0.3">
      <c r="A1824" t="s">
        <v>1822</v>
      </c>
      <c r="B1824" t="str" cm="1">
        <f t="array" ref="B1824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hemlock"},A1824)),0)),"")</f>
        <v>Grand/white fir</v>
      </c>
      <c r="C1824" t="str" cm="1">
        <f t="array" ref="C1824">IFERROR(INDEX({"Ridgetop","Other"},MATCH(TRUE,ISNUMBER(SEARCH({"Ridgetop","Other"},A1824)),0)),"")</f>
        <v>Other</v>
      </c>
      <c r="D1824" t="str" cm="1">
        <f t="array" ref="D1824">IFERROR(INDEX({"Small","Medium","Large"},MATCH(TRUE,ISNUMBER(SEARCH({"Small","Medium","Large"},A1824)),0)),"")</f>
        <v>Large</v>
      </c>
      <c r="E1824" t="str">
        <f t="shared" si="28"/>
        <v>0.022</v>
      </c>
    </row>
    <row r="1825" spans="1:5" x14ac:dyDescent="0.3">
      <c r="A1825" t="s">
        <v>1823</v>
      </c>
      <c r="B1825" t="str" cm="1">
        <f t="array" ref="B1825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hemlock"},A1825)),0)),"")</f>
        <v>Grand/white fir</v>
      </c>
      <c r="C1825" t="str" cm="1">
        <f t="array" ref="C1825">IFERROR(INDEX({"Ridgetop","Other"},MATCH(TRUE,ISNUMBER(SEARCH({"Ridgetop","Other"},A1825)),0)),"")</f>
        <v>Other</v>
      </c>
      <c r="D1825" t="str" cm="1">
        <f t="array" ref="D1825">IFERROR(INDEX({"Small","Medium","Large"},MATCH(TRUE,ISNUMBER(SEARCH({"Small","Medium","Large"},A1825)),0)),"")</f>
        <v>Small</v>
      </c>
      <c r="E1825" t="str">
        <f t="shared" si="28"/>
        <v>0.120</v>
      </c>
    </row>
    <row r="1826" spans="1:5" x14ac:dyDescent="0.3">
      <c r="A1826" t="s">
        <v>1824</v>
      </c>
      <c r="B1826" t="str" cm="1">
        <f t="array" ref="B1826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hemlock"},A1826)),0)),"")</f>
        <v>Grand/white fir</v>
      </c>
      <c r="C1826" t="str" cm="1">
        <f t="array" ref="C1826">IFERROR(INDEX({"Ridgetop","Other"},MATCH(TRUE,ISNUMBER(SEARCH({"Ridgetop","Other"},A1826)),0)),"")</f>
        <v>Other</v>
      </c>
      <c r="D1826" t="str" cm="1">
        <f t="array" ref="D1826">IFERROR(INDEX({"Small","Medium","Large"},MATCH(TRUE,ISNUMBER(SEARCH({"Small","Medium","Large"},A1826)),0)),"")</f>
        <v>Medium</v>
      </c>
      <c r="E1826" t="str">
        <f t="shared" si="28"/>
        <v>0.043</v>
      </c>
    </row>
    <row r="1827" spans="1:5" x14ac:dyDescent="0.3">
      <c r="A1827" t="s">
        <v>1825</v>
      </c>
      <c r="B1827" t="str" cm="1">
        <f t="array" ref="B1827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hemlock"},A1827)),0)),"")</f>
        <v>Grand/white fir</v>
      </c>
      <c r="C1827" t="str" cm="1">
        <f t="array" ref="C1827">IFERROR(INDEX({"Ridgetop","Other"},MATCH(TRUE,ISNUMBER(SEARCH({"Ridgetop","Other"},A1827)),0)),"")</f>
        <v>Other</v>
      </c>
      <c r="D1827" t="str" cm="1">
        <f t="array" ref="D1827">IFERROR(INDEX({"Small","Medium","Large"},MATCH(TRUE,ISNUMBER(SEARCH({"Small","Medium","Large"},A1827)),0)),"")</f>
        <v>Large</v>
      </c>
      <c r="E1827" t="str">
        <f t="shared" si="28"/>
        <v>0.022</v>
      </c>
    </row>
    <row r="1828" spans="1:5" x14ac:dyDescent="0.3">
      <c r="A1828" t="s">
        <v>1826</v>
      </c>
      <c r="B1828" t="str" cm="1">
        <f t="array" ref="B1828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hemlock"},A1828)),0)),"")</f>
        <v>Grand/white fir</v>
      </c>
      <c r="C1828" t="str" cm="1">
        <f t="array" ref="C1828">IFERROR(INDEX({"Ridgetop","Other"},MATCH(TRUE,ISNUMBER(SEARCH({"Ridgetop","Other"},A1828)),0)),"")</f>
        <v>Ridgetop</v>
      </c>
      <c r="D1828" t="str" cm="1">
        <f t="array" ref="D1828">IFERROR(INDEX({"Small","Medium","Large"},MATCH(TRUE,ISNUMBER(SEARCH({"Small","Medium","Large"},A1828)),0)),"")</f>
        <v>Small</v>
      </c>
      <c r="E1828" t="str">
        <f t="shared" si="28"/>
        <v>0.200</v>
      </c>
    </row>
    <row r="1829" spans="1:5" x14ac:dyDescent="0.3">
      <c r="A1829" t="s">
        <v>1827</v>
      </c>
      <c r="B1829" t="str" cm="1">
        <f t="array" ref="B1829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hemlock"},A1829)),0)),"")</f>
        <v>Grand/white fir</v>
      </c>
      <c r="C1829" t="str" cm="1">
        <f t="array" ref="C1829">IFERROR(INDEX({"Ridgetop","Other"},MATCH(TRUE,ISNUMBER(SEARCH({"Ridgetop","Other"},A1829)),0)),"")</f>
        <v>Ridgetop</v>
      </c>
      <c r="D1829" t="str" cm="1">
        <f t="array" ref="D1829">IFERROR(INDEX({"Small","Medium","Large"},MATCH(TRUE,ISNUMBER(SEARCH({"Small","Medium","Large"},A1829)),0)),"")</f>
        <v>Medium</v>
      </c>
      <c r="E1829" t="str">
        <f t="shared" si="28"/>
        <v>0.072</v>
      </c>
    </row>
    <row r="1830" spans="1:5" x14ac:dyDescent="0.3">
      <c r="A1830" t="s">
        <v>1828</v>
      </c>
      <c r="B1830" t="str" cm="1">
        <f t="array" ref="B1830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hemlock"},A1830)),0)),"")</f>
        <v>Grand/white fir</v>
      </c>
      <c r="C1830" t="str" cm="1">
        <f t="array" ref="C1830">IFERROR(INDEX({"Ridgetop","Other"},MATCH(TRUE,ISNUMBER(SEARCH({"Ridgetop","Other"},A1830)),0)),"")</f>
        <v>Ridgetop</v>
      </c>
      <c r="D1830" t="str" cm="1">
        <f t="array" ref="D1830">IFERROR(INDEX({"Small","Medium","Large"},MATCH(TRUE,ISNUMBER(SEARCH({"Small","Medium","Large"},A1830)),0)),"")</f>
        <v>Large</v>
      </c>
      <c r="E1830" t="str">
        <f t="shared" si="28"/>
        <v>0.036</v>
      </c>
    </row>
    <row r="1831" spans="1:5" x14ac:dyDescent="0.3">
      <c r="A1831" t="s">
        <v>1829</v>
      </c>
      <c r="B1831" t="str" cm="1">
        <f t="array" ref="B1831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hemlock"},A1831)),0)),"")</f>
        <v>Grand/white fir</v>
      </c>
      <c r="C1831" t="str" cm="1">
        <f t="array" ref="C1831">IFERROR(INDEX({"Ridgetop","Other"},MATCH(TRUE,ISNUMBER(SEARCH({"Ridgetop","Other"},A1831)),0)),"")</f>
        <v>Ridgetop</v>
      </c>
      <c r="D1831" t="str" cm="1">
        <f t="array" ref="D1831">IFERROR(INDEX({"Small","Medium","Large"},MATCH(TRUE,ISNUMBER(SEARCH({"Small","Medium","Large"},A1831)),0)),"")</f>
        <v>Small</v>
      </c>
      <c r="E1831" t="str">
        <f t="shared" si="28"/>
        <v>0.200</v>
      </c>
    </row>
    <row r="1832" spans="1:5" x14ac:dyDescent="0.3">
      <c r="A1832" t="s">
        <v>1830</v>
      </c>
      <c r="B1832" t="str" cm="1">
        <f t="array" ref="B1832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hemlock"},A1832)),0)),"")</f>
        <v>Grand/white fir</v>
      </c>
      <c r="C1832" t="str" cm="1">
        <f t="array" ref="C1832">IFERROR(INDEX({"Ridgetop","Other"},MATCH(TRUE,ISNUMBER(SEARCH({"Ridgetop","Other"},A1832)),0)),"")</f>
        <v>Ridgetop</v>
      </c>
      <c r="D1832" t="str" cm="1">
        <f t="array" ref="D1832">IFERROR(INDEX({"Small","Medium","Large"},MATCH(TRUE,ISNUMBER(SEARCH({"Small","Medium","Large"},A1832)),0)),"")</f>
        <v>Medium</v>
      </c>
      <c r="E1832" t="str">
        <f t="shared" si="28"/>
        <v>0.072</v>
      </c>
    </row>
    <row r="1833" spans="1:5" x14ac:dyDescent="0.3">
      <c r="A1833" t="s">
        <v>1831</v>
      </c>
      <c r="B1833" t="str" cm="1">
        <f t="array" ref="B1833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hemlock"},A1833)),0)),"")</f>
        <v>Grand/white fir</v>
      </c>
      <c r="C1833" t="str" cm="1">
        <f t="array" ref="C1833">IFERROR(INDEX({"Ridgetop","Other"},MATCH(TRUE,ISNUMBER(SEARCH({"Ridgetop","Other"},A1833)),0)),"")</f>
        <v>Ridgetop</v>
      </c>
      <c r="D1833" t="str" cm="1">
        <f t="array" ref="D1833">IFERROR(INDEX({"Small","Medium","Large"},MATCH(TRUE,ISNUMBER(SEARCH({"Small","Medium","Large"},A1833)),0)),"")</f>
        <v>Large</v>
      </c>
      <c r="E1833" t="str">
        <f t="shared" si="28"/>
        <v>0.036</v>
      </c>
    </row>
    <row r="1834" spans="1:5" x14ac:dyDescent="0.3">
      <c r="A1834" t="s">
        <v>1832</v>
      </c>
      <c r="B1834" t="str" cm="1">
        <f t="array" ref="B1834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hemlock"},A1834)),0)),"")</f>
        <v>Grand/white fir</v>
      </c>
      <c r="C1834" t="str" cm="1">
        <f t="array" ref="C1834">IFERROR(INDEX({"Ridgetop","Other"},MATCH(TRUE,ISNUMBER(SEARCH({"Ridgetop","Other"},A1834)),0)),"")</f>
        <v>Ridgetop</v>
      </c>
      <c r="D1834" t="str" cm="1">
        <f t="array" ref="D1834">IFERROR(INDEX({"Small","Medium","Large"},MATCH(TRUE,ISNUMBER(SEARCH({"Small","Medium","Large"},A1834)),0)),"")</f>
        <v>Small</v>
      </c>
      <c r="E1834" t="str">
        <f t="shared" si="28"/>
        <v>0.200</v>
      </c>
    </row>
    <row r="1835" spans="1:5" x14ac:dyDescent="0.3">
      <c r="A1835" t="s">
        <v>1833</v>
      </c>
      <c r="B1835" t="str" cm="1">
        <f t="array" ref="B1835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hemlock"},A1835)),0)),"")</f>
        <v>Grand/white fir</v>
      </c>
      <c r="C1835" t="str" cm="1">
        <f t="array" ref="C1835">IFERROR(INDEX({"Ridgetop","Other"},MATCH(TRUE,ISNUMBER(SEARCH({"Ridgetop","Other"},A1835)),0)),"")</f>
        <v>Ridgetop</v>
      </c>
      <c r="D1835" t="str" cm="1">
        <f t="array" ref="D1835">IFERROR(INDEX({"Small","Medium","Large"},MATCH(TRUE,ISNUMBER(SEARCH({"Small","Medium","Large"},A1835)),0)),"")</f>
        <v>Medium</v>
      </c>
      <c r="E1835" t="str">
        <f t="shared" si="28"/>
        <v>0.072</v>
      </c>
    </row>
    <row r="1836" spans="1:5" x14ac:dyDescent="0.3">
      <c r="A1836" t="s">
        <v>1834</v>
      </c>
      <c r="B1836" t="str" cm="1">
        <f t="array" ref="B1836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hemlock"},A1836)),0)),"")</f>
        <v>Grand/white fir</v>
      </c>
      <c r="C1836" t="str" cm="1">
        <f t="array" ref="C1836">IFERROR(INDEX({"Ridgetop","Other"},MATCH(TRUE,ISNUMBER(SEARCH({"Ridgetop","Other"},A1836)),0)),"")</f>
        <v>Ridgetop</v>
      </c>
      <c r="D1836" t="str" cm="1">
        <f t="array" ref="D1836">IFERROR(INDEX({"Small","Medium","Large"},MATCH(TRUE,ISNUMBER(SEARCH({"Small","Medium","Large"},A1836)),0)),"")</f>
        <v>Large</v>
      </c>
      <c r="E1836" t="str">
        <f t="shared" si="28"/>
        <v>0.036</v>
      </c>
    </row>
    <row r="1837" spans="1:5" x14ac:dyDescent="0.3">
      <c r="A1837" t="s">
        <v>1835</v>
      </c>
      <c r="B1837" t="str" cm="1">
        <f t="array" ref="B1837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hemlock"},A1837)),0)),"")</f>
        <v>Misc hardwoods</v>
      </c>
      <c r="C1837" t="str" cm="1">
        <f t="array" ref="C1837">IFERROR(INDEX({"Ridgetop","Other"},MATCH(TRUE,ISNUMBER(SEARCH({"Ridgetop","Other"},A1837)),0)),"")</f>
        <v>Other</v>
      </c>
      <c r="D1837" t="str" cm="1">
        <f t="array" ref="D1837">IFERROR(INDEX({"Small","Medium","Large"},MATCH(TRUE,ISNUMBER(SEARCH({"Small","Medium","Large"},A1837)),0)),"")</f>
        <v>Small</v>
      </c>
      <c r="E1837" t="str">
        <f t="shared" si="28"/>
        <v>0.106</v>
      </c>
    </row>
    <row r="1838" spans="1:5" x14ac:dyDescent="0.3">
      <c r="A1838" t="s">
        <v>1836</v>
      </c>
      <c r="B1838" t="str" cm="1">
        <f t="array" ref="B1838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hemlock"},A1838)),0)),"")</f>
        <v>Misc hardwoods</v>
      </c>
      <c r="C1838" t="str" cm="1">
        <f t="array" ref="C1838">IFERROR(INDEX({"Ridgetop","Other"},MATCH(TRUE,ISNUMBER(SEARCH({"Ridgetop","Other"},A1838)),0)),"")</f>
        <v>Other</v>
      </c>
      <c r="D1838" t="str" cm="1">
        <f t="array" ref="D1838">IFERROR(INDEX({"Small","Medium","Large"},MATCH(TRUE,ISNUMBER(SEARCH({"Small","Medium","Large"},A1838)),0)),"")</f>
        <v>Medium</v>
      </c>
      <c r="E1838" t="str">
        <f t="shared" si="28"/>
        <v>0.052</v>
      </c>
    </row>
    <row r="1839" spans="1:5" x14ac:dyDescent="0.3">
      <c r="A1839" t="s">
        <v>1837</v>
      </c>
      <c r="B1839" t="str" cm="1">
        <f t="array" ref="B1839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hemlock"},A1839)),0)),"")</f>
        <v>Misc hardwoods</v>
      </c>
      <c r="C1839" t="str" cm="1">
        <f t="array" ref="C1839">IFERROR(INDEX({"Ridgetop","Other"},MATCH(TRUE,ISNUMBER(SEARCH({"Ridgetop","Other"},A1839)),0)),"")</f>
        <v>Other</v>
      </c>
      <c r="D1839" t="str" cm="1">
        <f t="array" ref="D1839">IFERROR(INDEX({"Small","Medium","Large"},MATCH(TRUE,ISNUMBER(SEARCH({"Small","Medium","Large"},A1839)),0)),"")</f>
        <v>Large</v>
      </c>
      <c r="E1839" t="str">
        <f t="shared" si="28"/>
        <v>0.036</v>
      </c>
    </row>
    <row r="1840" spans="1:5" x14ac:dyDescent="0.3">
      <c r="A1840" t="s">
        <v>1838</v>
      </c>
      <c r="B1840" t="str" cm="1">
        <f t="array" ref="B1840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hemlock"},A1840)),0)),"")</f>
        <v>Misc hardwoods</v>
      </c>
      <c r="C1840" t="str" cm="1">
        <f t="array" ref="C1840">IFERROR(INDEX({"Ridgetop","Other"},MATCH(TRUE,ISNUMBER(SEARCH({"Ridgetop","Other"},A1840)),0)),"")</f>
        <v>Other</v>
      </c>
      <c r="D1840" t="str" cm="1">
        <f t="array" ref="D1840">IFERROR(INDEX({"Small","Medium","Large"},MATCH(TRUE,ISNUMBER(SEARCH({"Small","Medium","Large"},A1840)),0)),"")</f>
        <v>Small</v>
      </c>
      <c r="E1840" t="str">
        <f t="shared" si="28"/>
        <v>0.118</v>
      </c>
    </row>
    <row r="1841" spans="1:5" x14ac:dyDescent="0.3">
      <c r="A1841" t="s">
        <v>1839</v>
      </c>
      <c r="B1841" t="str" cm="1">
        <f t="array" ref="B1841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hemlock"},A1841)),0)),"")</f>
        <v>Misc hardwoods</v>
      </c>
      <c r="C1841" t="str" cm="1">
        <f t="array" ref="C1841">IFERROR(INDEX({"Ridgetop","Other"},MATCH(TRUE,ISNUMBER(SEARCH({"Ridgetop","Other"},A1841)),0)),"")</f>
        <v>Other</v>
      </c>
      <c r="D1841" t="str" cm="1">
        <f t="array" ref="D1841">IFERROR(INDEX({"Small","Medium","Large"},MATCH(TRUE,ISNUMBER(SEARCH({"Small","Medium","Large"},A1841)),0)),"")</f>
        <v>Medium</v>
      </c>
      <c r="E1841" t="str">
        <f t="shared" si="28"/>
        <v>0.058</v>
      </c>
    </row>
    <row r="1842" spans="1:5" x14ac:dyDescent="0.3">
      <c r="A1842" t="s">
        <v>1840</v>
      </c>
      <c r="B1842" t="str" cm="1">
        <f t="array" ref="B1842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hemlock"},A1842)),0)),"")</f>
        <v>Misc hardwoods</v>
      </c>
      <c r="C1842" t="str" cm="1">
        <f t="array" ref="C1842">IFERROR(INDEX({"Ridgetop","Other"},MATCH(TRUE,ISNUMBER(SEARCH({"Ridgetop","Other"},A1842)),0)),"")</f>
        <v>Other</v>
      </c>
      <c r="D1842" t="str" cm="1">
        <f t="array" ref="D1842">IFERROR(INDEX({"Small","Medium","Large"},MATCH(TRUE,ISNUMBER(SEARCH({"Small","Medium","Large"},A1842)),0)),"")</f>
        <v>Large</v>
      </c>
      <c r="E1842" t="str">
        <f t="shared" si="28"/>
        <v>0.040</v>
      </c>
    </row>
    <row r="1843" spans="1:5" x14ac:dyDescent="0.3">
      <c r="A1843" t="s">
        <v>1841</v>
      </c>
      <c r="B1843" t="str" cm="1">
        <f t="array" ref="B1843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hemlock"},A1843)),0)),"")</f>
        <v>Misc hardwoods</v>
      </c>
      <c r="C1843" t="str" cm="1">
        <f t="array" ref="C1843">IFERROR(INDEX({"Ridgetop","Other"},MATCH(TRUE,ISNUMBER(SEARCH({"Ridgetop","Other"},A1843)),0)),"")</f>
        <v>Other</v>
      </c>
      <c r="D1843" t="str" cm="1">
        <f t="array" ref="D1843">IFERROR(INDEX({"Small","Medium","Large"},MATCH(TRUE,ISNUMBER(SEARCH({"Small","Medium","Large"},A1843)),0)),"")</f>
        <v>Small</v>
      </c>
      <c r="E1843" t="str">
        <f t="shared" si="28"/>
        <v>0.145</v>
      </c>
    </row>
    <row r="1844" spans="1:5" x14ac:dyDescent="0.3">
      <c r="A1844" t="s">
        <v>1842</v>
      </c>
      <c r="B1844" t="str" cm="1">
        <f t="array" ref="B1844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hemlock"},A1844)),0)),"")</f>
        <v>Misc hardwoods</v>
      </c>
      <c r="C1844" t="str" cm="1">
        <f t="array" ref="C1844">IFERROR(INDEX({"Ridgetop","Other"},MATCH(TRUE,ISNUMBER(SEARCH({"Ridgetop","Other"},A1844)),0)),"")</f>
        <v>Other</v>
      </c>
      <c r="D1844" t="str" cm="1">
        <f t="array" ref="D1844">IFERROR(INDEX({"Small","Medium","Large"},MATCH(TRUE,ISNUMBER(SEARCH({"Small","Medium","Large"},A1844)),0)),"")</f>
        <v>Medium</v>
      </c>
      <c r="E1844" t="str">
        <f t="shared" si="28"/>
        <v>0.071</v>
      </c>
    </row>
    <row r="1845" spans="1:5" x14ac:dyDescent="0.3">
      <c r="A1845" t="s">
        <v>1843</v>
      </c>
      <c r="B1845" t="str" cm="1">
        <f t="array" ref="B1845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hemlock"},A1845)),0)),"")</f>
        <v>Misc hardwoods</v>
      </c>
      <c r="C1845" t="str" cm="1">
        <f t="array" ref="C1845">IFERROR(INDEX({"Ridgetop","Other"},MATCH(TRUE,ISNUMBER(SEARCH({"Ridgetop","Other"},A1845)),0)),"")</f>
        <v>Other</v>
      </c>
      <c r="D1845" t="str" cm="1">
        <f t="array" ref="D1845">IFERROR(INDEX({"Small","Medium","Large"},MATCH(TRUE,ISNUMBER(SEARCH({"Small","Medium","Large"},A1845)),0)),"")</f>
        <v>Large</v>
      </c>
      <c r="E1845" t="str">
        <f t="shared" si="28"/>
        <v>0.049</v>
      </c>
    </row>
    <row r="1846" spans="1:5" x14ac:dyDescent="0.3">
      <c r="A1846" t="s">
        <v>1844</v>
      </c>
      <c r="B1846" t="str" cm="1">
        <f t="array" ref="B1846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hemlock"},A1846)),0)),"")</f>
        <v>Misc hardwoods</v>
      </c>
      <c r="C1846" t="str" cm="1">
        <f t="array" ref="C1846">IFERROR(INDEX({"Ridgetop","Other"},MATCH(TRUE,ISNUMBER(SEARCH({"Ridgetop","Other"},A1846)),0)),"")</f>
        <v>Ridgetop</v>
      </c>
      <c r="D1846" t="str" cm="1">
        <f t="array" ref="D1846">IFERROR(INDEX({"Small","Medium","Large"},MATCH(TRUE,ISNUMBER(SEARCH({"Small","Medium","Large"},A1846)),0)),"")</f>
        <v>Small</v>
      </c>
      <c r="E1846" t="str">
        <f t="shared" si="28"/>
        <v>0.188</v>
      </c>
    </row>
    <row r="1847" spans="1:5" x14ac:dyDescent="0.3">
      <c r="A1847" t="s">
        <v>1845</v>
      </c>
      <c r="B1847" t="str" cm="1">
        <f t="array" ref="B1847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hemlock"},A1847)),0)),"")</f>
        <v>Misc hardwoods</v>
      </c>
      <c r="C1847" t="str" cm="1">
        <f t="array" ref="C1847">IFERROR(INDEX({"Ridgetop","Other"},MATCH(TRUE,ISNUMBER(SEARCH({"Ridgetop","Other"},A1847)),0)),"")</f>
        <v>Ridgetop</v>
      </c>
      <c r="D1847" t="str" cm="1">
        <f t="array" ref="D1847">IFERROR(INDEX({"Small","Medium","Large"},MATCH(TRUE,ISNUMBER(SEARCH({"Small","Medium","Large"},A1847)),0)),"")</f>
        <v>Medium</v>
      </c>
      <c r="E1847" t="str">
        <f t="shared" si="28"/>
        <v>0.091</v>
      </c>
    </row>
    <row r="1848" spans="1:5" x14ac:dyDescent="0.3">
      <c r="A1848" t="s">
        <v>1846</v>
      </c>
      <c r="B1848" t="str" cm="1">
        <f t="array" ref="B1848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hemlock"},A1848)),0)),"")</f>
        <v>Misc hardwoods</v>
      </c>
      <c r="C1848" t="str" cm="1">
        <f t="array" ref="C1848">IFERROR(INDEX({"Ridgetop","Other"},MATCH(TRUE,ISNUMBER(SEARCH({"Ridgetop","Other"},A1848)),0)),"")</f>
        <v>Ridgetop</v>
      </c>
      <c r="D1848" t="str" cm="1">
        <f t="array" ref="D1848">IFERROR(INDEX({"Small","Medium","Large"},MATCH(TRUE,ISNUMBER(SEARCH({"Small","Medium","Large"},A1848)),0)),"")</f>
        <v>Large</v>
      </c>
      <c r="E1848" t="str">
        <f t="shared" si="28"/>
        <v>0.064</v>
      </c>
    </row>
    <row r="1849" spans="1:5" x14ac:dyDescent="0.3">
      <c r="A1849" t="s">
        <v>1847</v>
      </c>
      <c r="B1849" t="str" cm="1">
        <f t="array" ref="B1849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hemlock"},A1849)),0)),"")</f>
        <v>Misc hardwoods</v>
      </c>
      <c r="C1849" t="str" cm="1">
        <f t="array" ref="C1849">IFERROR(INDEX({"Ridgetop","Other"},MATCH(TRUE,ISNUMBER(SEARCH({"Ridgetop","Other"},A1849)),0)),"")</f>
        <v>Ridgetop</v>
      </c>
      <c r="D1849" t="str" cm="1">
        <f t="array" ref="D1849">IFERROR(INDEX({"Small","Medium","Large"},MATCH(TRUE,ISNUMBER(SEARCH({"Small","Medium","Large"},A1849)),0)),"")</f>
        <v>Small</v>
      </c>
      <c r="E1849" t="str">
        <f t="shared" si="28"/>
        <v>0.194</v>
      </c>
    </row>
    <row r="1850" spans="1:5" x14ac:dyDescent="0.3">
      <c r="A1850" t="s">
        <v>1848</v>
      </c>
      <c r="B1850" t="str" cm="1">
        <f t="array" ref="B1850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hemlock"},A1850)),0)),"")</f>
        <v>Misc hardwoods</v>
      </c>
      <c r="C1850" t="str" cm="1">
        <f t="array" ref="C1850">IFERROR(INDEX({"Ridgetop","Other"},MATCH(TRUE,ISNUMBER(SEARCH({"Ridgetop","Other"},A1850)),0)),"")</f>
        <v>Ridgetop</v>
      </c>
      <c r="D1850" t="str" cm="1">
        <f t="array" ref="D1850">IFERROR(INDEX({"Small","Medium","Large"},MATCH(TRUE,ISNUMBER(SEARCH({"Small","Medium","Large"},A1850)),0)),"")</f>
        <v>Medium</v>
      </c>
      <c r="E1850" t="str">
        <f t="shared" si="28"/>
        <v>0.094</v>
      </c>
    </row>
    <row r="1851" spans="1:5" x14ac:dyDescent="0.3">
      <c r="A1851" t="s">
        <v>1849</v>
      </c>
      <c r="B1851" t="str" cm="1">
        <f t="array" ref="B1851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hemlock"},A1851)),0)),"")</f>
        <v>Misc hardwoods</v>
      </c>
      <c r="C1851" t="str" cm="1">
        <f t="array" ref="C1851">IFERROR(INDEX({"Ridgetop","Other"},MATCH(TRUE,ISNUMBER(SEARCH({"Ridgetop","Other"},A1851)),0)),"")</f>
        <v>Ridgetop</v>
      </c>
      <c r="D1851" t="str" cm="1">
        <f t="array" ref="D1851">IFERROR(INDEX({"Small","Medium","Large"},MATCH(TRUE,ISNUMBER(SEARCH({"Small","Medium","Large"},A1851)),0)),"")</f>
        <v>Large</v>
      </c>
      <c r="E1851" t="str">
        <f t="shared" si="28"/>
        <v>0.066</v>
      </c>
    </row>
    <row r="1852" spans="1:5" x14ac:dyDescent="0.3">
      <c r="A1852" t="s">
        <v>1850</v>
      </c>
      <c r="B1852" t="str" cm="1">
        <f t="array" ref="B1852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hemlock"},A1852)),0)),"")</f>
        <v>Misc hardwoods</v>
      </c>
      <c r="C1852" t="str" cm="1">
        <f t="array" ref="C1852">IFERROR(INDEX({"Ridgetop","Other"},MATCH(TRUE,ISNUMBER(SEARCH({"Ridgetop","Other"},A1852)),0)),"")</f>
        <v>Ridgetop</v>
      </c>
      <c r="D1852" t="str" cm="1">
        <f t="array" ref="D1852">IFERROR(INDEX({"Small","Medium","Large"},MATCH(TRUE,ISNUMBER(SEARCH({"Small","Medium","Large"},A1852)),0)),"")</f>
        <v>Small</v>
      </c>
      <c r="E1852" t="str">
        <f t="shared" si="28"/>
        <v>0.206</v>
      </c>
    </row>
    <row r="1853" spans="1:5" x14ac:dyDescent="0.3">
      <c r="A1853" t="s">
        <v>1851</v>
      </c>
      <c r="B1853" t="str" cm="1">
        <f t="array" ref="B1853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hemlock"},A1853)),0)),"")</f>
        <v>Misc hardwoods</v>
      </c>
      <c r="C1853" t="str" cm="1">
        <f t="array" ref="C1853">IFERROR(INDEX({"Ridgetop","Other"},MATCH(TRUE,ISNUMBER(SEARCH({"Ridgetop","Other"},A1853)),0)),"")</f>
        <v>Ridgetop</v>
      </c>
      <c r="D1853" t="str" cm="1">
        <f t="array" ref="D1853">IFERROR(INDEX({"Small","Medium","Large"},MATCH(TRUE,ISNUMBER(SEARCH({"Small","Medium","Large"},A1853)),0)),"")</f>
        <v>Medium</v>
      </c>
      <c r="E1853" t="str">
        <f t="shared" si="28"/>
        <v>0.100</v>
      </c>
    </row>
    <row r="1854" spans="1:5" x14ac:dyDescent="0.3">
      <c r="A1854" t="s">
        <v>1852</v>
      </c>
      <c r="B1854" t="str" cm="1">
        <f t="array" ref="B1854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hemlock"},A1854)),0)),"")</f>
        <v>Misc hardwoods</v>
      </c>
      <c r="C1854" t="str" cm="1">
        <f t="array" ref="C1854">IFERROR(INDEX({"Ridgetop","Other"},MATCH(TRUE,ISNUMBER(SEARCH({"Ridgetop","Other"},A1854)),0)),"")</f>
        <v>Ridgetop</v>
      </c>
      <c r="D1854" t="str" cm="1">
        <f t="array" ref="D1854">IFERROR(INDEX({"Small","Medium","Large"},MATCH(TRUE,ISNUMBER(SEARCH({"Small","Medium","Large"},A1854)),0)),"")</f>
        <v>Large</v>
      </c>
      <c r="E1854" t="str">
        <f t="shared" si="28"/>
        <v>0.070</v>
      </c>
    </row>
    <row r="1855" spans="1:5" x14ac:dyDescent="0.3">
      <c r="A1855" t="s">
        <v>1853</v>
      </c>
      <c r="B1855" t="str" cm="1">
        <f t="array" ref="B1855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hemlock"},A1855)),0)),"")</f>
        <v>Misc hardwoods</v>
      </c>
      <c r="C1855" t="str" cm="1">
        <f t="array" ref="C1855">IFERROR(INDEX({"Ridgetop","Other"},MATCH(TRUE,ISNUMBER(SEARCH({"Ridgetop","Other"},A1855)),0)),"")</f>
        <v>Other</v>
      </c>
      <c r="D1855" t="str" cm="1">
        <f t="array" ref="D1855">IFERROR(INDEX({"Small","Medium","Large"},MATCH(TRUE,ISNUMBER(SEARCH({"Small","Medium","Large"},A1855)),0)),"")</f>
        <v>Small</v>
      </c>
      <c r="E1855" t="str">
        <f t="shared" si="28"/>
        <v>0.133</v>
      </c>
    </row>
    <row r="1856" spans="1:5" x14ac:dyDescent="0.3">
      <c r="A1856" t="s">
        <v>1854</v>
      </c>
      <c r="B1856" t="str" cm="1">
        <f t="array" ref="B1856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hemlock"},A1856)),0)),"")</f>
        <v>Misc hardwoods</v>
      </c>
      <c r="C1856" t="str" cm="1">
        <f t="array" ref="C1856">IFERROR(INDEX({"Ridgetop","Other"},MATCH(TRUE,ISNUMBER(SEARCH({"Ridgetop","Other"},A1856)),0)),"")</f>
        <v>Other</v>
      </c>
      <c r="D1856" t="str" cm="1">
        <f t="array" ref="D1856">IFERROR(INDEX({"Small","Medium","Large"},MATCH(TRUE,ISNUMBER(SEARCH({"Small","Medium","Large"},A1856)),0)),"")</f>
        <v>Medium</v>
      </c>
      <c r="E1856" t="str">
        <f t="shared" si="28"/>
        <v>0.065</v>
      </c>
    </row>
    <row r="1857" spans="1:5" x14ac:dyDescent="0.3">
      <c r="A1857" t="s">
        <v>1855</v>
      </c>
      <c r="B1857" t="str" cm="1">
        <f t="array" ref="B1857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hemlock"},A1857)),0)),"")</f>
        <v>Misc hardwoods</v>
      </c>
      <c r="C1857" t="str" cm="1">
        <f t="array" ref="C1857">IFERROR(INDEX({"Ridgetop","Other"},MATCH(TRUE,ISNUMBER(SEARCH({"Ridgetop","Other"},A1857)),0)),"")</f>
        <v>Other</v>
      </c>
      <c r="D1857" t="str" cm="1">
        <f t="array" ref="D1857">IFERROR(INDEX({"Small","Medium","Large"},MATCH(TRUE,ISNUMBER(SEARCH({"Small","Medium","Large"},A1857)),0)),"")</f>
        <v>Large</v>
      </c>
      <c r="E1857" t="str">
        <f t="shared" si="28"/>
        <v>0.045</v>
      </c>
    </row>
    <row r="1858" spans="1:5" x14ac:dyDescent="0.3">
      <c r="A1858" t="s">
        <v>1856</v>
      </c>
      <c r="B1858" t="str" cm="1">
        <f t="array" ref="B1858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hemlock"},A1858)),0)),"")</f>
        <v>Misc hardwoods</v>
      </c>
      <c r="C1858" t="str" cm="1">
        <f t="array" ref="C1858">IFERROR(INDEX({"Ridgetop","Other"},MATCH(TRUE,ISNUMBER(SEARCH({"Ridgetop","Other"},A1858)),0)),"")</f>
        <v>Other</v>
      </c>
      <c r="D1858" t="str" cm="1">
        <f t="array" ref="D1858">IFERROR(INDEX({"Small","Medium","Large"},MATCH(TRUE,ISNUMBER(SEARCH({"Small","Medium","Large"},A1858)),0)),"")</f>
        <v>Small</v>
      </c>
      <c r="E1858" t="str">
        <f t="shared" si="28"/>
        <v>0.145</v>
      </c>
    </row>
    <row r="1859" spans="1:5" x14ac:dyDescent="0.3">
      <c r="A1859" t="s">
        <v>1857</v>
      </c>
      <c r="B1859" t="str" cm="1">
        <f t="array" ref="B1859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hemlock"},A1859)),0)),"")</f>
        <v>Misc hardwoods</v>
      </c>
      <c r="C1859" t="str" cm="1">
        <f t="array" ref="C1859">IFERROR(INDEX({"Ridgetop","Other"},MATCH(TRUE,ISNUMBER(SEARCH({"Ridgetop","Other"},A1859)),0)),"")</f>
        <v>Other</v>
      </c>
      <c r="D1859" t="str" cm="1">
        <f t="array" ref="D1859">IFERROR(INDEX({"Small","Medium","Large"},MATCH(TRUE,ISNUMBER(SEARCH({"Small","Medium","Large"},A1859)),0)),"")</f>
        <v>Medium</v>
      </c>
      <c r="E1859" t="str">
        <f t="shared" ref="E1859:E1922" si="29">RIGHT(A1859,LEN(A1859)-FIND("@",SUBSTITUTE(A1859," ","@",LEN(A1859)-LEN(SUBSTITUTE(A1859," ","")))))</f>
        <v>0.071</v>
      </c>
    </row>
    <row r="1860" spans="1:5" x14ac:dyDescent="0.3">
      <c r="A1860" t="s">
        <v>1858</v>
      </c>
      <c r="B1860" t="str" cm="1">
        <f t="array" ref="B1860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hemlock"},A1860)),0)),"")</f>
        <v>Misc hardwoods</v>
      </c>
      <c r="C1860" t="str" cm="1">
        <f t="array" ref="C1860">IFERROR(INDEX({"Ridgetop","Other"},MATCH(TRUE,ISNUMBER(SEARCH({"Ridgetop","Other"},A1860)),0)),"")</f>
        <v>Other</v>
      </c>
      <c r="D1860" t="str" cm="1">
        <f t="array" ref="D1860">IFERROR(INDEX({"Small","Medium","Large"},MATCH(TRUE,ISNUMBER(SEARCH({"Small","Medium","Large"},A1860)),0)),"")</f>
        <v>Large</v>
      </c>
      <c r="E1860" t="str">
        <f t="shared" si="29"/>
        <v>0.049</v>
      </c>
    </row>
    <row r="1861" spans="1:5" x14ac:dyDescent="0.3">
      <c r="A1861" t="s">
        <v>1859</v>
      </c>
      <c r="B1861" t="str" cm="1">
        <f t="array" ref="B1861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hemlock"},A1861)),0)),"")</f>
        <v>Misc hardwoods</v>
      </c>
      <c r="C1861" t="str" cm="1">
        <f t="array" ref="C1861">IFERROR(INDEX({"Ridgetop","Other"},MATCH(TRUE,ISNUMBER(SEARCH({"Ridgetop","Other"},A1861)),0)),"")</f>
        <v>Other</v>
      </c>
      <c r="D1861" t="str" cm="1">
        <f t="array" ref="D1861">IFERROR(INDEX({"Small","Medium","Large"},MATCH(TRUE,ISNUMBER(SEARCH({"Small","Medium","Large"},A1861)),0)),"")</f>
        <v>Small</v>
      </c>
      <c r="E1861" t="str">
        <f t="shared" si="29"/>
        <v>0.145</v>
      </c>
    </row>
    <row r="1862" spans="1:5" x14ac:dyDescent="0.3">
      <c r="A1862" t="s">
        <v>1860</v>
      </c>
      <c r="B1862" t="str" cm="1">
        <f t="array" ref="B1862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hemlock"},A1862)),0)),"")</f>
        <v>Misc hardwoods</v>
      </c>
      <c r="C1862" t="str" cm="1">
        <f t="array" ref="C1862">IFERROR(INDEX({"Ridgetop","Other"},MATCH(TRUE,ISNUMBER(SEARCH({"Ridgetop","Other"},A1862)),0)),"")</f>
        <v>Other</v>
      </c>
      <c r="D1862" t="str" cm="1">
        <f t="array" ref="D1862">IFERROR(INDEX({"Small","Medium","Large"},MATCH(TRUE,ISNUMBER(SEARCH({"Small","Medium","Large"},A1862)),0)),"")</f>
        <v>Medium</v>
      </c>
      <c r="E1862" t="str">
        <f t="shared" si="29"/>
        <v>0.071</v>
      </c>
    </row>
    <row r="1863" spans="1:5" x14ac:dyDescent="0.3">
      <c r="A1863" t="s">
        <v>1861</v>
      </c>
      <c r="B1863" t="str" cm="1">
        <f t="array" ref="B1863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hemlock"},A1863)),0)),"")</f>
        <v>Misc hardwoods</v>
      </c>
      <c r="C1863" t="str" cm="1">
        <f t="array" ref="C1863">IFERROR(INDEX({"Ridgetop","Other"},MATCH(TRUE,ISNUMBER(SEARCH({"Ridgetop","Other"},A1863)),0)),"")</f>
        <v>Other</v>
      </c>
      <c r="D1863" t="str" cm="1">
        <f t="array" ref="D1863">IFERROR(INDEX({"Small","Medium","Large"},MATCH(TRUE,ISNUMBER(SEARCH({"Small","Medium","Large"},A1863)),0)),"")</f>
        <v>Large</v>
      </c>
      <c r="E1863" t="str">
        <f t="shared" si="29"/>
        <v>0.049</v>
      </c>
    </row>
    <row r="1864" spans="1:5" x14ac:dyDescent="0.3">
      <c r="A1864" t="s">
        <v>1862</v>
      </c>
      <c r="B1864" t="str" cm="1">
        <f t="array" ref="B1864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hemlock"},A1864)),0)),"")</f>
        <v>Misc hardwoods</v>
      </c>
      <c r="C1864" t="str" cm="1">
        <f t="array" ref="C1864">IFERROR(INDEX({"Ridgetop","Other"},MATCH(TRUE,ISNUMBER(SEARCH({"Ridgetop","Other"},A1864)),0)),"")</f>
        <v>Ridgetop</v>
      </c>
      <c r="D1864" t="str" cm="1">
        <f t="array" ref="D1864">IFERROR(INDEX({"Small","Medium","Large"},MATCH(TRUE,ISNUMBER(SEARCH({"Small","Medium","Large"},A1864)),0)),"")</f>
        <v>Small</v>
      </c>
      <c r="E1864" t="str">
        <f t="shared" si="29"/>
        <v>0.242</v>
      </c>
    </row>
    <row r="1865" spans="1:5" x14ac:dyDescent="0.3">
      <c r="A1865" t="s">
        <v>1863</v>
      </c>
      <c r="B1865" t="str" cm="1">
        <f t="array" ref="B1865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hemlock"},A1865)),0)),"")</f>
        <v>Misc hardwoods</v>
      </c>
      <c r="C1865" t="str" cm="1">
        <f t="array" ref="C1865">IFERROR(INDEX({"Ridgetop","Other"},MATCH(TRUE,ISNUMBER(SEARCH({"Ridgetop","Other"},A1865)),0)),"")</f>
        <v>Ridgetop</v>
      </c>
      <c r="D1865" t="str" cm="1">
        <f t="array" ref="D1865">IFERROR(INDEX({"Small","Medium","Large"},MATCH(TRUE,ISNUMBER(SEARCH({"Small","Medium","Large"},A1865)),0)),"")</f>
        <v>Medium</v>
      </c>
      <c r="E1865" t="str">
        <f t="shared" si="29"/>
        <v>0.118</v>
      </c>
    </row>
    <row r="1866" spans="1:5" x14ac:dyDescent="0.3">
      <c r="A1866" t="s">
        <v>1864</v>
      </c>
      <c r="B1866" t="str" cm="1">
        <f t="array" ref="B1866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hemlock"},A1866)),0)),"")</f>
        <v>Misc hardwoods</v>
      </c>
      <c r="C1866" t="str" cm="1">
        <f t="array" ref="C1866">IFERROR(INDEX({"Ridgetop","Other"},MATCH(TRUE,ISNUMBER(SEARCH({"Ridgetop","Other"},A1866)),0)),"")</f>
        <v>Ridgetop</v>
      </c>
      <c r="D1866" t="str" cm="1">
        <f t="array" ref="D1866">IFERROR(INDEX({"Small","Medium","Large"},MATCH(TRUE,ISNUMBER(SEARCH({"Small","Medium","Large"},A1866)),0)),"")</f>
        <v>Large</v>
      </c>
      <c r="E1866" t="str">
        <f t="shared" si="29"/>
        <v>0.082</v>
      </c>
    </row>
    <row r="1867" spans="1:5" x14ac:dyDescent="0.3">
      <c r="A1867" t="s">
        <v>1865</v>
      </c>
      <c r="B1867" t="str" cm="1">
        <f t="array" ref="B1867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hemlock"},A1867)),0)),"")</f>
        <v>Misc hardwoods</v>
      </c>
      <c r="C1867" t="str" cm="1">
        <f t="array" ref="C1867">IFERROR(INDEX({"Ridgetop","Other"},MATCH(TRUE,ISNUMBER(SEARCH({"Ridgetop","Other"},A1867)),0)),"")</f>
        <v>Ridgetop</v>
      </c>
      <c r="D1867" t="str" cm="1">
        <f t="array" ref="D1867">IFERROR(INDEX({"Small","Medium","Large"},MATCH(TRUE,ISNUMBER(SEARCH({"Small","Medium","Large"},A1867)),0)),"")</f>
        <v>Small</v>
      </c>
      <c r="E1867" t="str">
        <f t="shared" si="29"/>
        <v>0.242</v>
      </c>
    </row>
    <row r="1868" spans="1:5" x14ac:dyDescent="0.3">
      <c r="A1868" t="s">
        <v>1866</v>
      </c>
      <c r="B1868" t="str" cm="1">
        <f t="array" ref="B1868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hemlock"},A1868)),0)),"")</f>
        <v>Misc hardwoods</v>
      </c>
      <c r="C1868" t="str" cm="1">
        <f t="array" ref="C1868">IFERROR(INDEX({"Ridgetop","Other"},MATCH(TRUE,ISNUMBER(SEARCH({"Ridgetop","Other"},A1868)),0)),"")</f>
        <v>Ridgetop</v>
      </c>
      <c r="D1868" t="str" cm="1">
        <f t="array" ref="D1868">IFERROR(INDEX({"Small","Medium","Large"},MATCH(TRUE,ISNUMBER(SEARCH({"Small","Medium","Large"},A1868)),0)),"")</f>
        <v>Medium</v>
      </c>
      <c r="E1868" t="str">
        <f t="shared" si="29"/>
        <v>0.118</v>
      </c>
    </row>
    <row r="1869" spans="1:5" x14ac:dyDescent="0.3">
      <c r="A1869" t="s">
        <v>1867</v>
      </c>
      <c r="B1869" t="str" cm="1">
        <f t="array" ref="B1869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hemlock"},A1869)),0)),"")</f>
        <v>Misc hardwoods</v>
      </c>
      <c r="C1869" t="str" cm="1">
        <f t="array" ref="C1869">IFERROR(INDEX({"Ridgetop","Other"},MATCH(TRUE,ISNUMBER(SEARCH({"Ridgetop","Other"},A1869)),0)),"")</f>
        <v>Ridgetop</v>
      </c>
      <c r="D1869" t="str" cm="1">
        <f t="array" ref="D1869">IFERROR(INDEX({"Small","Medium","Large"},MATCH(TRUE,ISNUMBER(SEARCH({"Small","Medium","Large"},A1869)),0)),"")</f>
        <v>Large</v>
      </c>
      <c r="E1869" t="str">
        <f t="shared" si="29"/>
        <v>0.082</v>
      </c>
    </row>
    <row r="1870" spans="1:5" x14ac:dyDescent="0.3">
      <c r="A1870" t="s">
        <v>1868</v>
      </c>
      <c r="B1870" t="str" cm="1">
        <f t="array" ref="B1870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hemlock"},A1870)),0)),"")</f>
        <v>Misc hardwoods</v>
      </c>
      <c r="C1870" t="str" cm="1">
        <f t="array" ref="C1870">IFERROR(INDEX({"Ridgetop","Other"},MATCH(TRUE,ISNUMBER(SEARCH({"Ridgetop","Other"},A1870)),0)),"")</f>
        <v>Ridgetop</v>
      </c>
      <c r="D1870" t="str" cm="1">
        <f t="array" ref="D1870">IFERROR(INDEX({"Small","Medium","Large"},MATCH(TRUE,ISNUMBER(SEARCH({"Small","Medium","Large"},A1870)),0)),"")</f>
        <v>Small</v>
      </c>
      <c r="E1870" t="str">
        <f t="shared" si="29"/>
        <v>0.242</v>
      </c>
    </row>
    <row r="1871" spans="1:5" x14ac:dyDescent="0.3">
      <c r="A1871" t="s">
        <v>1869</v>
      </c>
      <c r="B1871" t="str" cm="1">
        <f t="array" ref="B1871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hemlock"},A1871)),0)),"")</f>
        <v>Misc hardwoods</v>
      </c>
      <c r="C1871" t="str" cm="1">
        <f t="array" ref="C1871">IFERROR(INDEX({"Ridgetop","Other"},MATCH(TRUE,ISNUMBER(SEARCH({"Ridgetop","Other"},A1871)),0)),"")</f>
        <v>Ridgetop</v>
      </c>
      <c r="D1871" t="str" cm="1">
        <f t="array" ref="D1871">IFERROR(INDEX({"Small","Medium","Large"},MATCH(TRUE,ISNUMBER(SEARCH({"Small","Medium","Large"},A1871)),0)),"")</f>
        <v>Medium</v>
      </c>
      <c r="E1871" t="str">
        <f t="shared" si="29"/>
        <v>0.118</v>
      </c>
    </row>
    <row r="1872" spans="1:5" x14ac:dyDescent="0.3">
      <c r="A1872" t="s">
        <v>1870</v>
      </c>
      <c r="B1872" t="str" cm="1">
        <f t="array" ref="B1872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hemlock"},A1872)),0)),"")</f>
        <v>Misc hardwoods</v>
      </c>
      <c r="C1872" t="str" cm="1">
        <f t="array" ref="C1872">IFERROR(INDEX({"Ridgetop","Other"},MATCH(TRUE,ISNUMBER(SEARCH({"Ridgetop","Other"},A1872)),0)),"")</f>
        <v>Ridgetop</v>
      </c>
      <c r="D1872" t="str" cm="1">
        <f t="array" ref="D1872">IFERROR(INDEX({"Small","Medium","Large"},MATCH(TRUE,ISNUMBER(SEARCH({"Small","Medium","Large"},A1872)),0)),"")</f>
        <v>Large</v>
      </c>
      <c r="E1872" t="str">
        <f t="shared" si="29"/>
        <v>0.082</v>
      </c>
    </row>
    <row r="1873" spans="1:5" x14ac:dyDescent="0.3">
      <c r="A1873" t="s">
        <v>1871</v>
      </c>
      <c r="B1873" t="str" cm="1">
        <f t="array" ref="B1873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hemlock"},A1873)),0)),"")</f>
        <v>Misc hardwoods</v>
      </c>
      <c r="C1873" t="str" cm="1">
        <f t="array" ref="C1873">IFERROR(INDEX({"Ridgetop","Other"},MATCH(TRUE,ISNUMBER(SEARCH({"Ridgetop","Other"},A1873)),0)),"")</f>
        <v>Other</v>
      </c>
      <c r="D1873" t="str" cm="1">
        <f t="array" ref="D1873">IFERROR(INDEX({"Small","Medium","Large"},MATCH(TRUE,ISNUMBER(SEARCH({"Small","Medium","Large"},A1873)),0)),"")</f>
        <v>Small</v>
      </c>
      <c r="E1873" t="str">
        <f t="shared" si="29"/>
        <v>0.109</v>
      </c>
    </row>
    <row r="1874" spans="1:5" x14ac:dyDescent="0.3">
      <c r="A1874" t="s">
        <v>1872</v>
      </c>
      <c r="B1874" t="str" cm="1">
        <f t="array" ref="B1874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hemlock"},A1874)),0)),"")</f>
        <v>Misc hardwoods</v>
      </c>
      <c r="C1874" t="str" cm="1">
        <f t="array" ref="C1874">IFERROR(INDEX({"Ridgetop","Other"},MATCH(TRUE,ISNUMBER(SEARCH({"Ridgetop","Other"},A1874)),0)),"")</f>
        <v>Other</v>
      </c>
      <c r="D1874" t="str" cm="1">
        <f t="array" ref="D1874">IFERROR(INDEX({"Small","Medium","Large"},MATCH(TRUE,ISNUMBER(SEARCH({"Small","Medium","Large"},A1874)),0)),"")</f>
        <v>Medium</v>
      </c>
      <c r="E1874" t="str">
        <f t="shared" si="29"/>
        <v>0.053</v>
      </c>
    </row>
    <row r="1875" spans="1:5" x14ac:dyDescent="0.3">
      <c r="A1875" t="s">
        <v>1873</v>
      </c>
      <c r="B1875" t="str" cm="1">
        <f t="array" ref="B1875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hemlock"},A1875)),0)),"")</f>
        <v>Misc hardwoods</v>
      </c>
      <c r="C1875" t="str" cm="1">
        <f t="array" ref="C1875">IFERROR(INDEX({"Ridgetop","Other"},MATCH(TRUE,ISNUMBER(SEARCH({"Ridgetop","Other"},A1875)),0)),"")</f>
        <v>Other</v>
      </c>
      <c r="D1875" t="str" cm="1">
        <f t="array" ref="D1875">IFERROR(INDEX({"Small","Medium","Large"},MATCH(TRUE,ISNUMBER(SEARCH({"Small","Medium","Large"},A1875)),0)),"")</f>
        <v>Large</v>
      </c>
      <c r="E1875" t="str">
        <f t="shared" si="29"/>
        <v>0.037</v>
      </c>
    </row>
    <row r="1876" spans="1:5" x14ac:dyDescent="0.3">
      <c r="A1876" t="s">
        <v>1874</v>
      </c>
      <c r="B1876" t="str" cm="1">
        <f t="array" ref="B1876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hemlock"},A1876)),0)),"")</f>
        <v>Misc hardwoods</v>
      </c>
      <c r="C1876" t="str" cm="1">
        <f t="array" ref="C1876">IFERROR(INDEX({"Ridgetop","Other"},MATCH(TRUE,ISNUMBER(SEARCH({"Ridgetop","Other"},A1876)),0)),"")</f>
        <v>Other</v>
      </c>
      <c r="D1876" t="str" cm="1">
        <f t="array" ref="D1876">IFERROR(INDEX({"Small","Medium","Large"},MATCH(TRUE,ISNUMBER(SEARCH({"Small","Medium","Large"},A1876)),0)),"")</f>
        <v>Small</v>
      </c>
      <c r="E1876" t="str">
        <f t="shared" si="29"/>
        <v>0.121</v>
      </c>
    </row>
    <row r="1877" spans="1:5" x14ac:dyDescent="0.3">
      <c r="A1877" t="s">
        <v>1875</v>
      </c>
      <c r="B1877" t="str" cm="1">
        <f t="array" ref="B1877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hemlock"},A1877)),0)),"")</f>
        <v>Misc hardwoods</v>
      </c>
      <c r="C1877" t="str" cm="1">
        <f t="array" ref="C1877">IFERROR(INDEX({"Ridgetop","Other"},MATCH(TRUE,ISNUMBER(SEARCH({"Ridgetop","Other"},A1877)),0)),"")</f>
        <v>Other</v>
      </c>
      <c r="D1877" t="str" cm="1">
        <f t="array" ref="D1877">IFERROR(INDEX({"Small","Medium","Large"},MATCH(TRUE,ISNUMBER(SEARCH({"Small","Medium","Large"},A1877)),0)),"")</f>
        <v>Medium</v>
      </c>
      <c r="E1877" t="str">
        <f t="shared" si="29"/>
        <v>0.059</v>
      </c>
    </row>
    <row r="1878" spans="1:5" x14ac:dyDescent="0.3">
      <c r="A1878" t="s">
        <v>1876</v>
      </c>
      <c r="B1878" t="str" cm="1">
        <f t="array" ref="B1878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hemlock"},A1878)),0)),"")</f>
        <v>Misc hardwoods</v>
      </c>
      <c r="C1878" t="str" cm="1">
        <f t="array" ref="C1878">IFERROR(INDEX({"Ridgetop","Other"},MATCH(TRUE,ISNUMBER(SEARCH({"Ridgetop","Other"},A1878)),0)),"")</f>
        <v>Other</v>
      </c>
      <c r="D1878" t="str" cm="1">
        <f t="array" ref="D1878">IFERROR(INDEX({"Small","Medium","Large"},MATCH(TRUE,ISNUMBER(SEARCH({"Small","Medium","Large"},A1878)),0)),"")</f>
        <v>Large</v>
      </c>
      <c r="E1878" t="str">
        <f t="shared" si="29"/>
        <v>0.041</v>
      </c>
    </row>
    <row r="1879" spans="1:5" x14ac:dyDescent="0.3">
      <c r="A1879" t="s">
        <v>1877</v>
      </c>
      <c r="B1879" t="str" cm="1">
        <f t="array" ref="B1879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hemlock"},A1879)),0)),"")</f>
        <v>Misc hardwoods</v>
      </c>
      <c r="C1879" t="str" cm="1">
        <f t="array" ref="C1879">IFERROR(INDEX({"Ridgetop","Other"},MATCH(TRUE,ISNUMBER(SEARCH({"Ridgetop","Other"},A1879)),0)),"")</f>
        <v>Other</v>
      </c>
      <c r="D1879" t="str" cm="1">
        <f t="array" ref="D1879">IFERROR(INDEX({"Small","Medium","Large"},MATCH(TRUE,ISNUMBER(SEARCH({"Small","Medium","Large"},A1879)),0)),"")</f>
        <v>Small</v>
      </c>
      <c r="E1879" t="str">
        <f t="shared" si="29"/>
        <v>0.145</v>
      </c>
    </row>
    <row r="1880" spans="1:5" x14ac:dyDescent="0.3">
      <c r="A1880" t="s">
        <v>1878</v>
      </c>
      <c r="B1880" t="str" cm="1">
        <f t="array" ref="B1880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hemlock"},A1880)),0)),"")</f>
        <v>Misc hardwoods</v>
      </c>
      <c r="C1880" t="str" cm="1">
        <f t="array" ref="C1880">IFERROR(INDEX({"Ridgetop","Other"},MATCH(TRUE,ISNUMBER(SEARCH({"Ridgetop","Other"},A1880)),0)),"")</f>
        <v>Other</v>
      </c>
      <c r="D1880" t="str" cm="1">
        <f t="array" ref="D1880">IFERROR(INDEX({"Small","Medium","Large"},MATCH(TRUE,ISNUMBER(SEARCH({"Small","Medium","Large"},A1880)),0)),"")</f>
        <v>Medium</v>
      </c>
      <c r="E1880" t="str">
        <f t="shared" si="29"/>
        <v>0.071</v>
      </c>
    </row>
    <row r="1881" spans="1:5" x14ac:dyDescent="0.3">
      <c r="A1881" t="s">
        <v>1879</v>
      </c>
      <c r="B1881" t="str" cm="1">
        <f t="array" ref="B1881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hemlock"},A1881)),0)),"")</f>
        <v>Misc hardwoods</v>
      </c>
      <c r="C1881" t="str" cm="1">
        <f t="array" ref="C1881">IFERROR(INDEX({"Ridgetop","Other"},MATCH(TRUE,ISNUMBER(SEARCH({"Ridgetop","Other"},A1881)),0)),"")</f>
        <v>Other</v>
      </c>
      <c r="D1881" t="str" cm="1">
        <f t="array" ref="D1881">IFERROR(INDEX({"Small","Medium","Large"},MATCH(TRUE,ISNUMBER(SEARCH({"Small","Medium","Large"},A1881)),0)),"")</f>
        <v>Large</v>
      </c>
      <c r="E1881" t="str">
        <f t="shared" si="29"/>
        <v>0.049</v>
      </c>
    </row>
    <row r="1882" spans="1:5" x14ac:dyDescent="0.3">
      <c r="A1882" t="s">
        <v>1880</v>
      </c>
      <c r="B1882" t="str" cm="1">
        <f t="array" ref="B1882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hemlock"},A1882)),0)),"")</f>
        <v>Misc hardwoods</v>
      </c>
      <c r="C1882" t="str" cm="1">
        <f t="array" ref="C1882">IFERROR(INDEX({"Ridgetop","Other"},MATCH(TRUE,ISNUMBER(SEARCH({"Ridgetop","Other"},A1882)),0)),"")</f>
        <v>Ridgetop</v>
      </c>
      <c r="D1882" t="str" cm="1">
        <f t="array" ref="D1882">IFERROR(INDEX({"Small","Medium","Large"},MATCH(TRUE,ISNUMBER(SEARCH({"Small","Medium","Large"},A1882)),0)),"")</f>
        <v>Small</v>
      </c>
      <c r="E1882" t="str">
        <f t="shared" si="29"/>
        <v>0.206</v>
      </c>
    </row>
    <row r="1883" spans="1:5" x14ac:dyDescent="0.3">
      <c r="A1883" t="s">
        <v>1881</v>
      </c>
      <c r="B1883" t="str" cm="1">
        <f t="array" ref="B1883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hemlock"},A1883)),0)),"")</f>
        <v>Misc hardwoods</v>
      </c>
      <c r="C1883" t="str" cm="1">
        <f t="array" ref="C1883">IFERROR(INDEX({"Ridgetop","Other"},MATCH(TRUE,ISNUMBER(SEARCH({"Ridgetop","Other"},A1883)),0)),"")</f>
        <v>Ridgetop</v>
      </c>
      <c r="D1883" t="str" cm="1">
        <f t="array" ref="D1883">IFERROR(INDEX({"Small","Medium","Large"},MATCH(TRUE,ISNUMBER(SEARCH({"Small","Medium","Large"},A1883)),0)),"")</f>
        <v>Medium</v>
      </c>
      <c r="E1883" t="str">
        <f t="shared" si="29"/>
        <v>0.100</v>
      </c>
    </row>
    <row r="1884" spans="1:5" x14ac:dyDescent="0.3">
      <c r="A1884" t="s">
        <v>1882</v>
      </c>
      <c r="B1884" t="str" cm="1">
        <f t="array" ref="B1884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hemlock"},A1884)),0)),"")</f>
        <v>Misc hardwoods</v>
      </c>
      <c r="C1884" t="str" cm="1">
        <f t="array" ref="C1884">IFERROR(INDEX({"Ridgetop","Other"},MATCH(TRUE,ISNUMBER(SEARCH({"Ridgetop","Other"},A1884)),0)),"")</f>
        <v>Ridgetop</v>
      </c>
      <c r="D1884" t="str" cm="1">
        <f t="array" ref="D1884">IFERROR(INDEX({"Small","Medium","Large"},MATCH(TRUE,ISNUMBER(SEARCH({"Small","Medium","Large"},A1884)),0)),"")</f>
        <v>Large</v>
      </c>
      <c r="E1884" t="str">
        <f t="shared" si="29"/>
        <v>0.070</v>
      </c>
    </row>
    <row r="1885" spans="1:5" x14ac:dyDescent="0.3">
      <c r="A1885" t="s">
        <v>1883</v>
      </c>
      <c r="B1885" t="str" cm="1">
        <f t="array" ref="B1885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hemlock"},A1885)),0)),"")</f>
        <v>Misc hardwoods</v>
      </c>
      <c r="C1885" t="str" cm="1">
        <f t="array" ref="C1885">IFERROR(INDEX({"Ridgetop","Other"},MATCH(TRUE,ISNUMBER(SEARCH({"Ridgetop","Other"},A1885)),0)),"")</f>
        <v>Ridgetop</v>
      </c>
      <c r="D1885" t="str" cm="1">
        <f t="array" ref="D1885">IFERROR(INDEX({"Small","Medium","Large"},MATCH(TRUE,ISNUMBER(SEARCH({"Small","Medium","Large"},A1885)),0)),"")</f>
        <v>Small</v>
      </c>
      <c r="E1885" t="str">
        <f t="shared" si="29"/>
        <v>0.206</v>
      </c>
    </row>
    <row r="1886" spans="1:5" x14ac:dyDescent="0.3">
      <c r="A1886" t="s">
        <v>1884</v>
      </c>
      <c r="B1886" t="str" cm="1">
        <f t="array" ref="B1886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hemlock"},A1886)),0)),"")</f>
        <v>Misc hardwoods</v>
      </c>
      <c r="C1886" t="str" cm="1">
        <f t="array" ref="C1886">IFERROR(INDEX({"Ridgetop","Other"},MATCH(TRUE,ISNUMBER(SEARCH({"Ridgetop","Other"},A1886)),0)),"")</f>
        <v>Ridgetop</v>
      </c>
      <c r="D1886" t="str" cm="1">
        <f t="array" ref="D1886">IFERROR(INDEX({"Small","Medium","Large"},MATCH(TRUE,ISNUMBER(SEARCH({"Small","Medium","Large"},A1886)),0)),"")</f>
        <v>Medium</v>
      </c>
      <c r="E1886" t="str">
        <f t="shared" si="29"/>
        <v>0.100</v>
      </c>
    </row>
    <row r="1887" spans="1:5" x14ac:dyDescent="0.3">
      <c r="A1887" t="s">
        <v>1885</v>
      </c>
      <c r="B1887" t="str" cm="1">
        <f t="array" ref="B1887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hemlock"},A1887)),0)),"")</f>
        <v>Misc hardwoods</v>
      </c>
      <c r="C1887" t="str" cm="1">
        <f t="array" ref="C1887">IFERROR(INDEX({"Ridgetop","Other"},MATCH(TRUE,ISNUMBER(SEARCH({"Ridgetop","Other"},A1887)),0)),"")</f>
        <v>Ridgetop</v>
      </c>
      <c r="D1887" t="str" cm="1">
        <f t="array" ref="D1887">IFERROR(INDEX({"Small","Medium","Large"},MATCH(TRUE,ISNUMBER(SEARCH({"Small","Medium","Large"},A1887)),0)),"")</f>
        <v>Large</v>
      </c>
      <c r="E1887" t="str">
        <f t="shared" si="29"/>
        <v>0.070</v>
      </c>
    </row>
    <row r="1888" spans="1:5" x14ac:dyDescent="0.3">
      <c r="A1888" t="s">
        <v>1886</v>
      </c>
      <c r="B1888" t="str" cm="1">
        <f t="array" ref="B1888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hemlock"},A1888)),0)),"")</f>
        <v>Misc hardwoods</v>
      </c>
      <c r="C1888" t="str" cm="1">
        <f t="array" ref="C1888">IFERROR(INDEX({"Ridgetop","Other"},MATCH(TRUE,ISNUMBER(SEARCH({"Ridgetop","Other"},A1888)),0)),"")</f>
        <v>Ridgetop</v>
      </c>
      <c r="D1888" t="str" cm="1">
        <f t="array" ref="D1888">IFERROR(INDEX({"Small","Medium","Large"},MATCH(TRUE,ISNUMBER(SEARCH({"Small","Medium","Large"},A1888)),0)),"")</f>
        <v>Small</v>
      </c>
      <c r="E1888" t="str">
        <f t="shared" si="29"/>
        <v>0.218</v>
      </c>
    </row>
    <row r="1889" spans="1:5" x14ac:dyDescent="0.3">
      <c r="A1889" t="s">
        <v>1887</v>
      </c>
      <c r="B1889" t="str" cm="1">
        <f t="array" ref="B1889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hemlock"},A1889)),0)),"")</f>
        <v>Misc hardwoods</v>
      </c>
      <c r="C1889" t="str" cm="1">
        <f t="array" ref="C1889">IFERROR(INDEX({"Ridgetop","Other"},MATCH(TRUE,ISNUMBER(SEARCH({"Ridgetop","Other"},A1889)),0)),"")</f>
        <v>Ridgetop</v>
      </c>
      <c r="D1889" t="str" cm="1">
        <f t="array" ref="D1889">IFERROR(INDEX({"Small","Medium","Large"},MATCH(TRUE,ISNUMBER(SEARCH({"Small","Medium","Large"},A1889)),0)),"")</f>
        <v>Medium</v>
      </c>
      <c r="E1889" t="str">
        <f t="shared" si="29"/>
        <v>0.106</v>
      </c>
    </row>
    <row r="1890" spans="1:5" x14ac:dyDescent="0.3">
      <c r="A1890" t="s">
        <v>1888</v>
      </c>
      <c r="B1890" t="str" cm="1">
        <f t="array" ref="B1890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hemlock"},A1890)),0)),"")</f>
        <v>Misc hardwoods</v>
      </c>
      <c r="C1890" t="str" cm="1">
        <f t="array" ref="C1890">IFERROR(INDEX({"Ridgetop","Other"},MATCH(TRUE,ISNUMBER(SEARCH({"Ridgetop","Other"},A1890)),0)),"")</f>
        <v>Ridgetop</v>
      </c>
      <c r="D1890" t="str" cm="1">
        <f t="array" ref="D1890">IFERROR(INDEX({"Small","Medium","Large"},MATCH(TRUE,ISNUMBER(SEARCH({"Small","Medium","Large"},A1890)),0)),"")</f>
        <v>Large</v>
      </c>
      <c r="E1890" t="str">
        <f t="shared" si="29"/>
        <v>0.074</v>
      </c>
    </row>
    <row r="1891" spans="1:5" x14ac:dyDescent="0.3">
      <c r="A1891" t="s">
        <v>1889</v>
      </c>
      <c r="B1891" t="str" cm="1">
        <f t="array" ref="B1891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hemlock"},A1891)),0)),"")</f>
        <v>Misc hardwoods</v>
      </c>
      <c r="C1891" t="str" cm="1">
        <f t="array" ref="C1891">IFERROR(INDEX({"Ridgetop","Other"},MATCH(TRUE,ISNUMBER(SEARCH({"Ridgetop","Other"},A1891)),0)),"")</f>
        <v>Other</v>
      </c>
      <c r="D1891" t="str" cm="1">
        <f t="array" ref="D1891">IFERROR(INDEX({"Small","Medium","Large"},MATCH(TRUE,ISNUMBER(SEARCH({"Small","Medium","Large"},A1891)),0)),"")</f>
        <v>Small</v>
      </c>
      <c r="E1891" t="str">
        <f t="shared" si="29"/>
        <v>0.133</v>
      </c>
    </row>
    <row r="1892" spans="1:5" x14ac:dyDescent="0.3">
      <c r="A1892" t="s">
        <v>1890</v>
      </c>
      <c r="B1892" t="str" cm="1">
        <f t="array" ref="B1892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hemlock"},A1892)),0)),"")</f>
        <v>Misc hardwoods</v>
      </c>
      <c r="C1892" t="str" cm="1">
        <f t="array" ref="C1892">IFERROR(INDEX({"Ridgetop","Other"},MATCH(TRUE,ISNUMBER(SEARCH({"Ridgetop","Other"},A1892)),0)),"")</f>
        <v>Other</v>
      </c>
      <c r="D1892" t="str" cm="1">
        <f t="array" ref="D1892">IFERROR(INDEX({"Small","Medium","Large"},MATCH(TRUE,ISNUMBER(SEARCH({"Small","Medium","Large"},A1892)),0)),"")</f>
        <v>Medium</v>
      </c>
      <c r="E1892" t="str">
        <f t="shared" si="29"/>
        <v>0.065</v>
      </c>
    </row>
    <row r="1893" spans="1:5" x14ac:dyDescent="0.3">
      <c r="A1893" t="s">
        <v>1891</v>
      </c>
      <c r="B1893" t="str" cm="1">
        <f t="array" ref="B1893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hemlock"},A1893)),0)),"")</f>
        <v>Misc hardwoods</v>
      </c>
      <c r="C1893" t="str" cm="1">
        <f t="array" ref="C1893">IFERROR(INDEX({"Ridgetop","Other"},MATCH(TRUE,ISNUMBER(SEARCH({"Ridgetop","Other"},A1893)),0)),"")</f>
        <v>Other</v>
      </c>
      <c r="D1893" t="str" cm="1">
        <f t="array" ref="D1893">IFERROR(INDEX({"Small","Medium","Large"},MATCH(TRUE,ISNUMBER(SEARCH({"Small","Medium","Large"},A1893)),0)),"")</f>
        <v>Large</v>
      </c>
      <c r="E1893" t="str">
        <f t="shared" si="29"/>
        <v>0.045</v>
      </c>
    </row>
    <row r="1894" spans="1:5" x14ac:dyDescent="0.3">
      <c r="A1894" t="s">
        <v>1892</v>
      </c>
      <c r="B1894" t="str" cm="1">
        <f t="array" ref="B1894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hemlock"},A1894)),0)),"")</f>
        <v>Misc hardwoods</v>
      </c>
      <c r="C1894" t="str" cm="1">
        <f t="array" ref="C1894">IFERROR(INDEX({"Ridgetop","Other"},MATCH(TRUE,ISNUMBER(SEARCH({"Ridgetop","Other"},A1894)),0)),"")</f>
        <v>Other</v>
      </c>
      <c r="D1894" t="str" cm="1">
        <f t="array" ref="D1894">IFERROR(INDEX({"Small","Medium","Large"},MATCH(TRUE,ISNUMBER(SEARCH({"Small","Medium","Large"},A1894)),0)),"")</f>
        <v>Small</v>
      </c>
      <c r="E1894" t="str">
        <f t="shared" si="29"/>
        <v>0.145</v>
      </c>
    </row>
    <row r="1895" spans="1:5" x14ac:dyDescent="0.3">
      <c r="A1895" t="s">
        <v>1893</v>
      </c>
      <c r="B1895" t="str" cm="1">
        <f t="array" ref="B1895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hemlock"},A1895)),0)),"")</f>
        <v>Misc hardwoods</v>
      </c>
      <c r="C1895" t="str" cm="1">
        <f t="array" ref="C1895">IFERROR(INDEX({"Ridgetop","Other"},MATCH(TRUE,ISNUMBER(SEARCH({"Ridgetop","Other"},A1895)),0)),"")</f>
        <v>Other</v>
      </c>
      <c r="D1895" t="str" cm="1">
        <f t="array" ref="D1895">IFERROR(INDEX({"Small","Medium","Large"},MATCH(TRUE,ISNUMBER(SEARCH({"Small","Medium","Large"},A1895)),0)),"")</f>
        <v>Medium</v>
      </c>
      <c r="E1895" t="str">
        <f t="shared" si="29"/>
        <v>0.071</v>
      </c>
    </row>
    <row r="1896" spans="1:5" x14ac:dyDescent="0.3">
      <c r="A1896" t="s">
        <v>1894</v>
      </c>
      <c r="B1896" t="str" cm="1">
        <f t="array" ref="B1896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hemlock"},A1896)),0)),"")</f>
        <v>Misc hardwoods</v>
      </c>
      <c r="C1896" t="str" cm="1">
        <f t="array" ref="C1896">IFERROR(INDEX({"Ridgetop","Other"},MATCH(TRUE,ISNUMBER(SEARCH({"Ridgetop","Other"},A1896)),0)),"")</f>
        <v>Other</v>
      </c>
      <c r="D1896" t="str" cm="1">
        <f t="array" ref="D1896">IFERROR(INDEX({"Small","Medium","Large"},MATCH(TRUE,ISNUMBER(SEARCH({"Small","Medium","Large"},A1896)),0)),"")</f>
        <v>Large</v>
      </c>
      <c r="E1896" t="str">
        <f t="shared" si="29"/>
        <v>0.049</v>
      </c>
    </row>
    <row r="1897" spans="1:5" x14ac:dyDescent="0.3">
      <c r="A1897" t="s">
        <v>1895</v>
      </c>
      <c r="B1897" t="str" cm="1">
        <f t="array" ref="B1897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hemlock"},A1897)),0)),"")</f>
        <v>Misc hardwoods</v>
      </c>
      <c r="C1897" t="str" cm="1">
        <f t="array" ref="C1897">IFERROR(INDEX({"Ridgetop","Other"},MATCH(TRUE,ISNUMBER(SEARCH({"Ridgetop","Other"},A1897)),0)),"")</f>
        <v>Other</v>
      </c>
      <c r="D1897" t="str" cm="1">
        <f t="array" ref="D1897">IFERROR(INDEX({"Small","Medium","Large"},MATCH(TRUE,ISNUMBER(SEARCH({"Small","Medium","Large"},A1897)),0)),"")</f>
        <v>Small</v>
      </c>
      <c r="E1897" t="str">
        <f t="shared" si="29"/>
        <v>0.145</v>
      </c>
    </row>
    <row r="1898" spans="1:5" x14ac:dyDescent="0.3">
      <c r="A1898" t="s">
        <v>1896</v>
      </c>
      <c r="B1898" t="str" cm="1">
        <f t="array" ref="B1898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hemlock"},A1898)),0)),"")</f>
        <v>Misc hardwoods</v>
      </c>
      <c r="C1898" t="str" cm="1">
        <f t="array" ref="C1898">IFERROR(INDEX({"Ridgetop","Other"},MATCH(TRUE,ISNUMBER(SEARCH({"Ridgetop","Other"},A1898)),0)),"")</f>
        <v>Other</v>
      </c>
      <c r="D1898" t="str" cm="1">
        <f t="array" ref="D1898">IFERROR(INDEX({"Small","Medium","Large"},MATCH(TRUE,ISNUMBER(SEARCH({"Small","Medium","Large"},A1898)),0)),"")</f>
        <v>Medium</v>
      </c>
      <c r="E1898" t="str">
        <f t="shared" si="29"/>
        <v>0.071</v>
      </c>
    </row>
    <row r="1899" spans="1:5" x14ac:dyDescent="0.3">
      <c r="A1899" t="s">
        <v>1897</v>
      </c>
      <c r="B1899" t="str" cm="1">
        <f t="array" ref="B1899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hemlock"},A1899)),0)),"")</f>
        <v>Misc hardwoods</v>
      </c>
      <c r="C1899" t="str" cm="1">
        <f t="array" ref="C1899">IFERROR(INDEX({"Ridgetop","Other"},MATCH(TRUE,ISNUMBER(SEARCH({"Ridgetop","Other"},A1899)),0)),"")</f>
        <v>Other</v>
      </c>
      <c r="D1899" t="str" cm="1">
        <f t="array" ref="D1899">IFERROR(INDEX({"Small","Medium","Large"},MATCH(TRUE,ISNUMBER(SEARCH({"Small","Medium","Large"},A1899)),0)),"")</f>
        <v>Large</v>
      </c>
      <c r="E1899" t="str">
        <f t="shared" si="29"/>
        <v>0.049</v>
      </c>
    </row>
    <row r="1900" spans="1:5" x14ac:dyDescent="0.3">
      <c r="A1900" t="s">
        <v>1898</v>
      </c>
      <c r="B1900" t="str" cm="1">
        <f t="array" ref="B1900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hemlock"},A1900)),0)),"")</f>
        <v>Misc hardwoods</v>
      </c>
      <c r="C1900" t="str" cm="1">
        <f t="array" ref="C1900">IFERROR(INDEX({"Ridgetop","Other"},MATCH(TRUE,ISNUMBER(SEARCH({"Ridgetop","Other"},A1900)),0)),"")</f>
        <v>Ridgetop</v>
      </c>
      <c r="D1900" t="str" cm="1">
        <f t="array" ref="D1900">IFERROR(INDEX({"Small","Medium","Large"},MATCH(TRUE,ISNUMBER(SEARCH({"Small","Medium","Large"},A1900)),0)),"")</f>
        <v>Small</v>
      </c>
      <c r="E1900" t="str">
        <f t="shared" si="29"/>
        <v>0.242</v>
      </c>
    </row>
    <row r="1901" spans="1:5" x14ac:dyDescent="0.3">
      <c r="A1901" t="s">
        <v>1899</v>
      </c>
      <c r="B1901" t="str" cm="1">
        <f t="array" ref="B1901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hemlock"},A1901)),0)),"")</f>
        <v>Misc hardwoods</v>
      </c>
      <c r="C1901" t="str" cm="1">
        <f t="array" ref="C1901">IFERROR(INDEX({"Ridgetop","Other"},MATCH(TRUE,ISNUMBER(SEARCH({"Ridgetop","Other"},A1901)),0)),"")</f>
        <v>Ridgetop</v>
      </c>
      <c r="D1901" t="str" cm="1">
        <f t="array" ref="D1901">IFERROR(INDEX({"Small","Medium","Large"},MATCH(TRUE,ISNUMBER(SEARCH({"Small","Medium","Large"},A1901)),0)),"")</f>
        <v>Medium</v>
      </c>
      <c r="E1901" t="str">
        <f t="shared" si="29"/>
        <v>0.118</v>
      </c>
    </row>
    <row r="1902" spans="1:5" x14ac:dyDescent="0.3">
      <c r="A1902" t="s">
        <v>1900</v>
      </c>
      <c r="B1902" t="str" cm="1">
        <f t="array" ref="B1902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hemlock"},A1902)),0)),"")</f>
        <v>Misc hardwoods</v>
      </c>
      <c r="C1902" t="str" cm="1">
        <f t="array" ref="C1902">IFERROR(INDEX({"Ridgetop","Other"},MATCH(TRUE,ISNUMBER(SEARCH({"Ridgetop","Other"},A1902)),0)),"")</f>
        <v>Ridgetop</v>
      </c>
      <c r="D1902" t="str" cm="1">
        <f t="array" ref="D1902">IFERROR(INDEX({"Small","Medium","Large"},MATCH(TRUE,ISNUMBER(SEARCH({"Small","Medium","Large"},A1902)),0)),"")</f>
        <v>Large</v>
      </c>
      <c r="E1902" t="str">
        <f t="shared" si="29"/>
        <v>0.082</v>
      </c>
    </row>
    <row r="1903" spans="1:5" x14ac:dyDescent="0.3">
      <c r="A1903" t="s">
        <v>1901</v>
      </c>
      <c r="B1903" t="str" cm="1">
        <f t="array" ref="B1903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hemlock"},A1903)),0)),"")</f>
        <v>Misc hardwoods</v>
      </c>
      <c r="C1903" t="str" cm="1">
        <f t="array" ref="C1903">IFERROR(INDEX({"Ridgetop","Other"},MATCH(TRUE,ISNUMBER(SEARCH({"Ridgetop","Other"},A1903)),0)),"")</f>
        <v>Ridgetop</v>
      </c>
      <c r="D1903" t="str" cm="1">
        <f t="array" ref="D1903">IFERROR(INDEX({"Small","Medium","Large"},MATCH(TRUE,ISNUMBER(SEARCH({"Small","Medium","Large"},A1903)),0)),"")</f>
        <v>Small</v>
      </c>
      <c r="E1903" t="str">
        <f t="shared" si="29"/>
        <v>0.242</v>
      </c>
    </row>
    <row r="1904" spans="1:5" x14ac:dyDescent="0.3">
      <c r="A1904" t="s">
        <v>1902</v>
      </c>
      <c r="B1904" t="str" cm="1">
        <f t="array" ref="B1904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hemlock"},A1904)),0)),"")</f>
        <v>Misc hardwoods</v>
      </c>
      <c r="C1904" t="str" cm="1">
        <f t="array" ref="C1904">IFERROR(INDEX({"Ridgetop","Other"},MATCH(TRUE,ISNUMBER(SEARCH({"Ridgetop","Other"},A1904)),0)),"")</f>
        <v>Ridgetop</v>
      </c>
      <c r="D1904" t="str" cm="1">
        <f t="array" ref="D1904">IFERROR(INDEX({"Small","Medium","Large"},MATCH(TRUE,ISNUMBER(SEARCH({"Small","Medium","Large"},A1904)),0)),"")</f>
        <v>Medium</v>
      </c>
      <c r="E1904" t="str">
        <f t="shared" si="29"/>
        <v>0.118</v>
      </c>
    </row>
    <row r="1905" spans="1:5" x14ac:dyDescent="0.3">
      <c r="A1905" t="s">
        <v>1903</v>
      </c>
      <c r="B1905" t="str" cm="1">
        <f t="array" ref="B1905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hemlock"},A1905)),0)),"")</f>
        <v>Misc hardwoods</v>
      </c>
      <c r="C1905" t="str" cm="1">
        <f t="array" ref="C1905">IFERROR(INDEX({"Ridgetop","Other"},MATCH(TRUE,ISNUMBER(SEARCH({"Ridgetop","Other"},A1905)),0)),"")</f>
        <v>Ridgetop</v>
      </c>
      <c r="D1905" t="str" cm="1">
        <f t="array" ref="D1905">IFERROR(INDEX({"Small","Medium","Large"},MATCH(TRUE,ISNUMBER(SEARCH({"Small","Medium","Large"},A1905)),0)),"")</f>
        <v>Large</v>
      </c>
      <c r="E1905" t="str">
        <f t="shared" si="29"/>
        <v>0.082</v>
      </c>
    </row>
    <row r="1906" spans="1:5" x14ac:dyDescent="0.3">
      <c r="A1906" t="s">
        <v>1904</v>
      </c>
      <c r="B1906" t="str" cm="1">
        <f t="array" ref="B1906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hemlock"},A1906)),0)),"")</f>
        <v>Misc hardwoods</v>
      </c>
      <c r="C1906" t="str" cm="1">
        <f t="array" ref="C1906">IFERROR(INDEX({"Ridgetop","Other"},MATCH(TRUE,ISNUMBER(SEARCH({"Ridgetop","Other"},A1906)),0)),"")</f>
        <v>Ridgetop</v>
      </c>
      <c r="D1906" t="str" cm="1">
        <f t="array" ref="D1906">IFERROR(INDEX({"Small","Medium","Large"},MATCH(TRUE,ISNUMBER(SEARCH({"Small","Medium","Large"},A1906)),0)),"")</f>
        <v>Small</v>
      </c>
      <c r="E1906" t="str">
        <f t="shared" si="29"/>
        <v>0.242</v>
      </c>
    </row>
    <row r="1907" spans="1:5" x14ac:dyDescent="0.3">
      <c r="A1907" t="s">
        <v>1905</v>
      </c>
      <c r="B1907" t="str" cm="1">
        <f t="array" ref="B1907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hemlock"},A1907)),0)),"")</f>
        <v>Misc hardwoods</v>
      </c>
      <c r="C1907" t="str" cm="1">
        <f t="array" ref="C1907">IFERROR(INDEX({"Ridgetop","Other"},MATCH(TRUE,ISNUMBER(SEARCH({"Ridgetop","Other"},A1907)),0)),"")</f>
        <v>Ridgetop</v>
      </c>
      <c r="D1907" t="str" cm="1">
        <f t="array" ref="D1907">IFERROR(INDEX({"Small","Medium","Large"},MATCH(TRUE,ISNUMBER(SEARCH({"Small","Medium","Large"},A1907)),0)),"")</f>
        <v>Medium</v>
      </c>
      <c r="E1907" t="str">
        <f t="shared" si="29"/>
        <v>0.118</v>
      </c>
    </row>
    <row r="1908" spans="1:5" x14ac:dyDescent="0.3">
      <c r="A1908" t="s">
        <v>1906</v>
      </c>
      <c r="B1908" t="str" cm="1">
        <f t="array" ref="B1908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hemlock"},A1908)),0)),"")</f>
        <v>Misc hardwoods</v>
      </c>
      <c r="C1908" t="str" cm="1">
        <f t="array" ref="C1908">IFERROR(INDEX({"Ridgetop","Other"},MATCH(TRUE,ISNUMBER(SEARCH({"Ridgetop","Other"},A1908)),0)),"")</f>
        <v>Ridgetop</v>
      </c>
      <c r="D1908" t="str" cm="1">
        <f t="array" ref="D1908">IFERROR(INDEX({"Small","Medium","Large"},MATCH(TRUE,ISNUMBER(SEARCH({"Small","Medium","Large"},A1908)),0)),"")</f>
        <v>Large</v>
      </c>
      <c r="E1908" t="str">
        <f t="shared" si="29"/>
        <v>0.082</v>
      </c>
    </row>
    <row r="1909" spans="1:5" x14ac:dyDescent="0.3">
      <c r="A1909" t="s">
        <v>1907</v>
      </c>
      <c r="B1909" t="str" cm="1">
        <f t="array" ref="B1909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hemlock"},A1909)),0)),"")</f>
        <v>Misc hardwoods</v>
      </c>
      <c r="C1909" t="str" cm="1">
        <f t="array" ref="C1909">IFERROR(INDEX({"Ridgetop","Other"},MATCH(TRUE,ISNUMBER(SEARCH({"Ridgetop","Other"},A1909)),0)),"")</f>
        <v>Other</v>
      </c>
      <c r="D1909" t="str" cm="1">
        <f t="array" ref="D1909">IFERROR(INDEX({"Small","Medium","Large"},MATCH(TRUE,ISNUMBER(SEARCH({"Small","Medium","Large"},A1909)),0)),"")</f>
        <v>Small</v>
      </c>
      <c r="E1909" t="str">
        <f t="shared" si="29"/>
        <v>0.118</v>
      </c>
    </row>
    <row r="1910" spans="1:5" x14ac:dyDescent="0.3">
      <c r="A1910" t="s">
        <v>1908</v>
      </c>
      <c r="B1910" t="str" cm="1">
        <f t="array" ref="B1910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hemlock"},A1910)),0)),"")</f>
        <v>Misc hardwoods</v>
      </c>
      <c r="C1910" t="str" cm="1">
        <f t="array" ref="C1910">IFERROR(INDEX({"Ridgetop","Other"},MATCH(TRUE,ISNUMBER(SEARCH({"Ridgetop","Other"},A1910)),0)),"")</f>
        <v>Other</v>
      </c>
      <c r="D1910" t="str" cm="1">
        <f t="array" ref="D1910">IFERROR(INDEX({"Small","Medium","Large"},MATCH(TRUE,ISNUMBER(SEARCH({"Small","Medium","Large"},A1910)),0)),"")</f>
        <v>Medium</v>
      </c>
      <c r="E1910" t="str">
        <f t="shared" si="29"/>
        <v>0.058</v>
      </c>
    </row>
    <row r="1911" spans="1:5" x14ac:dyDescent="0.3">
      <c r="A1911" t="s">
        <v>1909</v>
      </c>
      <c r="B1911" t="str" cm="1">
        <f t="array" ref="B1911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hemlock"},A1911)),0)),"")</f>
        <v>Misc hardwoods</v>
      </c>
      <c r="C1911" t="str" cm="1">
        <f t="array" ref="C1911">IFERROR(INDEX({"Ridgetop","Other"},MATCH(TRUE,ISNUMBER(SEARCH({"Ridgetop","Other"},A1911)),0)),"")</f>
        <v>Other</v>
      </c>
      <c r="D1911" t="str" cm="1">
        <f t="array" ref="D1911">IFERROR(INDEX({"Small","Medium","Large"},MATCH(TRUE,ISNUMBER(SEARCH({"Small","Medium","Large"},A1911)),0)),"")</f>
        <v>Large</v>
      </c>
      <c r="E1911" t="str">
        <f t="shared" si="29"/>
        <v>0.040</v>
      </c>
    </row>
    <row r="1912" spans="1:5" x14ac:dyDescent="0.3">
      <c r="A1912" t="s">
        <v>1910</v>
      </c>
      <c r="B1912" t="str" cm="1">
        <f t="array" ref="B1912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hemlock"},A1912)),0)),"")</f>
        <v>Misc hardwoods</v>
      </c>
      <c r="C1912" t="str" cm="1">
        <f t="array" ref="C1912">IFERROR(INDEX({"Ridgetop","Other"},MATCH(TRUE,ISNUMBER(SEARCH({"Ridgetop","Other"},A1912)),0)),"")</f>
        <v>Other</v>
      </c>
      <c r="D1912" t="str" cm="1">
        <f t="array" ref="D1912">IFERROR(INDEX({"Small","Medium","Large"},MATCH(TRUE,ISNUMBER(SEARCH({"Small","Medium","Large"},A1912)),0)),"")</f>
        <v>Small</v>
      </c>
      <c r="E1912" t="str">
        <f t="shared" si="29"/>
        <v>0.133</v>
      </c>
    </row>
    <row r="1913" spans="1:5" x14ac:dyDescent="0.3">
      <c r="A1913" t="s">
        <v>1911</v>
      </c>
      <c r="B1913" t="str" cm="1">
        <f t="array" ref="B1913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hemlock"},A1913)),0)),"")</f>
        <v>Misc hardwoods</v>
      </c>
      <c r="C1913" t="str" cm="1">
        <f t="array" ref="C1913">IFERROR(INDEX({"Ridgetop","Other"},MATCH(TRUE,ISNUMBER(SEARCH({"Ridgetop","Other"},A1913)),0)),"")</f>
        <v>Other</v>
      </c>
      <c r="D1913" t="str" cm="1">
        <f t="array" ref="D1913">IFERROR(INDEX({"Small","Medium","Large"},MATCH(TRUE,ISNUMBER(SEARCH({"Small","Medium","Large"},A1913)),0)),"")</f>
        <v>Medium</v>
      </c>
      <c r="E1913" t="str">
        <f t="shared" si="29"/>
        <v>0.065</v>
      </c>
    </row>
    <row r="1914" spans="1:5" x14ac:dyDescent="0.3">
      <c r="A1914" t="s">
        <v>1912</v>
      </c>
      <c r="B1914" t="str" cm="1">
        <f t="array" ref="B1914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hemlock"},A1914)),0)),"")</f>
        <v>Misc hardwoods</v>
      </c>
      <c r="C1914" t="str" cm="1">
        <f t="array" ref="C1914">IFERROR(INDEX({"Ridgetop","Other"},MATCH(TRUE,ISNUMBER(SEARCH({"Ridgetop","Other"},A1914)),0)),"")</f>
        <v>Other</v>
      </c>
      <c r="D1914" t="str" cm="1">
        <f t="array" ref="D1914">IFERROR(INDEX({"Small","Medium","Large"},MATCH(TRUE,ISNUMBER(SEARCH({"Small","Medium","Large"},A1914)),0)),"")</f>
        <v>Large</v>
      </c>
      <c r="E1914" t="str">
        <f t="shared" si="29"/>
        <v>0.045</v>
      </c>
    </row>
    <row r="1915" spans="1:5" x14ac:dyDescent="0.3">
      <c r="A1915" t="s">
        <v>1913</v>
      </c>
      <c r="B1915" t="str" cm="1">
        <f t="array" ref="B1915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hemlock"},A1915)),0)),"")</f>
        <v>Misc hardwoods</v>
      </c>
      <c r="C1915" t="str" cm="1">
        <f t="array" ref="C1915">IFERROR(INDEX({"Ridgetop","Other"},MATCH(TRUE,ISNUMBER(SEARCH({"Ridgetop","Other"},A1915)),0)),"")</f>
        <v>Other</v>
      </c>
      <c r="D1915" t="str" cm="1">
        <f t="array" ref="D1915">IFERROR(INDEX({"Small","Medium","Large"},MATCH(TRUE,ISNUMBER(SEARCH({"Small","Medium","Large"},A1915)),0)),"")</f>
        <v>Small</v>
      </c>
      <c r="E1915" t="str">
        <f t="shared" si="29"/>
        <v>0.145</v>
      </c>
    </row>
    <row r="1916" spans="1:5" x14ac:dyDescent="0.3">
      <c r="A1916" t="s">
        <v>1914</v>
      </c>
      <c r="B1916" t="str" cm="1">
        <f t="array" ref="B1916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hemlock"},A1916)),0)),"")</f>
        <v>Misc hardwoods</v>
      </c>
      <c r="C1916" t="str" cm="1">
        <f t="array" ref="C1916">IFERROR(INDEX({"Ridgetop","Other"},MATCH(TRUE,ISNUMBER(SEARCH({"Ridgetop","Other"},A1916)),0)),"")</f>
        <v>Other</v>
      </c>
      <c r="D1916" t="str" cm="1">
        <f t="array" ref="D1916">IFERROR(INDEX({"Small","Medium","Large"},MATCH(TRUE,ISNUMBER(SEARCH({"Small","Medium","Large"},A1916)),0)),"")</f>
        <v>Medium</v>
      </c>
      <c r="E1916" t="str">
        <f t="shared" si="29"/>
        <v>0.071</v>
      </c>
    </row>
    <row r="1917" spans="1:5" x14ac:dyDescent="0.3">
      <c r="A1917" t="s">
        <v>1915</v>
      </c>
      <c r="B1917" t="str" cm="1">
        <f t="array" ref="B1917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hemlock"},A1917)),0)),"")</f>
        <v>Misc hardwoods</v>
      </c>
      <c r="C1917" t="str" cm="1">
        <f t="array" ref="C1917">IFERROR(INDEX({"Ridgetop","Other"},MATCH(TRUE,ISNUMBER(SEARCH({"Ridgetop","Other"},A1917)),0)),"")</f>
        <v>Other</v>
      </c>
      <c r="D1917" t="str" cm="1">
        <f t="array" ref="D1917">IFERROR(INDEX({"Small","Medium","Large"},MATCH(TRUE,ISNUMBER(SEARCH({"Small","Medium","Large"},A1917)),0)),"")</f>
        <v>Large</v>
      </c>
      <c r="E1917" t="str">
        <f t="shared" si="29"/>
        <v>0.049</v>
      </c>
    </row>
    <row r="1918" spans="1:5" x14ac:dyDescent="0.3">
      <c r="A1918" t="s">
        <v>1916</v>
      </c>
      <c r="B1918" t="str" cm="1">
        <f t="array" ref="B1918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hemlock"},A1918)),0)),"")</f>
        <v>Misc hardwoods</v>
      </c>
      <c r="C1918" t="str" cm="1">
        <f t="array" ref="C1918">IFERROR(INDEX({"Ridgetop","Other"},MATCH(TRUE,ISNUMBER(SEARCH({"Ridgetop","Other"},A1918)),0)),"")</f>
        <v>Ridgetop</v>
      </c>
      <c r="D1918" t="str" cm="1">
        <f t="array" ref="D1918">IFERROR(INDEX({"Small","Medium","Large"},MATCH(TRUE,ISNUMBER(SEARCH({"Small","Medium","Large"},A1918)),0)),"")</f>
        <v>Small</v>
      </c>
      <c r="E1918" t="str">
        <f t="shared" si="29"/>
        <v>0.224</v>
      </c>
    </row>
    <row r="1919" spans="1:5" x14ac:dyDescent="0.3">
      <c r="A1919" t="s">
        <v>1917</v>
      </c>
      <c r="B1919" t="str" cm="1">
        <f t="array" ref="B1919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hemlock"},A1919)),0)),"")</f>
        <v>Misc hardwoods</v>
      </c>
      <c r="C1919" t="str" cm="1">
        <f t="array" ref="C1919">IFERROR(INDEX({"Ridgetop","Other"},MATCH(TRUE,ISNUMBER(SEARCH({"Ridgetop","Other"},A1919)),0)),"")</f>
        <v>Ridgetop</v>
      </c>
      <c r="D1919" t="str" cm="1">
        <f t="array" ref="D1919">IFERROR(INDEX({"Small","Medium","Large"},MATCH(TRUE,ISNUMBER(SEARCH({"Small","Medium","Large"},A1919)),0)),"")</f>
        <v>Medium</v>
      </c>
      <c r="E1919" t="str">
        <f t="shared" si="29"/>
        <v>0.109</v>
      </c>
    </row>
    <row r="1920" spans="1:5" x14ac:dyDescent="0.3">
      <c r="A1920" t="s">
        <v>1918</v>
      </c>
      <c r="B1920" t="str" cm="1">
        <f t="array" ref="B1920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hemlock"},A1920)),0)),"")</f>
        <v>Misc hardwoods</v>
      </c>
      <c r="C1920" t="str" cm="1">
        <f t="array" ref="C1920">IFERROR(INDEX({"Ridgetop","Other"},MATCH(TRUE,ISNUMBER(SEARCH({"Ridgetop","Other"},A1920)),0)),"")</f>
        <v>Ridgetop</v>
      </c>
      <c r="D1920" t="str" cm="1">
        <f t="array" ref="D1920">IFERROR(INDEX({"Small","Medium","Large"},MATCH(TRUE,ISNUMBER(SEARCH({"Small","Medium","Large"},A1920)),0)),"")</f>
        <v>Large</v>
      </c>
      <c r="E1920" t="str">
        <f t="shared" si="29"/>
        <v>0.076</v>
      </c>
    </row>
    <row r="1921" spans="1:5" x14ac:dyDescent="0.3">
      <c r="A1921" t="s">
        <v>1919</v>
      </c>
      <c r="B1921" t="str" cm="1">
        <f t="array" ref="B1921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hemlock"},A1921)),0)),"")</f>
        <v>Misc hardwoods</v>
      </c>
      <c r="C1921" t="str" cm="1">
        <f t="array" ref="C1921">IFERROR(INDEX({"Ridgetop","Other"},MATCH(TRUE,ISNUMBER(SEARCH({"Ridgetop","Other"},A1921)),0)),"")</f>
        <v>Ridgetop</v>
      </c>
      <c r="D1921" t="str" cm="1">
        <f t="array" ref="D1921">IFERROR(INDEX({"Small","Medium","Large"},MATCH(TRUE,ISNUMBER(SEARCH({"Small","Medium","Large"},A1921)),0)),"")</f>
        <v>Small</v>
      </c>
      <c r="E1921" t="str">
        <f t="shared" si="29"/>
        <v>0.224</v>
      </c>
    </row>
    <row r="1922" spans="1:5" x14ac:dyDescent="0.3">
      <c r="A1922" t="s">
        <v>1920</v>
      </c>
      <c r="B1922" t="str" cm="1">
        <f t="array" ref="B1922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hemlock"},A1922)),0)),"")</f>
        <v>Misc hardwoods</v>
      </c>
      <c r="C1922" t="str" cm="1">
        <f t="array" ref="C1922">IFERROR(INDEX({"Ridgetop","Other"},MATCH(TRUE,ISNUMBER(SEARCH({"Ridgetop","Other"},A1922)),0)),"")</f>
        <v>Ridgetop</v>
      </c>
      <c r="D1922" t="str" cm="1">
        <f t="array" ref="D1922">IFERROR(INDEX({"Small","Medium","Large"},MATCH(TRUE,ISNUMBER(SEARCH({"Small","Medium","Large"},A1922)),0)),"")</f>
        <v>Medium</v>
      </c>
      <c r="E1922" t="str">
        <f t="shared" si="29"/>
        <v>0.109</v>
      </c>
    </row>
    <row r="1923" spans="1:5" x14ac:dyDescent="0.3">
      <c r="A1923" t="s">
        <v>1921</v>
      </c>
      <c r="B1923" t="str" cm="1">
        <f t="array" ref="B1923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hemlock"},A1923)),0)),"")</f>
        <v>Misc hardwoods</v>
      </c>
      <c r="C1923" t="str" cm="1">
        <f t="array" ref="C1923">IFERROR(INDEX({"Ridgetop","Other"},MATCH(TRUE,ISNUMBER(SEARCH({"Ridgetop","Other"},A1923)),0)),"")</f>
        <v>Ridgetop</v>
      </c>
      <c r="D1923" t="str" cm="1">
        <f t="array" ref="D1923">IFERROR(INDEX({"Small","Medium","Large"},MATCH(TRUE,ISNUMBER(SEARCH({"Small","Medium","Large"},A1923)),0)),"")</f>
        <v>Large</v>
      </c>
      <c r="E1923" t="str">
        <f t="shared" ref="E1923:E1986" si="30">RIGHT(A1923,LEN(A1923)-FIND("@",SUBSTITUTE(A1923," ","@",LEN(A1923)-LEN(SUBSTITUTE(A1923," ","")))))</f>
        <v>0.076</v>
      </c>
    </row>
    <row r="1924" spans="1:5" x14ac:dyDescent="0.3">
      <c r="A1924" t="s">
        <v>1922</v>
      </c>
      <c r="B1924" t="str" cm="1">
        <f t="array" ref="B1924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hemlock"},A1924)),0)),"")</f>
        <v>Misc hardwoods</v>
      </c>
      <c r="C1924" t="str" cm="1">
        <f t="array" ref="C1924">IFERROR(INDEX({"Ridgetop","Other"},MATCH(TRUE,ISNUMBER(SEARCH({"Ridgetop","Other"},A1924)),0)),"")</f>
        <v>Ridgetop</v>
      </c>
      <c r="D1924" t="str" cm="1">
        <f t="array" ref="D1924">IFERROR(INDEX({"Small","Medium","Large"},MATCH(TRUE,ISNUMBER(SEARCH({"Small","Medium","Large"},A1924)),0)),"")</f>
        <v>Small</v>
      </c>
      <c r="E1924" t="str">
        <f t="shared" si="30"/>
        <v>0.230</v>
      </c>
    </row>
    <row r="1925" spans="1:5" x14ac:dyDescent="0.3">
      <c r="A1925" t="s">
        <v>1923</v>
      </c>
      <c r="B1925" t="str" cm="1">
        <f t="array" ref="B1925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hemlock"},A1925)),0)),"")</f>
        <v>Misc hardwoods</v>
      </c>
      <c r="C1925" t="str" cm="1">
        <f t="array" ref="C1925">IFERROR(INDEX({"Ridgetop","Other"},MATCH(TRUE,ISNUMBER(SEARCH({"Ridgetop","Other"},A1925)),0)),"")</f>
        <v>Ridgetop</v>
      </c>
      <c r="D1925" t="str" cm="1">
        <f t="array" ref="D1925">IFERROR(INDEX({"Small","Medium","Large"},MATCH(TRUE,ISNUMBER(SEARCH({"Small","Medium","Large"},A1925)),0)),"")</f>
        <v>Medium</v>
      </c>
      <c r="E1925" t="str">
        <f t="shared" si="30"/>
        <v>0.112</v>
      </c>
    </row>
    <row r="1926" spans="1:5" x14ac:dyDescent="0.3">
      <c r="A1926" t="s">
        <v>1924</v>
      </c>
      <c r="B1926" t="str" cm="1">
        <f t="array" ref="B1926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hemlock"},A1926)),0)),"")</f>
        <v>Misc hardwoods</v>
      </c>
      <c r="C1926" t="str" cm="1">
        <f t="array" ref="C1926">IFERROR(INDEX({"Ridgetop","Other"},MATCH(TRUE,ISNUMBER(SEARCH({"Ridgetop","Other"},A1926)),0)),"")</f>
        <v>Ridgetop</v>
      </c>
      <c r="D1926" t="str" cm="1">
        <f t="array" ref="D1926">IFERROR(INDEX({"Small","Medium","Large"},MATCH(TRUE,ISNUMBER(SEARCH({"Small","Medium","Large"},A1926)),0)),"")</f>
        <v>Large</v>
      </c>
      <c r="E1926" t="str">
        <f t="shared" si="30"/>
        <v>0.078</v>
      </c>
    </row>
    <row r="1927" spans="1:5" x14ac:dyDescent="0.3">
      <c r="A1927" t="s">
        <v>1925</v>
      </c>
      <c r="B1927" t="str" cm="1">
        <f t="array" ref="B1927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hemlock"},A1927)),0)),"")</f>
        <v>Misc hardwoods</v>
      </c>
      <c r="C1927" t="str" cm="1">
        <f t="array" ref="C1927">IFERROR(INDEX({"Ridgetop","Other"},MATCH(TRUE,ISNUMBER(SEARCH({"Ridgetop","Other"},A1927)),0)),"")</f>
        <v>Other</v>
      </c>
      <c r="D1927" t="str" cm="1">
        <f t="array" ref="D1927">IFERROR(INDEX({"Small","Medium","Large"},MATCH(TRUE,ISNUMBER(SEARCH({"Small","Medium","Large"},A1927)),0)),"")</f>
        <v>Small</v>
      </c>
      <c r="E1927" t="str">
        <f t="shared" si="30"/>
        <v>0.133</v>
      </c>
    </row>
    <row r="1928" spans="1:5" x14ac:dyDescent="0.3">
      <c r="A1928" t="s">
        <v>1926</v>
      </c>
      <c r="B1928" t="str" cm="1">
        <f t="array" ref="B1928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hemlock"},A1928)),0)),"")</f>
        <v>Misc hardwoods</v>
      </c>
      <c r="C1928" t="str" cm="1">
        <f t="array" ref="C1928">IFERROR(INDEX({"Ridgetop","Other"},MATCH(TRUE,ISNUMBER(SEARCH({"Ridgetop","Other"},A1928)),0)),"")</f>
        <v>Other</v>
      </c>
      <c r="D1928" t="str" cm="1">
        <f t="array" ref="D1928">IFERROR(INDEX({"Small","Medium","Large"},MATCH(TRUE,ISNUMBER(SEARCH({"Small","Medium","Large"},A1928)),0)),"")</f>
        <v>Medium</v>
      </c>
      <c r="E1928" t="str">
        <f t="shared" si="30"/>
        <v>0.065</v>
      </c>
    </row>
    <row r="1929" spans="1:5" x14ac:dyDescent="0.3">
      <c r="A1929" t="s">
        <v>1927</v>
      </c>
      <c r="B1929" t="str" cm="1">
        <f t="array" ref="B1929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hemlock"},A1929)),0)),"")</f>
        <v>Misc hardwoods</v>
      </c>
      <c r="C1929" t="str" cm="1">
        <f t="array" ref="C1929">IFERROR(INDEX({"Ridgetop","Other"},MATCH(TRUE,ISNUMBER(SEARCH({"Ridgetop","Other"},A1929)),0)),"")</f>
        <v>Other</v>
      </c>
      <c r="D1929" t="str" cm="1">
        <f t="array" ref="D1929">IFERROR(INDEX({"Small","Medium","Large"},MATCH(TRUE,ISNUMBER(SEARCH({"Small","Medium","Large"},A1929)),0)),"")</f>
        <v>Large</v>
      </c>
      <c r="E1929" t="str">
        <f t="shared" si="30"/>
        <v>0.045</v>
      </c>
    </row>
    <row r="1930" spans="1:5" x14ac:dyDescent="0.3">
      <c r="A1930" t="s">
        <v>1928</v>
      </c>
      <c r="B1930" t="str" cm="1">
        <f t="array" ref="B1930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hemlock"},A1930)),0)),"")</f>
        <v>Misc hardwoods</v>
      </c>
      <c r="C1930" t="str" cm="1">
        <f t="array" ref="C1930">IFERROR(INDEX({"Ridgetop","Other"},MATCH(TRUE,ISNUMBER(SEARCH({"Ridgetop","Other"},A1930)),0)),"")</f>
        <v>Other</v>
      </c>
      <c r="D1930" t="str" cm="1">
        <f t="array" ref="D1930">IFERROR(INDEX({"Small","Medium","Large"},MATCH(TRUE,ISNUMBER(SEARCH({"Small","Medium","Large"},A1930)),0)),"")</f>
        <v>Small</v>
      </c>
      <c r="E1930" t="str">
        <f t="shared" si="30"/>
        <v>0.145</v>
      </c>
    </row>
    <row r="1931" spans="1:5" x14ac:dyDescent="0.3">
      <c r="A1931" t="s">
        <v>1929</v>
      </c>
      <c r="B1931" t="str" cm="1">
        <f t="array" ref="B1931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hemlock"},A1931)),0)),"")</f>
        <v>Misc hardwoods</v>
      </c>
      <c r="C1931" t="str" cm="1">
        <f t="array" ref="C1931">IFERROR(INDEX({"Ridgetop","Other"},MATCH(TRUE,ISNUMBER(SEARCH({"Ridgetop","Other"},A1931)),0)),"")</f>
        <v>Other</v>
      </c>
      <c r="D1931" t="str" cm="1">
        <f t="array" ref="D1931">IFERROR(INDEX({"Small","Medium","Large"},MATCH(TRUE,ISNUMBER(SEARCH({"Small","Medium","Large"},A1931)),0)),"")</f>
        <v>Medium</v>
      </c>
      <c r="E1931" t="str">
        <f t="shared" si="30"/>
        <v>0.071</v>
      </c>
    </row>
    <row r="1932" spans="1:5" x14ac:dyDescent="0.3">
      <c r="A1932" t="s">
        <v>1930</v>
      </c>
      <c r="B1932" t="str" cm="1">
        <f t="array" ref="B1932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hemlock"},A1932)),0)),"")</f>
        <v>Misc hardwoods</v>
      </c>
      <c r="C1932" t="str" cm="1">
        <f t="array" ref="C1932">IFERROR(INDEX({"Ridgetop","Other"},MATCH(TRUE,ISNUMBER(SEARCH({"Ridgetop","Other"},A1932)),0)),"")</f>
        <v>Other</v>
      </c>
      <c r="D1932" t="str" cm="1">
        <f t="array" ref="D1932">IFERROR(INDEX({"Small","Medium","Large"},MATCH(TRUE,ISNUMBER(SEARCH({"Small","Medium","Large"},A1932)),0)),"")</f>
        <v>Large</v>
      </c>
      <c r="E1932" t="str">
        <f t="shared" si="30"/>
        <v>0.049</v>
      </c>
    </row>
    <row r="1933" spans="1:5" x14ac:dyDescent="0.3">
      <c r="A1933" t="s">
        <v>1931</v>
      </c>
      <c r="B1933" t="str" cm="1">
        <f t="array" ref="B1933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hemlock"},A1933)),0)),"")</f>
        <v>Misc hardwoods</v>
      </c>
      <c r="C1933" t="str" cm="1">
        <f t="array" ref="C1933">IFERROR(INDEX({"Ridgetop","Other"},MATCH(TRUE,ISNUMBER(SEARCH({"Ridgetop","Other"},A1933)),0)),"")</f>
        <v>Other</v>
      </c>
      <c r="D1933" t="str" cm="1">
        <f t="array" ref="D1933">IFERROR(INDEX({"Small","Medium","Large"},MATCH(TRUE,ISNUMBER(SEARCH({"Small","Medium","Large"},A1933)),0)),"")</f>
        <v>Small</v>
      </c>
      <c r="E1933" t="str">
        <f t="shared" si="30"/>
        <v>0.145</v>
      </c>
    </row>
    <row r="1934" spans="1:5" x14ac:dyDescent="0.3">
      <c r="A1934" t="s">
        <v>1932</v>
      </c>
      <c r="B1934" t="str" cm="1">
        <f t="array" ref="B1934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hemlock"},A1934)),0)),"")</f>
        <v>Misc hardwoods</v>
      </c>
      <c r="C1934" t="str" cm="1">
        <f t="array" ref="C1934">IFERROR(INDEX({"Ridgetop","Other"},MATCH(TRUE,ISNUMBER(SEARCH({"Ridgetop","Other"},A1934)),0)),"")</f>
        <v>Other</v>
      </c>
      <c r="D1934" t="str" cm="1">
        <f t="array" ref="D1934">IFERROR(INDEX({"Small","Medium","Large"},MATCH(TRUE,ISNUMBER(SEARCH({"Small","Medium","Large"},A1934)),0)),"")</f>
        <v>Medium</v>
      </c>
      <c r="E1934" t="str">
        <f t="shared" si="30"/>
        <v>0.071</v>
      </c>
    </row>
    <row r="1935" spans="1:5" x14ac:dyDescent="0.3">
      <c r="A1935" t="s">
        <v>1933</v>
      </c>
      <c r="B1935" t="str" cm="1">
        <f t="array" ref="B1935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hemlock"},A1935)),0)),"")</f>
        <v>Misc hardwoods</v>
      </c>
      <c r="C1935" t="str" cm="1">
        <f t="array" ref="C1935">IFERROR(INDEX({"Ridgetop","Other"},MATCH(TRUE,ISNUMBER(SEARCH({"Ridgetop","Other"},A1935)),0)),"")</f>
        <v>Other</v>
      </c>
      <c r="D1935" t="str" cm="1">
        <f t="array" ref="D1935">IFERROR(INDEX({"Small","Medium","Large"},MATCH(TRUE,ISNUMBER(SEARCH({"Small","Medium","Large"},A1935)),0)),"")</f>
        <v>Large</v>
      </c>
      <c r="E1935" t="str">
        <f t="shared" si="30"/>
        <v>0.049</v>
      </c>
    </row>
    <row r="1936" spans="1:5" x14ac:dyDescent="0.3">
      <c r="A1936" t="s">
        <v>1934</v>
      </c>
      <c r="B1936" t="str" cm="1">
        <f t="array" ref="B1936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hemlock"},A1936)),0)),"")</f>
        <v>Misc hardwoods</v>
      </c>
      <c r="C1936" t="str" cm="1">
        <f t="array" ref="C1936">IFERROR(INDEX({"Ridgetop","Other"},MATCH(TRUE,ISNUMBER(SEARCH({"Ridgetop","Other"},A1936)),0)),"")</f>
        <v>Ridgetop</v>
      </c>
      <c r="D1936" t="str" cm="1">
        <f t="array" ref="D1936">IFERROR(INDEX({"Small","Medium","Large"},MATCH(TRUE,ISNUMBER(SEARCH({"Small","Medium","Large"},A1936)),0)),"")</f>
        <v>Small</v>
      </c>
      <c r="E1936" t="str">
        <f t="shared" si="30"/>
        <v>0.242</v>
      </c>
    </row>
    <row r="1937" spans="1:5" x14ac:dyDescent="0.3">
      <c r="A1937" t="s">
        <v>1935</v>
      </c>
      <c r="B1937" t="str" cm="1">
        <f t="array" ref="B1937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hemlock"},A1937)),0)),"")</f>
        <v>Misc hardwoods</v>
      </c>
      <c r="C1937" t="str" cm="1">
        <f t="array" ref="C1937">IFERROR(INDEX({"Ridgetop","Other"},MATCH(TRUE,ISNUMBER(SEARCH({"Ridgetop","Other"},A1937)),0)),"")</f>
        <v>Ridgetop</v>
      </c>
      <c r="D1937" t="str" cm="1">
        <f t="array" ref="D1937">IFERROR(INDEX({"Small","Medium","Large"},MATCH(TRUE,ISNUMBER(SEARCH({"Small","Medium","Large"},A1937)),0)),"")</f>
        <v>Medium</v>
      </c>
      <c r="E1937" t="str">
        <f t="shared" si="30"/>
        <v>0.118</v>
      </c>
    </row>
    <row r="1938" spans="1:5" x14ac:dyDescent="0.3">
      <c r="A1938" t="s">
        <v>1936</v>
      </c>
      <c r="B1938" t="str" cm="1">
        <f t="array" ref="B1938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hemlock"},A1938)),0)),"")</f>
        <v>Misc hardwoods</v>
      </c>
      <c r="C1938" t="str" cm="1">
        <f t="array" ref="C1938">IFERROR(INDEX({"Ridgetop","Other"},MATCH(TRUE,ISNUMBER(SEARCH({"Ridgetop","Other"},A1938)),0)),"")</f>
        <v>Ridgetop</v>
      </c>
      <c r="D1938" t="str" cm="1">
        <f t="array" ref="D1938">IFERROR(INDEX({"Small","Medium","Large"},MATCH(TRUE,ISNUMBER(SEARCH({"Small","Medium","Large"},A1938)),0)),"")</f>
        <v>Large</v>
      </c>
      <c r="E1938" t="str">
        <f t="shared" si="30"/>
        <v>0.082</v>
      </c>
    </row>
    <row r="1939" spans="1:5" x14ac:dyDescent="0.3">
      <c r="A1939" t="s">
        <v>1937</v>
      </c>
      <c r="B1939" t="str" cm="1">
        <f t="array" ref="B1939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hemlock"},A1939)),0)),"")</f>
        <v>Misc hardwoods</v>
      </c>
      <c r="C1939" t="str" cm="1">
        <f t="array" ref="C1939">IFERROR(INDEX({"Ridgetop","Other"},MATCH(TRUE,ISNUMBER(SEARCH({"Ridgetop","Other"},A1939)),0)),"")</f>
        <v>Ridgetop</v>
      </c>
      <c r="D1939" t="str" cm="1">
        <f t="array" ref="D1939">IFERROR(INDEX({"Small","Medium","Large"},MATCH(TRUE,ISNUMBER(SEARCH({"Small","Medium","Large"},A1939)),0)),"")</f>
        <v>Small</v>
      </c>
      <c r="E1939" t="str">
        <f t="shared" si="30"/>
        <v>0.242</v>
      </c>
    </row>
    <row r="1940" spans="1:5" x14ac:dyDescent="0.3">
      <c r="A1940" t="s">
        <v>1938</v>
      </c>
      <c r="B1940" t="str" cm="1">
        <f t="array" ref="B1940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hemlock"},A1940)),0)),"")</f>
        <v>Misc hardwoods</v>
      </c>
      <c r="C1940" t="str" cm="1">
        <f t="array" ref="C1940">IFERROR(INDEX({"Ridgetop","Other"},MATCH(TRUE,ISNUMBER(SEARCH({"Ridgetop","Other"},A1940)),0)),"")</f>
        <v>Ridgetop</v>
      </c>
      <c r="D1940" t="str" cm="1">
        <f t="array" ref="D1940">IFERROR(INDEX({"Small","Medium","Large"},MATCH(TRUE,ISNUMBER(SEARCH({"Small","Medium","Large"},A1940)),0)),"")</f>
        <v>Medium</v>
      </c>
      <c r="E1940" t="str">
        <f t="shared" si="30"/>
        <v>0.118</v>
      </c>
    </row>
    <row r="1941" spans="1:5" x14ac:dyDescent="0.3">
      <c r="A1941" t="s">
        <v>1939</v>
      </c>
      <c r="B1941" t="str" cm="1">
        <f t="array" ref="B1941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hemlock"},A1941)),0)),"")</f>
        <v>Misc hardwoods</v>
      </c>
      <c r="C1941" t="str" cm="1">
        <f t="array" ref="C1941">IFERROR(INDEX({"Ridgetop","Other"},MATCH(TRUE,ISNUMBER(SEARCH({"Ridgetop","Other"},A1941)),0)),"")</f>
        <v>Ridgetop</v>
      </c>
      <c r="D1941" t="str" cm="1">
        <f t="array" ref="D1941">IFERROR(INDEX({"Small","Medium","Large"},MATCH(TRUE,ISNUMBER(SEARCH({"Small","Medium","Large"},A1941)),0)),"")</f>
        <v>Large</v>
      </c>
      <c r="E1941" t="str">
        <f t="shared" si="30"/>
        <v>0.082</v>
      </c>
    </row>
    <row r="1942" spans="1:5" x14ac:dyDescent="0.3">
      <c r="A1942" t="s">
        <v>1940</v>
      </c>
      <c r="B1942" t="str" cm="1">
        <f t="array" ref="B1942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hemlock"},A1942)),0)),"")</f>
        <v>Misc hardwoods</v>
      </c>
      <c r="C1942" t="str" cm="1">
        <f t="array" ref="C1942">IFERROR(INDEX({"Ridgetop","Other"},MATCH(TRUE,ISNUMBER(SEARCH({"Ridgetop","Other"},A1942)),0)),"")</f>
        <v>Ridgetop</v>
      </c>
      <c r="D1942" t="str" cm="1">
        <f t="array" ref="D1942">IFERROR(INDEX({"Small","Medium","Large"},MATCH(TRUE,ISNUMBER(SEARCH({"Small","Medium","Large"},A1942)),0)),"")</f>
        <v>Small</v>
      </c>
      <c r="E1942" t="str">
        <f t="shared" si="30"/>
        <v>0.242</v>
      </c>
    </row>
    <row r="1943" spans="1:5" x14ac:dyDescent="0.3">
      <c r="A1943" t="s">
        <v>1941</v>
      </c>
      <c r="B1943" t="str" cm="1">
        <f t="array" ref="B1943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hemlock"},A1943)),0)),"")</f>
        <v>Misc hardwoods</v>
      </c>
      <c r="C1943" t="str" cm="1">
        <f t="array" ref="C1943">IFERROR(INDEX({"Ridgetop","Other"},MATCH(TRUE,ISNUMBER(SEARCH({"Ridgetop","Other"},A1943)),0)),"")</f>
        <v>Ridgetop</v>
      </c>
      <c r="D1943" t="str" cm="1">
        <f t="array" ref="D1943">IFERROR(INDEX({"Small","Medium","Large"},MATCH(TRUE,ISNUMBER(SEARCH({"Small","Medium","Large"},A1943)),0)),"")</f>
        <v>Medium</v>
      </c>
      <c r="E1943" t="str">
        <f t="shared" si="30"/>
        <v>0.118</v>
      </c>
    </row>
    <row r="1944" spans="1:5" x14ac:dyDescent="0.3">
      <c r="A1944" t="s">
        <v>1942</v>
      </c>
      <c r="B1944" t="str" cm="1">
        <f t="array" ref="B1944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hemlock"},A1944)),0)),"")</f>
        <v>Misc hardwoods</v>
      </c>
      <c r="C1944" t="str" cm="1">
        <f t="array" ref="C1944">IFERROR(INDEX({"Ridgetop","Other"},MATCH(TRUE,ISNUMBER(SEARCH({"Ridgetop","Other"},A1944)),0)),"")</f>
        <v>Ridgetop</v>
      </c>
      <c r="D1944" t="str" cm="1">
        <f t="array" ref="D1944">IFERROR(INDEX({"Small","Medium","Large"},MATCH(TRUE,ISNUMBER(SEARCH({"Small","Medium","Large"},A1944)),0)),"")</f>
        <v>Large</v>
      </c>
      <c r="E1944" t="str">
        <f t="shared" si="30"/>
        <v>0.082</v>
      </c>
    </row>
    <row r="1945" spans="1:5" x14ac:dyDescent="0.3">
      <c r="A1945" t="s">
        <v>1943</v>
      </c>
      <c r="B1945" t="str" cm="1">
        <f t="array" ref="B1945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hemlock"},A1945)),0)),"")</f>
        <v>Populus</v>
      </c>
      <c r="C1945" t="str" cm="1">
        <f t="array" ref="C1945">IFERROR(INDEX({"Ridgetop","Other"},MATCH(TRUE,ISNUMBER(SEARCH({"Ridgetop","Other"},A1945)),0)),"")</f>
        <v>Other</v>
      </c>
      <c r="D1945" t="str" cm="1">
        <f t="array" ref="D1945">IFERROR(INDEX({"Small","Medium","Large"},MATCH(TRUE,ISNUMBER(SEARCH({"Small","Medium","Large"},A1945)),0)),"")</f>
        <v>Small</v>
      </c>
      <c r="E1945" t="str">
        <f t="shared" si="30"/>
        <v>0.124</v>
      </c>
    </row>
    <row r="1946" spans="1:5" x14ac:dyDescent="0.3">
      <c r="A1946" t="s">
        <v>1944</v>
      </c>
      <c r="B1946" t="str" cm="1">
        <f t="array" ref="B1946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hemlock"},A1946)),0)),"")</f>
        <v>Populus</v>
      </c>
      <c r="C1946" t="str" cm="1">
        <f t="array" ref="C1946">IFERROR(INDEX({"Ridgetop","Other"},MATCH(TRUE,ISNUMBER(SEARCH({"Ridgetop","Other"},A1946)),0)),"")</f>
        <v>Other</v>
      </c>
      <c r="D1946" t="str" cm="1">
        <f t="array" ref="D1946">IFERROR(INDEX({"Small","Medium","Large"},MATCH(TRUE,ISNUMBER(SEARCH({"Small","Medium","Large"},A1946)),0)),"")</f>
        <v>Medium</v>
      </c>
      <c r="E1946" t="str">
        <f t="shared" si="30"/>
        <v>0.071</v>
      </c>
    </row>
    <row r="1947" spans="1:5" x14ac:dyDescent="0.3">
      <c r="A1947" t="s">
        <v>1945</v>
      </c>
      <c r="B1947" t="str" cm="1">
        <f t="array" ref="B1947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hemlock"},A1947)),0)),"")</f>
        <v>Populus</v>
      </c>
      <c r="C1947" t="str" cm="1">
        <f t="array" ref="C1947">IFERROR(INDEX({"Ridgetop","Other"},MATCH(TRUE,ISNUMBER(SEARCH({"Ridgetop","Other"},A1947)),0)),"")</f>
        <v>Other</v>
      </c>
      <c r="D1947" t="str" cm="1">
        <f t="array" ref="D1947">IFERROR(INDEX({"Small","Medium","Large"},MATCH(TRUE,ISNUMBER(SEARCH({"Small","Medium","Large"},A1947)),0)),"")</f>
        <v>Large</v>
      </c>
      <c r="E1947" t="str">
        <f t="shared" si="30"/>
        <v>0.056</v>
      </c>
    </row>
    <row r="1948" spans="1:5" x14ac:dyDescent="0.3">
      <c r="A1948" t="s">
        <v>1946</v>
      </c>
      <c r="B1948" t="str" cm="1">
        <f t="array" ref="B1948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hemlock"},A1948)),0)),"")</f>
        <v>Populus</v>
      </c>
      <c r="C1948" t="str" cm="1">
        <f t="array" ref="C1948">IFERROR(INDEX({"Ridgetop","Other"},MATCH(TRUE,ISNUMBER(SEARCH({"Ridgetop","Other"},A1948)),0)),"")</f>
        <v>Other</v>
      </c>
      <c r="D1948" t="str" cm="1">
        <f t="array" ref="D1948">IFERROR(INDEX({"Small","Medium","Large"},MATCH(TRUE,ISNUMBER(SEARCH({"Small","Medium","Large"},A1948)),0)),"")</f>
        <v>Small</v>
      </c>
      <c r="E1948" t="str">
        <f t="shared" si="30"/>
        <v>0.138</v>
      </c>
    </row>
    <row r="1949" spans="1:5" x14ac:dyDescent="0.3">
      <c r="A1949" t="s">
        <v>1947</v>
      </c>
      <c r="B1949" t="str" cm="1">
        <f t="array" ref="B1949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hemlock"},A1949)),0)),"")</f>
        <v>Populus</v>
      </c>
      <c r="C1949" t="str" cm="1">
        <f t="array" ref="C1949">IFERROR(INDEX({"Ridgetop","Other"},MATCH(TRUE,ISNUMBER(SEARCH({"Ridgetop","Other"},A1949)),0)),"")</f>
        <v>Other</v>
      </c>
      <c r="D1949" t="str" cm="1">
        <f t="array" ref="D1949">IFERROR(INDEX({"Small","Medium","Large"},MATCH(TRUE,ISNUMBER(SEARCH({"Small","Medium","Large"},A1949)),0)),"")</f>
        <v>Medium</v>
      </c>
      <c r="E1949" t="str">
        <f t="shared" si="30"/>
        <v>0.079</v>
      </c>
    </row>
    <row r="1950" spans="1:5" x14ac:dyDescent="0.3">
      <c r="A1950" t="s">
        <v>1948</v>
      </c>
      <c r="B1950" t="str" cm="1">
        <f t="array" ref="B1950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hemlock"},A1950)),0)),"")</f>
        <v>Populus</v>
      </c>
      <c r="C1950" t="str" cm="1">
        <f t="array" ref="C1950">IFERROR(INDEX({"Ridgetop","Other"},MATCH(TRUE,ISNUMBER(SEARCH({"Ridgetop","Other"},A1950)),0)),"")</f>
        <v>Other</v>
      </c>
      <c r="D1950" t="str" cm="1">
        <f t="array" ref="D1950">IFERROR(INDEX({"Small","Medium","Large"},MATCH(TRUE,ISNUMBER(SEARCH({"Small","Medium","Large"},A1950)),0)),"")</f>
        <v>Large</v>
      </c>
      <c r="E1950" t="str">
        <f t="shared" si="30"/>
        <v>0.062</v>
      </c>
    </row>
    <row r="1951" spans="1:5" x14ac:dyDescent="0.3">
      <c r="A1951" t="s">
        <v>1949</v>
      </c>
      <c r="B1951" t="str" cm="1">
        <f t="array" ref="B1951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hemlock"},A1951)),0)),"")</f>
        <v>Populus</v>
      </c>
      <c r="C1951" t="str" cm="1">
        <f t="array" ref="C1951">IFERROR(INDEX({"Ridgetop","Other"},MATCH(TRUE,ISNUMBER(SEARCH({"Ridgetop","Other"},A1951)),0)),"")</f>
        <v>Other</v>
      </c>
      <c r="D1951" t="str" cm="1">
        <f t="array" ref="D1951">IFERROR(INDEX({"Small","Medium","Large"},MATCH(TRUE,ISNUMBER(SEARCH({"Small","Medium","Large"},A1951)),0)),"")</f>
        <v>Small</v>
      </c>
      <c r="E1951" t="str">
        <f t="shared" si="30"/>
        <v>0.170</v>
      </c>
    </row>
    <row r="1952" spans="1:5" x14ac:dyDescent="0.3">
      <c r="A1952" t="s">
        <v>1950</v>
      </c>
      <c r="B1952" t="str" cm="1">
        <f t="array" ref="B1952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hemlock"},A1952)),0)),"")</f>
        <v>Populus</v>
      </c>
      <c r="C1952" t="str" cm="1">
        <f t="array" ref="C1952">IFERROR(INDEX({"Ridgetop","Other"},MATCH(TRUE,ISNUMBER(SEARCH({"Ridgetop","Other"},A1952)),0)),"")</f>
        <v>Other</v>
      </c>
      <c r="D1952" t="str" cm="1">
        <f t="array" ref="D1952">IFERROR(INDEX({"Small","Medium","Large"},MATCH(TRUE,ISNUMBER(SEARCH({"Small","Medium","Large"},A1952)),0)),"")</f>
        <v>Medium</v>
      </c>
      <c r="E1952" t="str">
        <f t="shared" si="30"/>
        <v>0.097</v>
      </c>
    </row>
    <row r="1953" spans="1:5" x14ac:dyDescent="0.3">
      <c r="A1953" t="s">
        <v>1951</v>
      </c>
      <c r="B1953" t="str" cm="1">
        <f t="array" ref="B1953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hemlock"},A1953)),0)),"")</f>
        <v>Populus</v>
      </c>
      <c r="C1953" t="str" cm="1">
        <f t="array" ref="C1953">IFERROR(INDEX({"Ridgetop","Other"},MATCH(TRUE,ISNUMBER(SEARCH({"Ridgetop","Other"},A1953)),0)),"")</f>
        <v>Other</v>
      </c>
      <c r="D1953" t="str" cm="1">
        <f t="array" ref="D1953">IFERROR(INDEX({"Small","Medium","Large"},MATCH(TRUE,ISNUMBER(SEARCH({"Small","Medium","Large"},A1953)),0)),"")</f>
        <v>Large</v>
      </c>
      <c r="E1953" t="str">
        <f t="shared" si="30"/>
        <v>0.077</v>
      </c>
    </row>
    <row r="1954" spans="1:5" x14ac:dyDescent="0.3">
      <c r="A1954" t="s">
        <v>1952</v>
      </c>
      <c r="B1954" t="str" cm="1">
        <f t="array" ref="B1954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hemlock"},A1954)),0)),"")</f>
        <v>Populus</v>
      </c>
      <c r="C1954" t="str" cm="1">
        <f t="array" ref="C1954">IFERROR(INDEX({"Ridgetop","Other"},MATCH(TRUE,ISNUMBER(SEARCH({"Ridgetop","Other"},A1954)),0)),"")</f>
        <v>Ridgetop</v>
      </c>
      <c r="D1954" t="str" cm="1">
        <f t="array" ref="D1954">IFERROR(INDEX({"Small","Medium","Large"},MATCH(TRUE,ISNUMBER(SEARCH({"Small","Medium","Large"},A1954)),0)),"")</f>
        <v>Small</v>
      </c>
      <c r="E1954" t="str">
        <f t="shared" si="30"/>
        <v>0.220</v>
      </c>
    </row>
    <row r="1955" spans="1:5" x14ac:dyDescent="0.3">
      <c r="A1955" t="s">
        <v>1953</v>
      </c>
      <c r="B1955" t="str" cm="1">
        <f t="array" ref="B1955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hemlock"},A1955)),0)),"")</f>
        <v>Populus</v>
      </c>
      <c r="C1955" t="str" cm="1">
        <f t="array" ref="C1955">IFERROR(INDEX({"Ridgetop","Other"},MATCH(TRUE,ISNUMBER(SEARCH({"Ridgetop","Other"},A1955)),0)),"")</f>
        <v>Ridgetop</v>
      </c>
      <c r="D1955" t="str" cm="1">
        <f t="array" ref="D1955">IFERROR(INDEX({"Small","Medium","Large"},MATCH(TRUE,ISNUMBER(SEARCH({"Small","Medium","Large"},A1955)),0)),"")</f>
        <v>Medium</v>
      </c>
      <c r="E1955" t="str">
        <f t="shared" si="30"/>
        <v>0.126</v>
      </c>
    </row>
    <row r="1956" spans="1:5" x14ac:dyDescent="0.3">
      <c r="A1956" t="s">
        <v>1954</v>
      </c>
      <c r="B1956" t="str" cm="1">
        <f t="array" ref="B1956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hemlock"},A1956)),0)),"")</f>
        <v>Populus</v>
      </c>
      <c r="C1956" t="str" cm="1">
        <f t="array" ref="C1956">IFERROR(INDEX({"Ridgetop","Other"},MATCH(TRUE,ISNUMBER(SEARCH({"Ridgetop","Other"},A1956)),0)),"")</f>
        <v>Ridgetop</v>
      </c>
      <c r="D1956" t="str" cm="1">
        <f t="array" ref="D1956">IFERROR(INDEX({"Small","Medium","Large"},MATCH(TRUE,ISNUMBER(SEARCH({"Small","Medium","Large"},A1956)),0)),"")</f>
        <v>Large</v>
      </c>
      <c r="E1956" t="str">
        <f t="shared" si="30"/>
        <v>0.099</v>
      </c>
    </row>
    <row r="1957" spans="1:5" x14ac:dyDescent="0.3">
      <c r="A1957" t="s">
        <v>1955</v>
      </c>
      <c r="B1957" t="str" cm="1">
        <f t="array" ref="B1957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hemlock"},A1957)),0)),"")</f>
        <v>Populus</v>
      </c>
      <c r="C1957" t="str" cm="1">
        <f t="array" ref="C1957">IFERROR(INDEX({"Ridgetop","Other"},MATCH(TRUE,ISNUMBER(SEARCH({"Ridgetop","Other"},A1957)),0)),"")</f>
        <v>Ridgetop</v>
      </c>
      <c r="D1957" t="str" cm="1">
        <f t="array" ref="D1957">IFERROR(INDEX({"Small","Medium","Large"},MATCH(TRUE,ISNUMBER(SEARCH({"Small","Medium","Large"},A1957)),0)),"")</f>
        <v>Small</v>
      </c>
      <c r="E1957" t="str">
        <f t="shared" si="30"/>
        <v>0.227</v>
      </c>
    </row>
    <row r="1958" spans="1:5" x14ac:dyDescent="0.3">
      <c r="A1958" t="s">
        <v>1956</v>
      </c>
      <c r="B1958" t="str" cm="1">
        <f t="array" ref="B1958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hemlock"},A1958)),0)),"")</f>
        <v>Populus</v>
      </c>
      <c r="C1958" t="str" cm="1">
        <f t="array" ref="C1958">IFERROR(INDEX({"Ridgetop","Other"},MATCH(TRUE,ISNUMBER(SEARCH({"Ridgetop","Other"},A1958)),0)),"")</f>
        <v>Ridgetop</v>
      </c>
      <c r="D1958" t="str" cm="1">
        <f t="array" ref="D1958">IFERROR(INDEX({"Small","Medium","Large"},MATCH(TRUE,ISNUMBER(SEARCH({"Small","Medium","Large"},A1958)),0)),"")</f>
        <v>Medium</v>
      </c>
      <c r="E1958" t="str">
        <f t="shared" si="30"/>
        <v>0.130</v>
      </c>
    </row>
    <row r="1959" spans="1:5" x14ac:dyDescent="0.3">
      <c r="A1959" t="s">
        <v>1957</v>
      </c>
      <c r="B1959" t="str" cm="1">
        <f t="array" ref="B1959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hemlock"},A1959)),0)),"")</f>
        <v>Populus</v>
      </c>
      <c r="C1959" t="str" cm="1">
        <f t="array" ref="C1959">IFERROR(INDEX({"Ridgetop","Other"},MATCH(TRUE,ISNUMBER(SEARCH({"Ridgetop","Other"},A1959)),0)),"")</f>
        <v>Ridgetop</v>
      </c>
      <c r="D1959" t="str" cm="1">
        <f t="array" ref="D1959">IFERROR(INDEX({"Small","Medium","Large"},MATCH(TRUE,ISNUMBER(SEARCH({"Small","Medium","Large"},A1959)),0)),"")</f>
        <v>Large</v>
      </c>
      <c r="E1959" t="str">
        <f t="shared" si="30"/>
        <v>0.102</v>
      </c>
    </row>
    <row r="1960" spans="1:5" x14ac:dyDescent="0.3">
      <c r="A1960" t="s">
        <v>1958</v>
      </c>
      <c r="B1960" t="str" cm="1">
        <f t="array" ref="B1960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hemlock"},A1960)),0)),"")</f>
        <v>Populus</v>
      </c>
      <c r="C1960" t="str" cm="1">
        <f t="array" ref="C1960">IFERROR(INDEX({"Ridgetop","Other"},MATCH(TRUE,ISNUMBER(SEARCH({"Ridgetop","Other"},A1960)),0)),"")</f>
        <v>Ridgetop</v>
      </c>
      <c r="D1960" t="str" cm="1">
        <f t="array" ref="D1960">IFERROR(INDEX({"Small","Medium","Large"},MATCH(TRUE,ISNUMBER(SEARCH({"Small","Medium","Large"},A1960)),0)),"")</f>
        <v>Small</v>
      </c>
      <c r="E1960" t="str">
        <f t="shared" si="30"/>
        <v>0.241</v>
      </c>
    </row>
    <row r="1961" spans="1:5" x14ac:dyDescent="0.3">
      <c r="A1961" t="s">
        <v>1959</v>
      </c>
      <c r="B1961" t="str" cm="1">
        <f t="array" ref="B1961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hemlock"},A1961)),0)),"")</f>
        <v>Populus</v>
      </c>
      <c r="C1961" t="str" cm="1">
        <f t="array" ref="C1961">IFERROR(INDEX({"Ridgetop","Other"},MATCH(TRUE,ISNUMBER(SEARCH({"Ridgetop","Other"},A1961)),0)),"")</f>
        <v>Ridgetop</v>
      </c>
      <c r="D1961" t="str" cm="1">
        <f t="array" ref="D1961">IFERROR(INDEX({"Small","Medium","Large"},MATCH(TRUE,ISNUMBER(SEARCH({"Small","Medium","Large"},A1961)),0)),"")</f>
        <v>Medium</v>
      </c>
      <c r="E1961" t="str">
        <f t="shared" si="30"/>
        <v>0.138</v>
      </c>
    </row>
    <row r="1962" spans="1:5" x14ac:dyDescent="0.3">
      <c r="A1962" t="s">
        <v>1960</v>
      </c>
      <c r="B1962" t="str" cm="1">
        <f t="array" ref="B1962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hemlock"},A1962)),0)),"")</f>
        <v>Populus</v>
      </c>
      <c r="C1962" t="str" cm="1">
        <f t="array" ref="C1962">IFERROR(INDEX({"Ridgetop","Other"},MATCH(TRUE,ISNUMBER(SEARCH({"Ridgetop","Other"},A1962)),0)),"")</f>
        <v>Ridgetop</v>
      </c>
      <c r="D1962" t="str" cm="1">
        <f t="array" ref="D1962">IFERROR(INDEX({"Small","Medium","Large"},MATCH(TRUE,ISNUMBER(SEARCH({"Small","Medium","Large"},A1962)),0)),"")</f>
        <v>Large</v>
      </c>
      <c r="E1962" t="str">
        <f t="shared" si="30"/>
        <v>0.109</v>
      </c>
    </row>
    <row r="1963" spans="1:5" x14ac:dyDescent="0.3">
      <c r="A1963" t="s">
        <v>1961</v>
      </c>
      <c r="B1963" t="str" cm="1">
        <f t="array" ref="B1963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hemlock"},A1963)),0)),"")</f>
        <v>Populus</v>
      </c>
      <c r="C1963" t="str" cm="1">
        <f t="array" ref="C1963">IFERROR(INDEX({"Ridgetop","Other"},MATCH(TRUE,ISNUMBER(SEARCH({"Ridgetop","Other"},A1963)),0)),"")</f>
        <v>Other</v>
      </c>
      <c r="D1963" t="str" cm="1">
        <f t="array" ref="D1963">IFERROR(INDEX({"Small","Medium","Large"},MATCH(TRUE,ISNUMBER(SEARCH({"Small","Medium","Large"},A1963)),0)),"")</f>
        <v>Small</v>
      </c>
      <c r="E1963" t="str">
        <f t="shared" si="30"/>
        <v>0.156</v>
      </c>
    </row>
    <row r="1964" spans="1:5" x14ac:dyDescent="0.3">
      <c r="A1964" t="s">
        <v>1962</v>
      </c>
      <c r="B1964" t="str" cm="1">
        <f t="array" ref="B1964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hemlock"},A1964)),0)),"")</f>
        <v>Populus</v>
      </c>
      <c r="C1964" t="str" cm="1">
        <f t="array" ref="C1964">IFERROR(INDEX({"Ridgetop","Other"},MATCH(TRUE,ISNUMBER(SEARCH({"Ridgetop","Other"},A1964)),0)),"")</f>
        <v>Other</v>
      </c>
      <c r="D1964" t="str" cm="1">
        <f t="array" ref="D1964">IFERROR(INDEX({"Small","Medium","Large"},MATCH(TRUE,ISNUMBER(SEARCH({"Small","Medium","Large"},A1964)),0)),"")</f>
        <v>Medium</v>
      </c>
      <c r="E1964" t="str">
        <f t="shared" si="30"/>
        <v>0.089</v>
      </c>
    </row>
    <row r="1965" spans="1:5" x14ac:dyDescent="0.3">
      <c r="A1965" t="s">
        <v>1963</v>
      </c>
      <c r="B1965" t="str" cm="1">
        <f t="array" ref="B1965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hemlock"},A1965)),0)),"")</f>
        <v>Populus</v>
      </c>
      <c r="C1965" t="str" cm="1">
        <f t="array" ref="C1965">IFERROR(INDEX({"Ridgetop","Other"},MATCH(TRUE,ISNUMBER(SEARCH({"Ridgetop","Other"},A1965)),0)),"")</f>
        <v>Other</v>
      </c>
      <c r="D1965" t="str" cm="1">
        <f t="array" ref="D1965">IFERROR(INDEX({"Small","Medium","Large"},MATCH(TRUE,ISNUMBER(SEARCH({"Small","Medium","Large"},A1965)),0)),"")</f>
        <v>Large</v>
      </c>
      <c r="E1965" t="str">
        <f t="shared" si="30"/>
        <v>0.070</v>
      </c>
    </row>
    <row r="1966" spans="1:5" x14ac:dyDescent="0.3">
      <c r="A1966" t="s">
        <v>1964</v>
      </c>
      <c r="B1966" t="str" cm="1">
        <f t="array" ref="B1966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hemlock"},A1966)),0)),"")</f>
        <v>Populus</v>
      </c>
      <c r="C1966" t="str" cm="1">
        <f t="array" ref="C1966">IFERROR(INDEX({"Ridgetop","Other"},MATCH(TRUE,ISNUMBER(SEARCH({"Ridgetop","Other"},A1966)),0)),"")</f>
        <v>Other</v>
      </c>
      <c r="D1966" t="str" cm="1">
        <f t="array" ref="D1966">IFERROR(INDEX({"Small","Medium","Large"},MATCH(TRUE,ISNUMBER(SEARCH({"Small","Medium","Large"},A1966)),0)),"")</f>
        <v>Small</v>
      </c>
      <c r="E1966" t="str">
        <f t="shared" si="30"/>
        <v>0.170</v>
      </c>
    </row>
    <row r="1967" spans="1:5" x14ac:dyDescent="0.3">
      <c r="A1967" t="s">
        <v>1965</v>
      </c>
      <c r="B1967" t="str" cm="1">
        <f t="array" ref="B1967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hemlock"},A1967)),0)),"")</f>
        <v>Populus</v>
      </c>
      <c r="C1967" t="str" cm="1">
        <f t="array" ref="C1967">IFERROR(INDEX({"Ridgetop","Other"},MATCH(TRUE,ISNUMBER(SEARCH({"Ridgetop","Other"},A1967)),0)),"")</f>
        <v>Other</v>
      </c>
      <c r="D1967" t="str" cm="1">
        <f t="array" ref="D1967">IFERROR(INDEX({"Small","Medium","Large"},MATCH(TRUE,ISNUMBER(SEARCH({"Small","Medium","Large"},A1967)),0)),"")</f>
        <v>Medium</v>
      </c>
      <c r="E1967" t="str">
        <f t="shared" si="30"/>
        <v>0.097</v>
      </c>
    </row>
    <row r="1968" spans="1:5" x14ac:dyDescent="0.3">
      <c r="A1968" t="s">
        <v>1966</v>
      </c>
      <c r="B1968" t="str" cm="1">
        <f t="array" ref="B1968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hemlock"},A1968)),0)),"")</f>
        <v>Populus</v>
      </c>
      <c r="C1968" t="str" cm="1">
        <f t="array" ref="C1968">IFERROR(INDEX({"Ridgetop","Other"},MATCH(TRUE,ISNUMBER(SEARCH({"Ridgetop","Other"},A1968)),0)),"")</f>
        <v>Other</v>
      </c>
      <c r="D1968" t="str" cm="1">
        <f t="array" ref="D1968">IFERROR(INDEX({"Small","Medium","Large"},MATCH(TRUE,ISNUMBER(SEARCH({"Small","Medium","Large"},A1968)),0)),"")</f>
        <v>Large</v>
      </c>
      <c r="E1968" t="str">
        <f t="shared" si="30"/>
        <v>0.077</v>
      </c>
    </row>
    <row r="1969" spans="1:5" x14ac:dyDescent="0.3">
      <c r="A1969" t="s">
        <v>1967</v>
      </c>
      <c r="B1969" t="str" cm="1">
        <f t="array" ref="B1969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hemlock"},A1969)),0)),"")</f>
        <v>Populus</v>
      </c>
      <c r="C1969" t="str" cm="1">
        <f t="array" ref="C1969">IFERROR(INDEX({"Ridgetop","Other"},MATCH(TRUE,ISNUMBER(SEARCH({"Ridgetop","Other"},A1969)),0)),"")</f>
        <v>Other</v>
      </c>
      <c r="D1969" t="str" cm="1">
        <f t="array" ref="D1969">IFERROR(INDEX({"Small","Medium","Large"},MATCH(TRUE,ISNUMBER(SEARCH({"Small","Medium","Large"},A1969)),0)),"")</f>
        <v>Small</v>
      </c>
      <c r="E1969" t="str">
        <f t="shared" si="30"/>
        <v>0.170</v>
      </c>
    </row>
    <row r="1970" spans="1:5" x14ac:dyDescent="0.3">
      <c r="A1970" t="s">
        <v>1968</v>
      </c>
      <c r="B1970" t="str" cm="1">
        <f t="array" ref="B1970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hemlock"},A1970)),0)),"")</f>
        <v>Populus</v>
      </c>
      <c r="C1970" t="str" cm="1">
        <f t="array" ref="C1970">IFERROR(INDEX({"Ridgetop","Other"},MATCH(TRUE,ISNUMBER(SEARCH({"Ridgetop","Other"},A1970)),0)),"")</f>
        <v>Other</v>
      </c>
      <c r="D1970" t="str" cm="1">
        <f t="array" ref="D1970">IFERROR(INDEX({"Small","Medium","Large"},MATCH(TRUE,ISNUMBER(SEARCH({"Small","Medium","Large"},A1970)),0)),"")</f>
        <v>Medium</v>
      </c>
      <c r="E1970" t="str">
        <f t="shared" si="30"/>
        <v>0.097</v>
      </c>
    </row>
    <row r="1971" spans="1:5" x14ac:dyDescent="0.3">
      <c r="A1971" t="s">
        <v>1969</v>
      </c>
      <c r="B1971" t="str" cm="1">
        <f t="array" ref="B1971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hemlock"},A1971)),0)),"")</f>
        <v>Populus</v>
      </c>
      <c r="C1971" t="str" cm="1">
        <f t="array" ref="C1971">IFERROR(INDEX({"Ridgetop","Other"},MATCH(TRUE,ISNUMBER(SEARCH({"Ridgetop","Other"},A1971)),0)),"")</f>
        <v>Other</v>
      </c>
      <c r="D1971" t="str" cm="1">
        <f t="array" ref="D1971">IFERROR(INDEX({"Small","Medium","Large"},MATCH(TRUE,ISNUMBER(SEARCH({"Small","Medium","Large"},A1971)),0)),"")</f>
        <v>Large</v>
      </c>
      <c r="E1971" t="str">
        <f t="shared" si="30"/>
        <v>0.077</v>
      </c>
    </row>
    <row r="1972" spans="1:5" x14ac:dyDescent="0.3">
      <c r="A1972" t="s">
        <v>1970</v>
      </c>
      <c r="B1972" t="str" cm="1">
        <f t="array" ref="B1972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hemlock"},A1972)),0)),"")</f>
        <v>Populus</v>
      </c>
      <c r="C1972" t="str" cm="1">
        <f t="array" ref="C1972">IFERROR(INDEX({"Ridgetop","Other"},MATCH(TRUE,ISNUMBER(SEARCH({"Ridgetop","Other"},A1972)),0)),"")</f>
        <v>Ridgetop</v>
      </c>
      <c r="D1972" t="str" cm="1">
        <f t="array" ref="D1972">IFERROR(INDEX({"Small","Medium","Large"},MATCH(TRUE,ISNUMBER(SEARCH({"Small","Medium","Large"},A1972)),0)),"")</f>
        <v>Small</v>
      </c>
      <c r="E1972" t="str">
        <f t="shared" si="30"/>
        <v>0.284</v>
      </c>
    </row>
    <row r="1973" spans="1:5" x14ac:dyDescent="0.3">
      <c r="A1973" t="s">
        <v>1971</v>
      </c>
      <c r="B1973" t="str" cm="1">
        <f t="array" ref="B1973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hemlock"},A1973)),0)),"")</f>
        <v>Populus</v>
      </c>
      <c r="C1973" t="str" cm="1">
        <f t="array" ref="C1973">IFERROR(INDEX({"Ridgetop","Other"},MATCH(TRUE,ISNUMBER(SEARCH({"Ridgetop","Other"},A1973)),0)),"")</f>
        <v>Ridgetop</v>
      </c>
      <c r="D1973" t="str" cm="1">
        <f t="array" ref="D1973">IFERROR(INDEX({"Small","Medium","Large"},MATCH(TRUE,ISNUMBER(SEARCH({"Small","Medium","Large"},A1973)),0)),"")</f>
        <v>Medium</v>
      </c>
      <c r="E1973" t="str">
        <f t="shared" si="30"/>
        <v>0.162</v>
      </c>
    </row>
    <row r="1974" spans="1:5" x14ac:dyDescent="0.3">
      <c r="A1974" t="s">
        <v>1972</v>
      </c>
      <c r="B1974" t="str" cm="1">
        <f t="array" ref="B1974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hemlock"},A1974)),0)),"")</f>
        <v>Populus</v>
      </c>
      <c r="C1974" t="str" cm="1">
        <f t="array" ref="C1974">IFERROR(INDEX({"Ridgetop","Other"},MATCH(TRUE,ISNUMBER(SEARCH({"Ridgetop","Other"},A1974)),0)),"")</f>
        <v>Ridgetop</v>
      </c>
      <c r="D1974" t="str" cm="1">
        <f t="array" ref="D1974">IFERROR(INDEX({"Small","Medium","Large"},MATCH(TRUE,ISNUMBER(SEARCH({"Small","Medium","Large"},A1974)),0)),"")</f>
        <v>Large</v>
      </c>
      <c r="E1974" t="str">
        <f t="shared" si="30"/>
        <v>0.128</v>
      </c>
    </row>
    <row r="1975" spans="1:5" x14ac:dyDescent="0.3">
      <c r="A1975" t="s">
        <v>1973</v>
      </c>
      <c r="B1975" t="str" cm="1">
        <f t="array" ref="B1975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hemlock"},A1975)),0)),"")</f>
        <v>Populus</v>
      </c>
      <c r="C1975" t="str" cm="1">
        <f t="array" ref="C1975">IFERROR(INDEX({"Ridgetop","Other"},MATCH(TRUE,ISNUMBER(SEARCH({"Ridgetop","Other"},A1975)),0)),"")</f>
        <v>Ridgetop</v>
      </c>
      <c r="D1975" t="str" cm="1">
        <f t="array" ref="D1975">IFERROR(INDEX({"Small","Medium","Large"},MATCH(TRUE,ISNUMBER(SEARCH({"Small","Medium","Large"},A1975)),0)),"")</f>
        <v>Small</v>
      </c>
      <c r="E1975" t="str">
        <f t="shared" si="30"/>
        <v>0.284</v>
      </c>
    </row>
    <row r="1976" spans="1:5" x14ac:dyDescent="0.3">
      <c r="A1976" t="s">
        <v>1974</v>
      </c>
      <c r="B1976" t="str" cm="1">
        <f t="array" ref="B1976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hemlock"},A1976)),0)),"")</f>
        <v>Populus</v>
      </c>
      <c r="C1976" t="str" cm="1">
        <f t="array" ref="C1976">IFERROR(INDEX({"Ridgetop","Other"},MATCH(TRUE,ISNUMBER(SEARCH({"Ridgetop","Other"},A1976)),0)),"")</f>
        <v>Ridgetop</v>
      </c>
      <c r="D1976" t="str" cm="1">
        <f t="array" ref="D1976">IFERROR(INDEX({"Small","Medium","Large"},MATCH(TRUE,ISNUMBER(SEARCH({"Small","Medium","Large"},A1976)),0)),"")</f>
        <v>Medium</v>
      </c>
      <c r="E1976" t="str">
        <f t="shared" si="30"/>
        <v>0.162</v>
      </c>
    </row>
    <row r="1977" spans="1:5" x14ac:dyDescent="0.3">
      <c r="A1977" t="s">
        <v>1975</v>
      </c>
      <c r="B1977" t="str" cm="1">
        <f t="array" ref="B1977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hemlock"},A1977)),0)),"")</f>
        <v>Populus</v>
      </c>
      <c r="C1977" t="str" cm="1">
        <f t="array" ref="C1977">IFERROR(INDEX({"Ridgetop","Other"},MATCH(TRUE,ISNUMBER(SEARCH({"Ridgetop","Other"},A1977)),0)),"")</f>
        <v>Ridgetop</v>
      </c>
      <c r="D1977" t="str" cm="1">
        <f t="array" ref="D1977">IFERROR(INDEX({"Small","Medium","Large"},MATCH(TRUE,ISNUMBER(SEARCH({"Small","Medium","Large"},A1977)),0)),"")</f>
        <v>Large</v>
      </c>
      <c r="E1977" t="str">
        <f t="shared" si="30"/>
        <v>0.128</v>
      </c>
    </row>
    <row r="1978" spans="1:5" x14ac:dyDescent="0.3">
      <c r="A1978" t="s">
        <v>1976</v>
      </c>
      <c r="B1978" t="str" cm="1">
        <f t="array" ref="B1978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hemlock"},A1978)),0)),"")</f>
        <v>Populus</v>
      </c>
      <c r="C1978" t="str" cm="1">
        <f t="array" ref="C1978">IFERROR(INDEX({"Ridgetop","Other"},MATCH(TRUE,ISNUMBER(SEARCH({"Ridgetop","Other"},A1978)),0)),"")</f>
        <v>Ridgetop</v>
      </c>
      <c r="D1978" t="str" cm="1">
        <f t="array" ref="D1978">IFERROR(INDEX({"Small","Medium","Large"},MATCH(TRUE,ISNUMBER(SEARCH({"Small","Medium","Large"},A1978)),0)),"")</f>
        <v>Small</v>
      </c>
      <c r="E1978" t="str">
        <f t="shared" si="30"/>
        <v>0.284</v>
      </c>
    </row>
    <row r="1979" spans="1:5" x14ac:dyDescent="0.3">
      <c r="A1979" t="s">
        <v>1977</v>
      </c>
      <c r="B1979" t="str" cm="1">
        <f t="array" ref="B1979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hemlock"},A1979)),0)),"")</f>
        <v>Populus</v>
      </c>
      <c r="C1979" t="str" cm="1">
        <f t="array" ref="C1979">IFERROR(INDEX({"Ridgetop","Other"},MATCH(TRUE,ISNUMBER(SEARCH({"Ridgetop","Other"},A1979)),0)),"")</f>
        <v>Ridgetop</v>
      </c>
      <c r="D1979" t="str" cm="1">
        <f t="array" ref="D1979">IFERROR(INDEX({"Small","Medium","Large"},MATCH(TRUE,ISNUMBER(SEARCH({"Small","Medium","Large"},A1979)),0)),"")</f>
        <v>Medium</v>
      </c>
      <c r="E1979" t="str">
        <f t="shared" si="30"/>
        <v>0.162</v>
      </c>
    </row>
    <row r="1980" spans="1:5" x14ac:dyDescent="0.3">
      <c r="A1980" t="s">
        <v>1978</v>
      </c>
      <c r="B1980" t="str" cm="1">
        <f t="array" ref="B1980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hemlock"},A1980)),0)),"")</f>
        <v>Populus</v>
      </c>
      <c r="C1980" t="str" cm="1">
        <f t="array" ref="C1980">IFERROR(INDEX({"Ridgetop","Other"},MATCH(TRUE,ISNUMBER(SEARCH({"Ridgetop","Other"},A1980)),0)),"")</f>
        <v>Ridgetop</v>
      </c>
      <c r="D1980" t="str" cm="1">
        <f t="array" ref="D1980">IFERROR(INDEX({"Small","Medium","Large"},MATCH(TRUE,ISNUMBER(SEARCH({"Small","Medium","Large"},A1980)),0)),"")</f>
        <v>Large</v>
      </c>
      <c r="E1980" t="str">
        <f t="shared" si="30"/>
        <v>0.128</v>
      </c>
    </row>
    <row r="1981" spans="1:5" x14ac:dyDescent="0.3">
      <c r="A1981" t="s">
        <v>1979</v>
      </c>
      <c r="B1981" t="str" cm="1">
        <f t="array" ref="B1981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hemlock"},A1981)),0)),"")</f>
        <v>Populus</v>
      </c>
      <c r="C1981" t="str" cm="1">
        <f t="array" ref="C1981">IFERROR(INDEX({"Ridgetop","Other"},MATCH(TRUE,ISNUMBER(SEARCH({"Ridgetop","Other"},A1981)),0)),"")</f>
        <v>Other</v>
      </c>
      <c r="D1981" t="str" cm="1">
        <f t="array" ref="D1981">IFERROR(INDEX({"Small","Medium","Large"},MATCH(TRUE,ISNUMBER(SEARCH({"Small","Medium","Large"},A1981)),0)),"")</f>
        <v>Small</v>
      </c>
      <c r="E1981" t="str">
        <f t="shared" si="30"/>
        <v>0.128</v>
      </c>
    </row>
    <row r="1982" spans="1:5" x14ac:dyDescent="0.3">
      <c r="A1982" t="s">
        <v>1980</v>
      </c>
      <c r="B1982" t="str" cm="1">
        <f t="array" ref="B1982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hemlock"},A1982)),0)),"")</f>
        <v>Populus</v>
      </c>
      <c r="C1982" t="str" cm="1">
        <f t="array" ref="C1982">IFERROR(INDEX({"Ridgetop","Other"},MATCH(TRUE,ISNUMBER(SEARCH({"Ridgetop","Other"},A1982)),0)),"")</f>
        <v>Other</v>
      </c>
      <c r="D1982" t="str" cm="1">
        <f t="array" ref="D1982">IFERROR(INDEX({"Small","Medium","Large"},MATCH(TRUE,ISNUMBER(SEARCH({"Small","Medium","Large"},A1982)),0)),"")</f>
        <v>Medium</v>
      </c>
      <c r="E1982" t="str">
        <f t="shared" si="30"/>
        <v>0.073</v>
      </c>
    </row>
    <row r="1983" spans="1:5" x14ac:dyDescent="0.3">
      <c r="A1983" t="s">
        <v>1981</v>
      </c>
      <c r="B1983" t="str" cm="1">
        <f t="array" ref="B1983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hemlock"},A1983)),0)),"")</f>
        <v>Populus</v>
      </c>
      <c r="C1983" t="str" cm="1">
        <f t="array" ref="C1983">IFERROR(INDEX({"Ridgetop","Other"},MATCH(TRUE,ISNUMBER(SEARCH({"Ridgetop","Other"},A1983)),0)),"")</f>
        <v>Other</v>
      </c>
      <c r="D1983" t="str" cm="1">
        <f t="array" ref="D1983">IFERROR(INDEX({"Small","Medium","Large"},MATCH(TRUE,ISNUMBER(SEARCH({"Small","Medium","Large"},A1983)),0)),"")</f>
        <v>Large</v>
      </c>
      <c r="E1983" t="str">
        <f t="shared" si="30"/>
        <v>0.058</v>
      </c>
    </row>
    <row r="1984" spans="1:5" x14ac:dyDescent="0.3">
      <c r="A1984" t="s">
        <v>1982</v>
      </c>
      <c r="B1984" t="str" cm="1">
        <f t="array" ref="B1984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hemlock"},A1984)),0)),"")</f>
        <v>Populus</v>
      </c>
      <c r="C1984" t="str" cm="1">
        <f t="array" ref="C1984">IFERROR(INDEX({"Ridgetop","Other"},MATCH(TRUE,ISNUMBER(SEARCH({"Ridgetop","Other"},A1984)),0)),"")</f>
        <v>Other</v>
      </c>
      <c r="D1984" t="str" cm="1">
        <f t="array" ref="D1984">IFERROR(INDEX({"Small","Medium","Large"},MATCH(TRUE,ISNUMBER(SEARCH({"Small","Medium","Large"},A1984)),0)),"")</f>
        <v>Small</v>
      </c>
      <c r="E1984" t="str">
        <f t="shared" si="30"/>
        <v>0.142</v>
      </c>
    </row>
    <row r="1985" spans="1:5" x14ac:dyDescent="0.3">
      <c r="A1985" t="s">
        <v>1983</v>
      </c>
      <c r="B1985" t="str" cm="1">
        <f t="array" ref="B1985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hemlock"},A1985)),0)),"")</f>
        <v>Populus</v>
      </c>
      <c r="C1985" t="str" cm="1">
        <f t="array" ref="C1985">IFERROR(INDEX({"Ridgetop","Other"},MATCH(TRUE,ISNUMBER(SEARCH({"Ridgetop","Other"},A1985)),0)),"")</f>
        <v>Other</v>
      </c>
      <c r="D1985" t="str" cm="1">
        <f t="array" ref="D1985">IFERROR(INDEX({"Small","Medium","Large"},MATCH(TRUE,ISNUMBER(SEARCH({"Small","Medium","Large"},A1985)),0)),"")</f>
        <v>Medium</v>
      </c>
      <c r="E1985" t="str">
        <f t="shared" si="30"/>
        <v>0.081</v>
      </c>
    </row>
    <row r="1986" spans="1:5" x14ac:dyDescent="0.3">
      <c r="A1986" t="s">
        <v>1984</v>
      </c>
      <c r="B1986" t="str" cm="1">
        <f t="array" ref="B1986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hemlock"},A1986)),0)),"")</f>
        <v>Populus</v>
      </c>
      <c r="C1986" t="str" cm="1">
        <f t="array" ref="C1986">IFERROR(INDEX({"Ridgetop","Other"},MATCH(TRUE,ISNUMBER(SEARCH({"Ridgetop","Other"},A1986)),0)),"")</f>
        <v>Other</v>
      </c>
      <c r="D1986" t="str" cm="1">
        <f t="array" ref="D1986">IFERROR(INDEX({"Small","Medium","Large"},MATCH(TRUE,ISNUMBER(SEARCH({"Small","Medium","Large"},A1986)),0)),"")</f>
        <v>Large</v>
      </c>
      <c r="E1986" t="str">
        <f t="shared" si="30"/>
        <v>0.064</v>
      </c>
    </row>
    <row r="1987" spans="1:5" x14ac:dyDescent="0.3">
      <c r="A1987" t="s">
        <v>1985</v>
      </c>
      <c r="B1987" t="str" cm="1">
        <f t="array" ref="B1987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hemlock"},A1987)),0)),"")</f>
        <v>Populus</v>
      </c>
      <c r="C1987" t="str" cm="1">
        <f t="array" ref="C1987">IFERROR(INDEX({"Ridgetop","Other"},MATCH(TRUE,ISNUMBER(SEARCH({"Ridgetop","Other"},A1987)),0)),"")</f>
        <v>Other</v>
      </c>
      <c r="D1987" t="str" cm="1">
        <f t="array" ref="D1987">IFERROR(INDEX({"Small","Medium","Large"},MATCH(TRUE,ISNUMBER(SEARCH({"Small","Medium","Large"},A1987)),0)),"")</f>
        <v>Small</v>
      </c>
      <c r="E1987" t="str">
        <f t="shared" ref="E1987:E2050" si="31">RIGHT(A1987,LEN(A1987)-FIND("@",SUBSTITUTE(A1987," ","@",LEN(A1987)-LEN(SUBSTITUTE(A1987," ","")))))</f>
        <v>0.170</v>
      </c>
    </row>
    <row r="1988" spans="1:5" x14ac:dyDescent="0.3">
      <c r="A1988" t="s">
        <v>1986</v>
      </c>
      <c r="B1988" t="str" cm="1">
        <f t="array" ref="B1988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hemlock"},A1988)),0)),"")</f>
        <v>Populus</v>
      </c>
      <c r="C1988" t="str" cm="1">
        <f t="array" ref="C1988">IFERROR(INDEX({"Ridgetop","Other"},MATCH(TRUE,ISNUMBER(SEARCH({"Ridgetop","Other"},A1988)),0)),"")</f>
        <v>Other</v>
      </c>
      <c r="D1988" t="str" cm="1">
        <f t="array" ref="D1988">IFERROR(INDEX({"Small","Medium","Large"},MATCH(TRUE,ISNUMBER(SEARCH({"Small","Medium","Large"},A1988)),0)),"")</f>
        <v>Medium</v>
      </c>
      <c r="E1988" t="str">
        <f t="shared" si="31"/>
        <v>0.097</v>
      </c>
    </row>
    <row r="1989" spans="1:5" x14ac:dyDescent="0.3">
      <c r="A1989" t="s">
        <v>1987</v>
      </c>
      <c r="B1989" t="str" cm="1">
        <f t="array" ref="B1989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hemlock"},A1989)),0)),"")</f>
        <v>Populus</v>
      </c>
      <c r="C1989" t="str" cm="1">
        <f t="array" ref="C1989">IFERROR(INDEX({"Ridgetop","Other"},MATCH(TRUE,ISNUMBER(SEARCH({"Ridgetop","Other"},A1989)),0)),"")</f>
        <v>Other</v>
      </c>
      <c r="D1989" t="str" cm="1">
        <f t="array" ref="D1989">IFERROR(INDEX({"Small","Medium","Large"},MATCH(TRUE,ISNUMBER(SEARCH({"Small","Medium","Large"},A1989)),0)),"")</f>
        <v>Large</v>
      </c>
      <c r="E1989" t="str">
        <f t="shared" si="31"/>
        <v>0.077</v>
      </c>
    </row>
    <row r="1990" spans="1:5" x14ac:dyDescent="0.3">
      <c r="A1990" t="s">
        <v>1988</v>
      </c>
      <c r="B1990" t="str" cm="1">
        <f t="array" ref="B1990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hemlock"},A1990)),0)),"")</f>
        <v>Populus</v>
      </c>
      <c r="C1990" t="str" cm="1">
        <f t="array" ref="C1990">IFERROR(INDEX({"Ridgetop","Other"},MATCH(TRUE,ISNUMBER(SEARCH({"Ridgetop","Other"},A1990)),0)),"")</f>
        <v>Ridgetop</v>
      </c>
      <c r="D1990" t="str" cm="1">
        <f t="array" ref="D1990">IFERROR(INDEX({"Small","Medium","Large"},MATCH(TRUE,ISNUMBER(SEARCH({"Small","Medium","Large"},A1990)),0)),"")</f>
        <v>Small</v>
      </c>
      <c r="E1990" t="str">
        <f t="shared" si="31"/>
        <v>0.241</v>
      </c>
    </row>
    <row r="1991" spans="1:5" x14ac:dyDescent="0.3">
      <c r="A1991" t="s">
        <v>1989</v>
      </c>
      <c r="B1991" t="str" cm="1">
        <f t="array" ref="B1991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hemlock"},A1991)),0)),"")</f>
        <v>Populus</v>
      </c>
      <c r="C1991" t="str" cm="1">
        <f t="array" ref="C1991">IFERROR(INDEX({"Ridgetop","Other"},MATCH(TRUE,ISNUMBER(SEARCH({"Ridgetop","Other"},A1991)),0)),"")</f>
        <v>Ridgetop</v>
      </c>
      <c r="D1991" t="str" cm="1">
        <f t="array" ref="D1991">IFERROR(INDEX({"Small","Medium","Large"},MATCH(TRUE,ISNUMBER(SEARCH({"Small","Medium","Large"},A1991)),0)),"")</f>
        <v>Medium</v>
      </c>
      <c r="E1991" t="str">
        <f t="shared" si="31"/>
        <v>0.138</v>
      </c>
    </row>
    <row r="1992" spans="1:5" x14ac:dyDescent="0.3">
      <c r="A1992" t="s">
        <v>1990</v>
      </c>
      <c r="B1992" t="str" cm="1">
        <f t="array" ref="B1992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hemlock"},A1992)),0)),"")</f>
        <v>Populus</v>
      </c>
      <c r="C1992" t="str" cm="1">
        <f t="array" ref="C1992">IFERROR(INDEX({"Ridgetop","Other"},MATCH(TRUE,ISNUMBER(SEARCH({"Ridgetop","Other"},A1992)),0)),"")</f>
        <v>Ridgetop</v>
      </c>
      <c r="D1992" t="str" cm="1">
        <f t="array" ref="D1992">IFERROR(INDEX({"Small","Medium","Large"},MATCH(TRUE,ISNUMBER(SEARCH({"Small","Medium","Large"},A1992)),0)),"")</f>
        <v>Large</v>
      </c>
      <c r="E1992" t="str">
        <f t="shared" si="31"/>
        <v>0.109</v>
      </c>
    </row>
    <row r="1993" spans="1:5" x14ac:dyDescent="0.3">
      <c r="A1993" t="s">
        <v>1991</v>
      </c>
      <c r="B1993" t="str" cm="1">
        <f t="array" ref="B1993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hemlock"},A1993)),0)),"")</f>
        <v>Populus</v>
      </c>
      <c r="C1993" t="str" cm="1">
        <f t="array" ref="C1993">IFERROR(INDEX({"Ridgetop","Other"},MATCH(TRUE,ISNUMBER(SEARCH({"Ridgetop","Other"},A1993)),0)),"")</f>
        <v>Ridgetop</v>
      </c>
      <c r="D1993" t="str" cm="1">
        <f t="array" ref="D1993">IFERROR(INDEX({"Small","Medium","Large"},MATCH(TRUE,ISNUMBER(SEARCH({"Small","Medium","Large"},A1993)),0)),"")</f>
        <v>Small</v>
      </c>
      <c r="E1993" t="str">
        <f t="shared" si="31"/>
        <v>0.241</v>
      </c>
    </row>
    <row r="1994" spans="1:5" x14ac:dyDescent="0.3">
      <c r="A1994" t="s">
        <v>1992</v>
      </c>
      <c r="B1994" t="str" cm="1">
        <f t="array" ref="B1994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hemlock"},A1994)),0)),"")</f>
        <v>Populus</v>
      </c>
      <c r="C1994" t="str" cm="1">
        <f t="array" ref="C1994">IFERROR(INDEX({"Ridgetop","Other"},MATCH(TRUE,ISNUMBER(SEARCH({"Ridgetop","Other"},A1994)),0)),"")</f>
        <v>Ridgetop</v>
      </c>
      <c r="D1994" t="str" cm="1">
        <f t="array" ref="D1994">IFERROR(INDEX({"Small","Medium","Large"},MATCH(TRUE,ISNUMBER(SEARCH({"Small","Medium","Large"},A1994)),0)),"")</f>
        <v>Medium</v>
      </c>
      <c r="E1994" t="str">
        <f t="shared" si="31"/>
        <v>0.138</v>
      </c>
    </row>
    <row r="1995" spans="1:5" x14ac:dyDescent="0.3">
      <c r="A1995" t="s">
        <v>1993</v>
      </c>
      <c r="B1995" t="str" cm="1">
        <f t="array" ref="B1995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hemlock"},A1995)),0)),"")</f>
        <v>Populus</v>
      </c>
      <c r="C1995" t="str" cm="1">
        <f t="array" ref="C1995">IFERROR(INDEX({"Ridgetop","Other"},MATCH(TRUE,ISNUMBER(SEARCH({"Ridgetop","Other"},A1995)),0)),"")</f>
        <v>Ridgetop</v>
      </c>
      <c r="D1995" t="str" cm="1">
        <f t="array" ref="D1995">IFERROR(INDEX({"Small","Medium","Large"},MATCH(TRUE,ISNUMBER(SEARCH({"Small","Medium","Large"},A1995)),0)),"")</f>
        <v>Large</v>
      </c>
      <c r="E1995" t="str">
        <f t="shared" si="31"/>
        <v>0.109</v>
      </c>
    </row>
    <row r="1996" spans="1:5" x14ac:dyDescent="0.3">
      <c r="A1996" t="s">
        <v>1994</v>
      </c>
      <c r="B1996" t="str" cm="1">
        <f t="array" ref="B1996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hemlock"},A1996)),0)),"")</f>
        <v>Populus</v>
      </c>
      <c r="C1996" t="str" cm="1">
        <f t="array" ref="C1996">IFERROR(INDEX({"Ridgetop","Other"},MATCH(TRUE,ISNUMBER(SEARCH({"Ridgetop","Other"},A1996)),0)),"")</f>
        <v>Ridgetop</v>
      </c>
      <c r="D1996" t="str" cm="1">
        <f t="array" ref="D1996">IFERROR(INDEX({"Small","Medium","Large"},MATCH(TRUE,ISNUMBER(SEARCH({"Small","Medium","Large"},A1996)),0)),"")</f>
        <v>Small</v>
      </c>
      <c r="E1996" t="str">
        <f t="shared" si="31"/>
        <v>0.256</v>
      </c>
    </row>
    <row r="1997" spans="1:5" x14ac:dyDescent="0.3">
      <c r="A1997" t="s">
        <v>1995</v>
      </c>
      <c r="B1997" t="str" cm="1">
        <f t="array" ref="B1997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hemlock"},A1997)),0)),"")</f>
        <v>Populus</v>
      </c>
      <c r="C1997" t="str" cm="1">
        <f t="array" ref="C1997">IFERROR(INDEX({"Ridgetop","Other"},MATCH(TRUE,ISNUMBER(SEARCH({"Ridgetop","Other"},A1997)),0)),"")</f>
        <v>Ridgetop</v>
      </c>
      <c r="D1997" t="str" cm="1">
        <f t="array" ref="D1997">IFERROR(INDEX({"Small","Medium","Large"},MATCH(TRUE,ISNUMBER(SEARCH({"Small","Medium","Large"},A1997)),0)),"")</f>
        <v>Medium</v>
      </c>
      <c r="E1997" t="str">
        <f t="shared" si="31"/>
        <v>0.146</v>
      </c>
    </row>
    <row r="1998" spans="1:5" x14ac:dyDescent="0.3">
      <c r="A1998" t="s">
        <v>1996</v>
      </c>
      <c r="B1998" t="str" cm="1">
        <f t="array" ref="B1998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hemlock"},A1998)),0)),"")</f>
        <v>Populus</v>
      </c>
      <c r="C1998" t="str" cm="1">
        <f t="array" ref="C1998">IFERROR(INDEX({"Ridgetop","Other"},MATCH(TRUE,ISNUMBER(SEARCH({"Ridgetop","Other"},A1998)),0)),"")</f>
        <v>Ridgetop</v>
      </c>
      <c r="D1998" t="str" cm="1">
        <f t="array" ref="D1998">IFERROR(INDEX({"Small","Medium","Large"},MATCH(TRUE,ISNUMBER(SEARCH({"Small","Medium","Large"},A1998)),0)),"")</f>
        <v>Large</v>
      </c>
      <c r="E1998" t="str">
        <f t="shared" si="31"/>
        <v>0.115</v>
      </c>
    </row>
    <row r="1999" spans="1:5" x14ac:dyDescent="0.3">
      <c r="A1999" t="s">
        <v>1997</v>
      </c>
      <c r="B1999" t="str" cm="1">
        <f t="array" ref="B1999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hemlock"},A1999)),0)),"")</f>
        <v>Populus</v>
      </c>
      <c r="C1999" t="str" cm="1">
        <f t="array" ref="C1999">IFERROR(INDEX({"Ridgetop","Other"},MATCH(TRUE,ISNUMBER(SEARCH({"Ridgetop","Other"},A1999)),0)),"")</f>
        <v>Other</v>
      </c>
      <c r="D1999" t="str" cm="1">
        <f t="array" ref="D1999">IFERROR(INDEX({"Small","Medium","Large"},MATCH(TRUE,ISNUMBER(SEARCH({"Small","Medium","Large"},A1999)),0)),"")</f>
        <v>Small</v>
      </c>
      <c r="E1999" t="str">
        <f t="shared" si="31"/>
        <v>0.156</v>
      </c>
    </row>
    <row r="2000" spans="1:5" x14ac:dyDescent="0.3">
      <c r="A2000" t="s">
        <v>1998</v>
      </c>
      <c r="B2000" t="str" cm="1">
        <f t="array" ref="B2000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hemlock"},A2000)),0)),"")</f>
        <v>Populus</v>
      </c>
      <c r="C2000" t="str" cm="1">
        <f t="array" ref="C2000">IFERROR(INDEX({"Ridgetop","Other"},MATCH(TRUE,ISNUMBER(SEARCH({"Ridgetop","Other"},A2000)),0)),"")</f>
        <v>Other</v>
      </c>
      <c r="D2000" t="str" cm="1">
        <f t="array" ref="D2000">IFERROR(INDEX({"Small","Medium","Large"},MATCH(TRUE,ISNUMBER(SEARCH({"Small","Medium","Large"},A2000)),0)),"")</f>
        <v>Medium</v>
      </c>
      <c r="E2000" t="str">
        <f t="shared" si="31"/>
        <v>0.089</v>
      </c>
    </row>
    <row r="2001" spans="1:5" x14ac:dyDescent="0.3">
      <c r="A2001" t="s">
        <v>1999</v>
      </c>
      <c r="B2001" t="str" cm="1">
        <f t="array" ref="B2001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hemlock"},A2001)),0)),"")</f>
        <v>Populus</v>
      </c>
      <c r="C2001" t="str" cm="1">
        <f t="array" ref="C2001">IFERROR(INDEX({"Ridgetop","Other"},MATCH(TRUE,ISNUMBER(SEARCH({"Ridgetop","Other"},A2001)),0)),"")</f>
        <v>Other</v>
      </c>
      <c r="D2001" t="str" cm="1">
        <f t="array" ref="D2001">IFERROR(INDEX({"Small","Medium","Large"},MATCH(TRUE,ISNUMBER(SEARCH({"Small","Medium","Large"},A2001)),0)),"")</f>
        <v>Large</v>
      </c>
      <c r="E2001" t="str">
        <f t="shared" si="31"/>
        <v>0.070</v>
      </c>
    </row>
    <row r="2002" spans="1:5" x14ac:dyDescent="0.3">
      <c r="A2002" t="s">
        <v>2000</v>
      </c>
      <c r="B2002" t="str" cm="1">
        <f t="array" ref="B2002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hemlock"},A2002)),0)),"")</f>
        <v>Populus</v>
      </c>
      <c r="C2002" t="str" cm="1">
        <f t="array" ref="C2002">IFERROR(INDEX({"Ridgetop","Other"},MATCH(TRUE,ISNUMBER(SEARCH({"Ridgetop","Other"},A2002)),0)),"")</f>
        <v>Other</v>
      </c>
      <c r="D2002" t="str" cm="1">
        <f t="array" ref="D2002">IFERROR(INDEX({"Small","Medium","Large"},MATCH(TRUE,ISNUMBER(SEARCH({"Small","Medium","Large"},A2002)),0)),"")</f>
        <v>Small</v>
      </c>
      <c r="E2002" t="str">
        <f t="shared" si="31"/>
        <v>0.170</v>
      </c>
    </row>
    <row r="2003" spans="1:5" x14ac:dyDescent="0.3">
      <c r="A2003" t="s">
        <v>2001</v>
      </c>
      <c r="B2003" t="str" cm="1">
        <f t="array" ref="B2003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hemlock"},A2003)),0)),"")</f>
        <v>Populus</v>
      </c>
      <c r="C2003" t="str" cm="1">
        <f t="array" ref="C2003">IFERROR(INDEX({"Ridgetop","Other"},MATCH(TRUE,ISNUMBER(SEARCH({"Ridgetop","Other"},A2003)),0)),"")</f>
        <v>Other</v>
      </c>
      <c r="D2003" t="str" cm="1">
        <f t="array" ref="D2003">IFERROR(INDEX({"Small","Medium","Large"},MATCH(TRUE,ISNUMBER(SEARCH({"Small","Medium","Large"},A2003)),0)),"")</f>
        <v>Medium</v>
      </c>
      <c r="E2003" t="str">
        <f t="shared" si="31"/>
        <v>0.097</v>
      </c>
    </row>
    <row r="2004" spans="1:5" x14ac:dyDescent="0.3">
      <c r="A2004" t="s">
        <v>2002</v>
      </c>
      <c r="B2004" t="str" cm="1">
        <f t="array" ref="B2004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hemlock"},A2004)),0)),"")</f>
        <v>Populus</v>
      </c>
      <c r="C2004" t="str" cm="1">
        <f t="array" ref="C2004">IFERROR(INDEX({"Ridgetop","Other"},MATCH(TRUE,ISNUMBER(SEARCH({"Ridgetop","Other"},A2004)),0)),"")</f>
        <v>Other</v>
      </c>
      <c r="D2004" t="str" cm="1">
        <f t="array" ref="D2004">IFERROR(INDEX({"Small","Medium","Large"},MATCH(TRUE,ISNUMBER(SEARCH({"Small","Medium","Large"},A2004)),0)),"")</f>
        <v>Large</v>
      </c>
      <c r="E2004" t="str">
        <f t="shared" si="31"/>
        <v>0.077</v>
      </c>
    </row>
    <row r="2005" spans="1:5" x14ac:dyDescent="0.3">
      <c r="A2005" t="s">
        <v>2003</v>
      </c>
      <c r="B2005" t="str" cm="1">
        <f t="array" ref="B2005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hemlock"},A2005)),0)),"")</f>
        <v>Populus</v>
      </c>
      <c r="C2005" t="str" cm="1">
        <f t="array" ref="C2005">IFERROR(INDEX({"Ridgetop","Other"},MATCH(TRUE,ISNUMBER(SEARCH({"Ridgetop","Other"},A2005)),0)),"")</f>
        <v>Other</v>
      </c>
      <c r="D2005" t="str" cm="1">
        <f t="array" ref="D2005">IFERROR(INDEX({"Small","Medium","Large"},MATCH(TRUE,ISNUMBER(SEARCH({"Small","Medium","Large"},A2005)),0)),"")</f>
        <v>Small</v>
      </c>
      <c r="E2005" t="str">
        <f t="shared" si="31"/>
        <v>0.170</v>
      </c>
    </row>
    <row r="2006" spans="1:5" x14ac:dyDescent="0.3">
      <c r="A2006" t="s">
        <v>2004</v>
      </c>
      <c r="B2006" t="str" cm="1">
        <f t="array" ref="B2006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hemlock"},A2006)),0)),"")</f>
        <v>Populus</v>
      </c>
      <c r="C2006" t="str" cm="1">
        <f t="array" ref="C2006">IFERROR(INDEX({"Ridgetop","Other"},MATCH(TRUE,ISNUMBER(SEARCH({"Ridgetop","Other"},A2006)),0)),"")</f>
        <v>Other</v>
      </c>
      <c r="D2006" t="str" cm="1">
        <f t="array" ref="D2006">IFERROR(INDEX({"Small","Medium","Large"},MATCH(TRUE,ISNUMBER(SEARCH({"Small","Medium","Large"},A2006)),0)),"")</f>
        <v>Medium</v>
      </c>
      <c r="E2006" t="str">
        <f t="shared" si="31"/>
        <v>0.097</v>
      </c>
    </row>
    <row r="2007" spans="1:5" x14ac:dyDescent="0.3">
      <c r="A2007" t="s">
        <v>2005</v>
      </c>
      <c r="B2007" t="str" cm="1">
        <f t="array" ref="B2007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hemlock"},A2007)),0)),"")</f>
        <v>Populus</v>
      </c>
      <c r="C2007" t="str" cm="1">
        <f t="array" ref="C2007">IFERROR(INDEX({"Ridgetop","Other"},MATCH(TRUE,ISNUMBER(SEARCH({"Ridgetop","Other"},A2007)),0)),"")</f>
        <v>Other</v>
      </c>
      <c r="D2007" t="str" cm="1">
        <f t="array" ref="D2007">IFERROR(INDEX({"Small","Medium","Large"},MATCH(TRUE,ISNUMBER(SEARCH({"Small","Medium","Large"},A2007)),0)),"")</f>
        <v>Large</v>
      </c>
      <c r="E2007" t="str">
        <f t="shared" si="31"/>
        <v>0.077</v>
      </c>
    </row>
    <row r="2008" spans="1:5" x14ac:dyDescent="0.3">
      <c r="A2008" t="s">
        <v>2006</v>
      </c>
      <c r="B2008" t="str" cm="1">
        <f t="array" ref="B2008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hemlock"},A2008)),0)),"")</f>
        <v>Populus</v>
      </c>
      <c r="C2008" t="str" cm="1">
        <f t="array" ref="C2008">IFERROR(INDEX({"Ridgetop","Other"},MATCH(TRUE,ISNUMBER(SEARCH({"Ridgetop","Other"},A2008)),0)),"")</f>
        <v>Ridgetop</v>
      </c>
      <c r="D2008" t="str" cm="1">
        <f t="array" ref="D2008">IFERROR(INDEX({"Small","Medium","Large"},MATCH(TRUE,ISNUMBER(SEARCH({"Small","Medium","Large"},A2008)),0)),"")</f>
        <v>Small</v>
      </c>
      <c r="E2008" t="str">
        <f t="shared" si="31"/>
        <v>0.284</v>
      </c>
    </row>
    <row r="2009" spans="1:5" x14ac:dyDescent="0.3">
      <c r="A2009" t="s">
        <v>2007</v>
      </c>
      <c r="B2009" t="str" cm="1">
        <f t="array" ref="B2009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hemlock"},A2009)),0)),"")</f>
        <v>Populus</v>
      </c>
      <c r="C2009" t="str" cm="1">
        <f t="array" ref="C2009">IFERROR(INDEX({"Ridgetop","Other"},MATCH(TRUE,ISNUMBER(SEARCH({"Ridgetop","Other"},A2009)),0)),"")</f>
        <v>Ridgetop</v>
      </c>
      <c r="D2009" t="str" cm="1">
        <f t="array" ref="D2009">IFERROR(INDEX({"Small","Medium","Large"},MATCH(TRUE,ISNUMBER(SEARCH({"Small","Medium","Large"},A2009)),0)),"")</f>
        <v>Medium</v>
      </c>
      <c r="E2009" t="str">
        <f t="shared" si="31"/>
        <v>0.162</v>
      </c>
    </row>
    <row r="2010" spans="1:5" x14ac:dyDescent="0.3">
      <c r="A2010" t="s">
        <v>2008</v>
      </c>
      <c r="B2010" t="str" cm="1">
        <f t="array" ref="B2010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hemlock"},A2010)),0)),"")</f>
        <v>Populus</v>
      </c>
      <c r="C2010" t="str" cm="1">
        <f t="array" ref="C2010">IFERROR(INDEX({"Ridgetop","Other"},MATCH(TRUE,ISNUMBER(SEARCH({"Ridgetop","Other"},A2010)),0)),"")</f>
        <v>Ridgetop</v>
      </c>
      <c r="D2010" t="str" cm="1">
        <f t="array" ref="D2010">IFERROR(INDEX({"Small","Medium","Large"},MATCH(TRUE,ISNUMBER(SEARCH({"Small","Medium","Large"},A2010)),0)),"")</f>
        <v>Large</v>
      </c>
      <c r="E2010" t="str">
        <f t="shared" si="31"/>
        <v>0.128</v>
      </c>
    </row>
    <row r="2011" spans="1:5" x14ac:dyDescent="0.3">
      <c r="A2011" t="s">
        <v>2009</v>
      </c>
      <c r="B2011" t="str" cm="1">
        <f t="array" ref="B2011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hemlock"},A2011)),0)),"")</f>
        <v>Populus</v>
      </c>
      <c r="C2011" t="str" cm="1">
        <f t="array" ref="C2011">IFERROR(INDEX({"Ridgetop","Other"},MATCH(TRUE,ISNUMBER(SEARCH({"Ridgetop","Other"},A2011)),0)),"")</f>
        <v>Ridgetop</v>
      </c>
      <c r="D2011" t="str" cm="1">
        <f t="array" ref="D2011">IFERROR(INDEX({"Small","Medium","Large"},MATCH(TRUE,ISNUMBER(SEARCH({"Small","Medium","Large"},A2011)),0)),"")</f>
        <v>Small</v>
      </c>
      <c r="E2011" t="str">
        <f t="shared" si="31"/>
        <v>0.284</v>
      </c>
    </row>
    <row r="2012" spans="1:5" x14ac:dyDescent="0.3">
      <c r="A2012" t="s">
        <v>2010</v>
      </c>
      <c r="B2012" t="str" cm="1">
        <f t="array" ref="B2012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hemlock"},A2012)),0)),"")</f>
        <v>Populus</v>
      </c>
      <c r="C2012" t="str" cm="1">
        <f t="array" ref="C2012">IFERROR(INDEX({"Ridgetop","Other"},MATCH(TRUE,ISNUMBER(SEARCH({"Ridgetop","Other"},A2012)),0)),"")</f>
        <v>Ridgetop</v>
      </c>
      <c r="D2012" t="str" cm="1">
        <f t="array" ref="D2012">IFERROR(INDEX({"Small","Medium","Large"},MATCH(TRUE,ISNUMBER(SEARCH({"Small","Medium","Large"},A2012)),0)),"")</f>
        <v>Medium</v>
      </c>
      <c r="E2012" t="str">
        <f t="shared" si="31"/>
        <v>0.162</v>
      </c>
    </row>
    <row r="2013" spans="1:5" x14ac:dyDescent="0.3">
      <c r="A2013" t="s">
        <v>2011</v>
      </c>
      <c r="B2013" t="str" cm="1">
        <f t="array" ref="B2013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hemlock"},A2013)),0)),"")</f>
        <v>Populus</v>
      </c>
      <c r="C2013" t="str" cm="1">
        <f t="array" ref="C2013">IFERROR(INDEX({"Ridgetop","Other"},MATCH(TRUE,ISNUMBER(SEARCH({"Ridgetop","Other"},A2013)),0)),"")</f>
        <v>Ridgetop</v>
      </c>
      <c r="D2013" t="str" cm="1">
        <f t="array" ref="D2013">IFERROR(INDEX({"Small","Medium","Large"},MATCH(TRUE,ISNUMBER(SEARCH({"Small","Medium","Large"},A2013)),0)),"")</f>
        <v>Large</v>
      </c>
      <c r="E2013" t="str">
        <f t="shared" si="31"/>
        <v>0.128</v>
      </c>
    </row>
    <row r="2014" spans="1:5" x14ac:dyDescent="0.3">
      <c r="A2014" t="s">
        <v>2012</v>
      </c>
      <c r="B2014" t="str" cm="1">
        <f t="array" ref="B2014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hemlock"},A2014)),0)),"")</f>
        <v>Populus</v>
      </c>
      <c r="C2014" t="str" cm="1">
        <f t="array" ref="C2014">IFERROR(INDEX({"Ridgetop","Other"},MATCH(TRUE,ISNUMBER(SEARCH({"Ridgetop","Other"},A2014)),0)),"")</f>
        <v>Ridgetop</v>
      </c>
      <c r="D2014" t="str" cm="1">
        <f t="array" ref="D2014">IFERROR(INDEX({"Small","Medium","Large"},MATCH(TRUE,ISNUMBER(SEARCH({"Small","Medium","Large"},A2014)),0)),"")</f>
        <v>Small</v>
      </c>
      <c r="E2014" t="str">
        <f t="shared" si="31"/>
        <v>0.284</v>
      </c>
    </row>
    <row r="2015" spans="1:5" x14ac:dyDescent="0.3">
      <c r="A2015" t="s">
        <v>2013</v>
      </c>
      <c r="B2015" t="str" cm="1">
        <f t="array" ref="B2015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hemlock"},A2015)),0)),"")</f>
        <v>Populus</v>
      </c>
      <c r="C2015" t="str" cm="1">
        <f t="array" ref="C2015">IFERROR(INDEX({"Ridgetop","Other"},MATCH(TRUE,ISNUMBER(SEARCH({"Ridgetop","Other"},A2015)),0)),"")</f>
        <v>Ridgetop</v>
      </c>
      <c r="D2015" t="str" cm="1">
        <f t="array" ref="D2015">IFERROR(INDEX({"Small","Medium","Large"},MATCH(TRUE,ISNUMBER(SEARCH({"Small","Medium","Large"},A2015)),0)),"")</f>
        <v>Medium</v>
      </c>
      <c r="E2015" t="str">
        <f t="shared" si="31"/>
        <v>0.162</v>
      </c>
    </row>
    <row r="2016" spans="1:5" x14ac:dyDescent="0.3">
      <c r="A2016" t="s">
        <v>2014</v>
      </c>
      <c r="B2016" t="str" cm="1">
        <f t="array" ref="B2016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hemlock"},A2016)),0)),"")</f>
        <v>Populus</v>
      </c>
      <c r="C2016" t="str" cm="1">
        <f t="array" ref="C2016">IFERROR(INDEX({"Ridgetop","Other"},MATCH(TRUE,ISNUMBER(SEARCH({"Ridgetop","Other"},A2016)),0)),"")</f>
        <v>Ridgetop</v>
      </c>
      <c r="D2016" t="str" cm="1">
        <f t="array" ref="D2016">IFERROR(INDEX({"Small","Medium","Large"},MATCH(TRUE,ISNUMBER(SEARCH({"Small","Medium","Large"},A2016)),0)),"")</f>
        <v>Large</v>
      </c>
      <c r="E2016" t="str">
        <f t="shared" si="31"/>
        <v>0.128</v>
      </c>
    </row>
    <row r="2017" spans="1:5" x14ac:dyDescent="0.3">
      <c r="A2017" t="s">
        <v>2015</v>
      </c>
      <c r="B2017" t="str" cm="1">
        <f t="array" ref="B2017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hemlock"},A2017)),0)),"")</f>
        <v>Populus</v>
      </c>
      <c r="C2017" t="str" cm="1">
        <f t="array" ref="C2017">IFERROR(INDEX({"Ridgetop","Other"},MATCH(TRUE,ISNUMBER(SEARCH({"Ridgetop","Other"},A2017)),0)),"")</f>
        <v>Other</v>
      </c>
      <c r="D2017" t="str" cm="1">
        <f t="array" ref="D2017">IFERROR(INDEX({"Small","Medium","Large"},MATCH(TRUE,ISNUMBER(SEARCH({"Small","Medium","Large"},A2017)),0)),"")</f>
        <v>Small</v>
      </c>
      <c r="E2017" t="str">
        <f t="shared" si="31"/>
        <v>0.138</v>
      </c>
    </row>
    <row r="2018" spans="1:5" x14ac:dyDescent="0.3">
      <c r="A2018" t="s">
        <v>2016</v>
      </c>
      <c r="B2018" t="str" cm="1">
        <f t="array" ref="B2018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hemlock"},A2018)),0)),"")</f>
        <v>Populus</v>
      </c>
      <c r="C2018" t="str" cm="1">
        <f t="array" ref="C2018">IFERROR(INDEX({"Ridgetop","Other"},MATCH(TRUE,ISNUMBER(SEARCH({"Ridgetop","Other"},A2018)),0)),"")</f>
        <v>Other</v>
      </c>
      <c r="D2018" t="str" cm="1">
        <f t="array" ref="D2018">IFERROR(INDEX({"Small","Medium","Large"},MATCH(TRUE,ISNUMBER(SEARCH({"Small","Medium","Large"},A2018)),0)),"")</f>
        <v>Medium</v>
      </c>
      <c r="E2018" t="str">
        <f t="shared" si="31"/>
        <v>0.079</v>
      </c>
    </row>
    <row r="2019" spans="1:5" x14ac:dyDescent="0.3">
      <c r="A2019" t="s">
        <v>2017</v>
      </c>
      <c r="B2019" t="str" cm="1">
        <f t="array" ref="B2019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hemlock"},A2019)),0)),"")</f>
        <v>Populus</v>
      </c>
      <c r="C2019" t="str" cm="1">
        <f t="array" ref="C2019">IFERROR(INDEX({"Ridgetop","Other"},MATCH(TRUE,ISNUMBER(SEARCH({"Ridgetop","Other"},A2019)),0)),"")</f>
        <v>Other</v>
      </c>
      <c r="D2019" t="str" cm="1">
        <f t="array" ref="D2019">IFERROR(INDEX({"Small","Medium","Large"},MATCH(TRUE,ISNUMBER(SEARCH({"Small","Medium","Large"},A2019)),0)),"")</f>
        <v>Large</v>
      </c>
      <c r="E2019" t="str">
        <f t="shared" si="31"/>
        <v>0.062</v>
      </c>
    </row>
    <row r="2020" spans="1:5" x14ac:dyDescent="0.3">
      <c r="A2020" t="s">
        <v>2018</v>
      </c>
      <c r="B2020" t="str" cm="1">
        <f t="array" ref="B2020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hemlock"},A2020)),0)),"")</f>
        <v>Populus</v>
      </c>
      <c r="C2020" t="str" cm="1">
        <f t="array" ref="C2020">IFERROR(INDEX({"Ridgetop","Other"},MATCH(TRUE,ISNUMBER(SEARCH({"Ridgetop","Other"},A2020)),0)),"")</f>
        <v>Other</v>
      </c>
      <c r="D2020" t="str" cm="1">
        <f t="array" ref="D2020">IFERROR(INDEX({"Small","Medium","Large"},MATCH(TRUE,ISNUMBER(SEARCH({"Small","Medium","Large"},A2020)),0)),"")</f>
        <v>Small</v>
      </c>
      <c r="E2020" t="str">
        <f t="shared" si="31"/>
        <v>0.156</v>
      </c>
    </row>
    <row r="2021" spans="1:5" x14ac:dyDescent="0.3">
      <c r="A2021" t="s">
        <v>2019</v>
      </c>
      <c r="B2021" t="str" cm="1">
        <f t="array" ref="B2021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hemlock"},A2021)),0)),"")</f>
        <v>Populus</v>
      </c>
      <c r="C2021" t="str" cm="1">
        <f t="array" ref="C2021">IFERROR(INDEX({"Ridgetop","Other"},MATCH(TRUE,ISNUMBER(SEARCH({"Ridgetop","Other"},A2021)),0)),"")</f>
        <v>Other</v>
      </c>
      <c r="D2021" t="str" cm="1">
        <f t="array" ref="D2021">IFERROR(INDEX({"Small","Medium","Large"},MATCH(TRUE,ISNUMBER(SEARCH({"Small","Medium","Large"},A2021)),0)),"")</f>
        <v>Medium</v>
      </c>
      <c r="E2021" t="str">
        <f t="shared" si="31"/>
        <v>0.089</v>
      </c>
    </row>
    <row r="2022" spans="1:5" x14ac:dyDescent="0.3">
      <c r="A2022" t="s">
        <v>2020</v>
      </c>
      <c r="B2022" t="str" cm="1">
        <f t="array" ref="B2022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hemlock"},A2022)),0)),"")</f>
        <v>Populus</v>
      </c>
      <c r="C2022" t="str" cm="1">
        <f t="array" ref="C2022">IFERROR(INDEX({"Ridgetop","Other"},MATCH(TRUE,ISNUMBER(SEARCH({"Ridgetop","Other"},A2022)),0)),"")</f>
        <v>Other</v>
      </c>
      <c r="D2022" t="str" cm="1">
        <f t="array" ref="D2022">IFERROR(INDEX({"Small","Medium","Large"},MATCH(TRUE,ISNUMBER(SEARCH({"Small","Medium","Large"},A2022)),0)),"")</f>
        <v>Large</v>
      </c>
      <c r="E2022" t="str">
        <f t="shared" si="31"/>
        <v>0.070</v>
      </c>
    </row>
    <row r="2023" spans="1:5" x14ac:dyDescent="0.3">
      <c r="A2023" t="s">
        <v>2021</v>
      </c>
      <c r="B2023" t="str" cm="1">
        <f t="array" ref="B2023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hemlock"},A2023)),0)),"")</f>
        <v>Populus</v>
      </c>
      <c r="C2023" t="str" cm="1">
        <f t="array" ref="C2023">IFERROR(INDEX({"Ridgetop","Other"},MATCH(TRUE,ISNUMBER(SEARCH({"Ridgetop","Other"},A2023)),0)),"")</f>
        <v>Other</v>
      </c>
      <c r="D2023" t="str" cm="1">
        <f t="array" ref="D2023">IFERROR(INDEX({"Small","Medium","Large"},MATCH(TRUE,ISNUMBER(SEARCH({"Small","Medium","Large"},A2023)),0)),"")</f>
        <v>Small</v>
      </c>
      <c r="E2023" t="str">
        <f t="shared" si="31"/>
        <v>0.170</v>
      </c>
    </row>
    <row r="2024" spans="1:5" x14ac:dyDescent="0.3">
      <c r="A2024" t="s">
        <v>2022</v>
      </c>
      <c r="B2024" t="str" cm="1">
        <f t="array" ref="B2024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hemlock"},A2024)),0)),"")</f>
        <v>Populus</v>
      </c>
      <c r="C2024" t="str" cm="1">
        <f t="array" ref="C2024">IFERROR(INDEX({"Ridgetop","Other"},MATCH(TRUE,ISNUMBER(SEARCH({"Ridgetop","Other"},A2024)),0)),"")</f>
        <v>Other</v>
      </c>
      <c r="D2024" t="str" cm="1">
        <f t="array" ref="D2024">IFERROR(INDEX({"Small","Medium","Large"},MATCH(TRUE,ISNUMBER(SEARCH({"Small","Medium","Large"},A2024)),0)),"")</f>
        <v>Medium</v>
      </c>
      <c r="E2024" t="str">
        <f t="shared" si="31"/>
        <v>0.097</v>
      </c>
    </row>
    <row r="2025" spans="1:5" x14ac:dyDescent="0.3">
      <c r="A2025" t="s">
        <v>2023</v>
      </c>
      <c r="B2025" t="str" cm="1">
        <f t="array" ref="B2025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hemlock"},A2025)),0)),"")</f>
        <v>Populus</v>
      </c>
      <c r="C2025" t="str" cm="1">
        <f t="array" ref="C2025">IFERROR(INDEX({"Ridgetop","Other"},MATCH(TRUE,ISNUMBER(SEARCH({"Ridgetop","Other"},A2025)),0)),"")</f>
        <v>Other</v>
      </c>
      <c r="D2025" t="str" cm="1">
        <f t="array" ref="D2025">IFERROR(INDEX({"Small","Medium","Large"},MATCH(TRUE,ISNUMBER(SEARCH({"Small","Medium","Large"},A2025)),0)),"")</f>
        <v>Large</v>
      </c>
      <c r="E2025" t="str">
        <f t="shared" si="31"/>
        <v>0.077</v>
      </c>
    </row>
    <row r="2026" spans="1:5" x14ac:dyDescent="0.3">
      <c r="A2026" t="s">
        <v>2024</v>
      </c>
      <c r="B2026" t="str" cm="1">
        <f t="array" ref="B2026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hemlock"},A2026)),0)),"")</f>
        <v>Populus</v>
      </c>
      <c r="C2026" t="str" cm="1">
        <f t="array" ref="C2026">IFERROR(INDEX({"Ridgetop","Other"},MATCH(TRUE,ISNUMBER(SEARCH({"Ridgetop","Other"},A2026)),0)),"")</f>
        <v>Ridgetop</v>
      </c>
      <c r="D2026" t="str" cm="1">
        <f t="array" ref="D2026">IFERROR(INDEX({"Small","Medium","Large"},MATCH(TRUE,ISNUMBER(SEARCH({"Small","Medium","Large"},A2026)),0)),"")</f>
        <v>Small</v>
      </c>
      <c r="E2026" t="str">
        <f t="shared" si="31"/>
        <v>0.263</v>
      </c>
    </row>
    <row r="2027" spans="1:5" x14ac:dyDescent="0.3">
      <c r="A2027" t="s">
        <v>2025</v>
      </c>
      <c r="B2027" t="str" cm="1">
        <f t="array" ref="B2027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hemlock"},A2027)),0)),"")</f>
        <v>Populus</v>
      </c>
      <c r="C2027" t="str" cm="1">
        <f t="array" ref="C2027">IFERROR(INDEX({"Ridgetop","Other"},MATCH(TRUE,ISNUMBER(SEARCH({"Ridgetop","Other"},A2027)),0)),"")</f>
        <v>Ridgetop</v>
      </c>
      <c r="D2027" t="str" cm="1">
        <f t="array" ref="D2027">IFERROR(INDEX({"Small","Medium","Large"},MATCH(TRUE,ISNUMBER(SEARCH({"Small","Medium","Large"},A2027)),0)),"")</f>
        <v>Medium</v>
      </c>
      <c r="E2027" t="str">
        <f t="shared" si="31"/>
        <v>0.150</v>
      </c>
    </row>
    <row r="2028" spans="1:5" x14ac:dyDescent="0.3">
      <c r="A2028" t="s">
        <v>2026</v>
      </c>
      <c r="B2028" t="str" cm="1">
        <f t="array" ref="B2028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hemlock"},A2028)),0)),"")</f>
        <v>Populus</v>
      </c>
      <c r="C2028" t="str" cm="1">
        <f t="array" ref="C2028">IFERROR(INDEX({"Ridgetop","Other"},MATCH(TRUE,ISNUMBER(SEARCH({"Ridgetop","Other"},A2028)),0)),"")</f>
        <v>Ridgetop</v>
      </c>
      <c r="D2028" t="str" cm="1">
        <f t="array" ref="D2028">IFERROR(INDEX({"Small","Medium","Large"},MATCH(TRUE,ISNUMBER(SEARCH({"Small","Medium","Large"},A2028)),0)),"")</f>
        <v>Large</v>
      </c>
      <c r="E2028" t="str">
        <f t="shared" si="31"/>
        <v>0.118</v>
      </c>
    </row>
    <row r="2029" spans="1:5" x14ac:dyDescent="0.3">
      <c r="A2029" t="s">
        <v>2027</v>
      </c>
      <c r="B2029" t="str" cm="1">
        <f t="array" ref="B2029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hemlock"},A2029)),0)),"")</f>
        <v>Populus</v>
      </c>
      <c r="C2029" t="str" cm="1">
        <f t="array" ref="C2029">IFERROR(INDEX({"Ridgetop","Other"},MATCH(TRUE,ISNUMBER(SEARCH({"Ridgetop","Other"},A2029)),0)),"")</f>
        <v>Ridgetop</v>
      </c>
      <c r="D2029" t="str" cm="1">
        <f t="array" ref="D2029">IFERROR(INDEX({"Small","Medium","Large"},MATCH(TRUE,ISNUMBER(SEARCH({"Small","Medium","Large"},A2029)),0)),"")</f>
        <v>Small</v>
      </c>
      <c r="E2029" t="str">
        <f t="shared" si="31"/>
        <v>0.263</v>
      </c>
    </row>
    <row r="2030" spans="1:5" x14ac:dyDescent="0.3">
      <c r="A2030" t="s">
        <v>2028</v>
      </c>
      <c r="B2030" t="str" cm="1">
        <f t="array" ref="B2030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hemlock"},A2030)),0)),"")</f>
        <v>Populus</v>
      </c>
      <c r="C2030" t="str" cm="1">
        <f t="array" ref="C2030">IFERROR(INDEX({"Ridgetop","Other"},MATCH(TRUE,ISNUMBER(SEARCH({"Ridgetop","Other"},A2030)),0)),"")</f>
        <v>Ridgetop</v>
      </c>
      <c r="D2030" t="str" cm="1">
        <f t="array" ref="D2030">IFERROR(INDEX({"Small","Medium","Large"},MATCH(TRUE,ISNUMBER(SEARCH({"Small","Medium","Large"},A2030)),0)),"")</f>
        <v>Medium</v>
      </c>
      <c r="E2030" t="str">
        <f t="shared" si="31"/>
        <v>0.150</v>
      </c>
    </row>
    <row r="2031" spans="1:5" x14ac:dyDescent="0.3">
      <c r="A2031" t="s">
        <v>2029</v>
      </c>
      <c r="B2031" t="str" cm="1">
        <f t="array" ref="B2031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hemlock"},A2031)),0)),"")</f>
        <v>Populus</v>
      </c>
      <c r="C2031" t="str" cm="1">
        <f t="array" ref="C2031">IFERROR(INDEX({"Ridgetop","Other"},MATCH(TRUE,ISNUMBER(SEARCH({"Ridgetop","Other"},A2031)),0)),"")</f>
        <v>Ridgetop</v>
      </c>
      <c r="D2031" t="str" cm="1">
        <f t="array" ref="D2031">IFERROR(INDEX({"Small","Medium","Large"},MATCH(TRUE,ISNUMBER(SEARCH({"Small","Medium","Large"},A2031)),0)),"")</f>
        <v>Large</v>
      </c>
      <c r="E2031" t="str">
        <f t="shared" si="31"/>
        <v>0.118</v>
      </c>
    </row>
    <row r="2032" spans="1:5" x14ac:dyDescent="0.3">
      <c r="A2032" t="s">
        <v>2030</v>
      </c>
      <c r="B2032" t="str" cm="1">
        <f t="array" ref="B2032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hemlock"},A2032)),0)),"")</f>
        <v>Populus</v>
      </c>
      <c r="C2032" t="str" cm="1">
        <f t="array" ref="C2032">IFERROR(INDEX({"Ridgetop","Other"},MATCH(TRUE,ISNUMBER(SEARCH({"Ridgetop","Other"},A2032)),0)),"")</f>
        <v>Ridgetop</v>
      </c>
      <c r="D2032" t="str" cm="1">
        <f t="array" ref="D2032">IFERROR(INDEX({"Small","Medium","Large"},MATCH(TRUE,ISNUMBER(SEARCH({"Small","Medium","Large"},A2032)),0)),"")</f>
        <v>Small</v>
      </c>
      <c r="E2032" t="str">
        <f t="shared" si="31"/>
        <v>0.270</v>
      </c>
    </row>
    <row r="2033" spans="1:5" x14ac:dyDescent="0.3">
      <c r="A2033" t="s">
        <v>2031</v>
      </c>
      <c r="B2033" t="str" cm="1">
        <f t="array" ref="B2033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hemlock"},A2033)),0)),"")</f>
        <v>Populus</v>
      </c>
      <c r="C2033" t="str" cm="1">
        <f t="array" ref="C2033">IFERROR(INDEX({"Ridgetop","Other"},MATCH(TRUE,ISNUMBER(SEARCH({"Ridgetop","Other"},A2033)),0)),"")</f>
        <v>Ridgetop</v>
      </c>
      <c r="D2033" t="str" cm="1">
        <f t="array" ref="D2033">IFERROR(INDEX({"Small","Medium","Large"},MATCH(TRUE,ISNUMBER(SEARCH({"Small","Medium","Large"},A2033)),0)),"")</f>
        <v>Medium</v>
      </c>
      <c r="E2033" t="str">
        <f t="shared" si="31"/>
        <v>0.154</v>
      </c>
    </row>
    <row r="2034" spans="1:5" x14ac:dyDescent="0.3">
      <c r="A2034" t="s">
        <v>2032</v>
      </c>
      <c r="B2034" t="str" cm="1">
        <f t="array" ref="B2034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hemlock"},A2034)),0)),"")</f>
        <v>Populus</v>
      </c>
      <c r="C2034" t="str" cm="1">
        <f t="array" ref="C2034">IFERROR(INDEX({"Ridgetop","Other"},MATCH(TRUE,ISNUMBER(SEARCH({"Ridgetop","Other"},A2034)),0)),"")</f>
        <v>Ridgetop</v>
      </c>
      <c r="D2034" t="str" cm="1">
        <f t="array" ref="D2034">IFERROR(INDEX({"Small","Medium","Large"},MATCH(TRUE,ISNUMBER(SEARCH({"Small","Medium","Large"},A2034)),0)),"")</f>
        <v>Large</v>
      </c>
      <c r="E2034" t="str">
        <f t="shared" si="31"/>
        <v>0.122</v>
      </c>
    </row>
    <row r="2035" spans="1:5" x14ac:dyDescent="0.3">
      <c r="A2035" t="s">
        <v>2033</v>
      </c>
      <c r="B2035" t="str" cm="1">
        <f t="array" ref="B2035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hemlock"},A2035)),0)),"")</f>
        <v>Populus</v>
      </c>
      <c r="C2035" t="str" cm="1">
        <f t="array" ref="C2035">IFERROR(INDEX({"Ridgetop","Other"},MATCH(TRUE,ISNUMBER(SEARCH({"Ridgetop","Other"},A2035)),0)),"")</f>
        <v>Other</v>
      </c>
      <c r="D2035" t="str" cm="1">
        <f t="array" ref="D2035">IFERROR(INDEX({"Small","Medium","Large"},MATCH(TRUE,ISNUMBER(SEARCH({"Small","Medium","Large"},A2035)),0)),"")</f>
        <v>Small</v>
      </c>
      <c r="E2035" t="str">
        <f t="shared" si="31"/>
        <v>0.156</v>
      </c>
    </row>
    <row r="2036" spans="1:5" x14ac:dyDescent="0.3">
      <c r="A2036" t="s">
        <v>2034</v>
      </c>
      <c r="B2036" t="str" cm="1">
        <f t="array" ref="B2036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hemlock"},A2036)),0)),"")</f>
        <v>Populus</v>
      </c>
      <c r="C2036" t="str" cm="1">
        <f t="array" ref="C2036">IFERROR(INDEX({"Ridgetop","Other"},MATCH(TRUE,ISNUMBER(SEARCH({"Ridgetop","Other"},A2036)),0)),"")</f>
        <v>Other</v>
      </c>
      <c r="D2036" t="str" cm="1">
        <f t="array" ref="D2036">IFERROR(INDEX({"Small","Medium","Large"},MATCH(TRUE,ISNUMBER(SEARCH({"Small","Medium","Large"},A2036)),0)),"")</f>
        <v>Medium</v>
      </c>
      <c r="E2036" t="str">
        <f t="shared" si="31"/>
        <v>0.089</v>
      </c>
    </row>
    <row r="2037" spans="1:5" x14ac:dyDescent="0.3">
      <c r="A2037" t="s">
        <v>2035</v>
      </c>
      <c r="B2037" t="str" cm="1">
        <f t="array" ref="B2037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hemlock"},A2037)),0)),"")</f>
        <v>Populus</v>
      </c>
      <c r="C2037" t="str" cm="1">
        <f t="array" ref="C2037">IFERROR(INDEX({"Ridgetop","Other"},MATCH(TRUE,ISNUMBER(SEARCH({"Ridgetop","Other"},A2037)),0)),"")</f>
        <v>Other</v>
      </c>
      <c r="D2037" t="str" cm="1">
        <f t="array" ref="D2037">IFERROR(INDEX({"Small","Medium","Large"},MATCH(TRUE,ISNUMBER(SEARCH({"Small","Medium","Large"},A2037)),0)),"")</f>
        <v>Large</v>
      </c>
      <c r="E2037" t="str">
        <f t="shared" si="31"/>
        <v>0.070</v>
      </c>
    </row>
    <row r="2038" spans="1:5" x14ac:dyDescent="0.3">
      <c r="A2038" t="s">
        <v>2036</v>
      </c>
      <c r="B2038" t="str" cm="1">
        <f t="array" ref="B2038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hemlock"},A2038)),0)),"")</f>
        <v>Populus</v>
      </c>
      <c r="C2038" t="str" cm="1">
        <f t="array" ref="C2038">IFERROR(INDEX({"Ridgetop","Other"},MATCH(TRUE,ISNUMBER(SEARCH({"Ridgetop","Other"},A2038)),0)),"")</f>
        <v>Other</v>
      </c>
      <c r="D2038" t="str" cm="1">
        <f t="array" ref="D2038">IFERROR(INDEX({"Small","Medium","Large"},MATCH(TRUE,ISNUMBER(SEARCH({"Small","Medium","Large"},A2038)),0)),"")</f>
        <v>Small</v>
      </c>
      <c r="E2038" t="str">
        <f t="shared" si="31"/>
        <v>0.170</v>
      </c>
    </row>
    <row r="2039" spans="1:5" x14ac:dyDescent="0.3">
      <c r="A2039" t="s">
        <v>2037</v>
      </c>
      <c r="B2039" t="str" cm="1">
        <f t="array" ref="B2039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hemlock"},A2039)),0)),"")</f>
        <v>Populus</v>
      </c>
      <c r="C2039" t="str" cm="1">
        <f t="array" ref="C2039">IFERROR(INDEX({"Ridgetop","Other"},MATCH(TRUE,ISNUMBER(SEARCH({"Ridgetop","Other"},A2039)),0)),"")</f>
        <v>Other</v>
      </c>
      <c r="D2039" t="str" cm="1">
        <f t="array" ref="D2039">IFERROR(INDEX({"Small","Medium","Large"},MATCH(TRUE,ISNUMBER(SEARCH({"Small","Medium","Large"},A2039)),0)),"")</f>
        <v>Medium</v>
      </c>
      <c r="E2039" t="str">
        <f t="shared" si="31"/>
        <v>0.097</v>
      </c>
    </row>
    <row r="2040" spans="1:5" x14ac:dyDescent="0.3">
      <c r="A2040" t="s">
        <v>2038</v>
      </c>
      <c r="B2040" t="str" cm="1">
        <f t="array" ref="B2040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hemlock"},A2040)),0)),"")</f>
        <v>Populus</v>
      </c>
      <c r="C2040" t="str" cm="1">
        <f t="array" ref="C2040">IFERROR(INDEX({"Ridgetop","Other"},MATCH(TRUE,ISNUMBER(SEARCH({"Ridgetop","Other"},A2040)),0)),"")</f>
        <v>Other</v>
      </c>
      <c r="D2040" t="str" cm="1">
        <f t="array" ref="D2040">IFERROR(INDEX({"Small","Medium","Large"},MATCH(TRUE,ISNUMBER(SEARCH({"Small","Medium","Large"},A2040)),0)),"")</f>
        <v>Large</v>
      </c>
      <c r="E2040" t="str">
        <f t="shared" si="31"/>
        <v>0.077</v>
      </c>
    </row>
    <row r="2041" spans="1:5" x14ac:dyDescent="0.3">
      <c r="A2041" t="s">
        <v>2039</v>
      </c>
      <c r="B2041" t="str" cm="1">
        <f t="array" ref="B2041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hemlock"},A2041)),0)),"")</f>
        <v>Populus</v>
      </c>
      <c r="C2041" t="str" cm="1">
        <f t="array" ref="C2041">IFERROR(INDEX({"Ridgetop","Other"},MATCH(TRUE,ISNUMBER(SEARCH({"Ridgetop","Other"},A2041)),0)),"")</f>
        <v>Other</v>
      </c>
      <c r="D2041" t="str" cm="1">
        <f t="array" ref="D2041">IFERROR(INDEX({"Small","Medium","Large"},MATCH(TRUE,ISNUMBER(SEARCH({"Small","Medium","Large"},A2041)),0)),"")</f>
        <v>Small</v>
      </c>
      <c r="E2041" t="str">
        <f t="shared" si="31"/>
        <v>0.170</v>
      </c>
    </row>
    <row r="2042" spans="1:5" x14ac:dyDescent="0.3">
      <c r="A2042" t="s">
        <v>2040</v>
      </c>
      <c r="B2042" t="str" cm="1">
        <f t="array" ref="B2042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hemlock"},A2042)),0)),"")</f>
        <v>Populus</v>
      </c>
      <c r="C2042" t="str" cm="1">
        <f t="array" ref="C2042">IFERROR(INDEX({"Ridgetop","Other"},MATCH(TRUE,ISNUMBER(SEARCH({"Ridgetop","Other"},A2042)),0)),"")</f>
        <v>Other</v>
      </c>
      <c r="D2042" t="str" cm="1">
        <f t="array" ref="D2042">IFERROR(INDEX({"Small","Medium","Large"},MATCH(TRUE,ISNUMBER(SEARCH({"Small","Medium","Large"},A2042)),0)),"")</f>
        <v>Medium</v>
      </c>
      <c r="E2042" t="str">
        <f t="shared" si="31"/>
        <v>0.097</v>
      </c>
    </row>
    <row r="2043" spans="1:5" x14ac:dyDescent="0.3">
      <c r="A2043" t="s">
        <v>2041</v>
      </c>
      <c r="B2043" t="str" cm="1">
        <f t="array" ref="B2043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hemlock"},A2043)),0)),"")</f>
        <v>Populus</v>
      </c>
      <c r="C2043" t="str" cm="1">
        <f t="array" ref="C2043">IFERROR(INDEX({"Ridgetop","Other"},MATCH(TRUE,ISNUMBER(SEARCH({"Ridgetop","Other"},A2043)),0)),"")</f>
        <v>Other</v>
      </c>
      <c r="D2043" t="str" cm="1">
        <f t="array" ref="D2043">IFERROR(INDEX({"Small","Medium","Large"},MATCH(TRUE,ISNUMBER(SEARCH({"Small","Medium","Large"},A2043)),0)),"")</f>
        <v>Large</v>
      </c>
      <c r="E2043" t="str">
        <f t="shared" si="31"/>
        <v>0.077</v>
      </c>
    </row>
    <row r="2044" spans="1:5" x14ac:dyDescent="0.3">
      <c r="A2044" t="s">
        <v>2042</v>
      </c>
      <c r="B2044" t="str" cm="1">
        <f t="array" ref="B2044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hemlock"},A2044)),0)),"")</f>
        <v>Populus</v>
      </c>
      <c r="C2044" t="str" cm="1">
        <f t="array" ref="C2044">IFERROR(INDEX({"Ridgetop","Other"},MATCH(TRUE,ISNUMBER(SEARCH({"Ridgetop","Other"},A2044)),0)),"")</f>
        <v>Ridgetop</v>
      </c>
      <c r="D2044" t="str" cm="1">
        <f t="array" ref="D2044">IFERROR(INDEX({"Small","Medium","Large"},MATCH(TRUE,ISNUMBER(SEARCH({"Small","Medium","Large"},A2044)),0)),"")</f>
        <v>Small</v>
      </c>
      <c r="E2044" t="str">
        <f t="shared" si="31"/>
        <v>0.284</v>
      </c>
    </row>
    <row r="2045" spans="1:5" x14ac:dyDescent="0.3">
      <c r="A2045" t="s">
        <v>2043</v>
      </c>
      <c r="B2045" t="str" cm="1">
        <f t="array" ref="B2045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hemlock"},A2045)),0)),"")</f>
        <v>Populus</v>
      </c>
      <c r="C2045" t="str" cm="1">
        <f t="array" ref="C2045">IFERROR(INDEX({"Ridgetop","Other"},MATCH(TRUE,ISNUMBER(SEARCH({"Ridgetop","Other"},A2045)),0)),"")</f>
        <v>Ridgetop</v>
      </c>
      <c r="D2045" t="str" cm="1">
        <f t="array" ref="D2045">IFERROR(INDEX({"Small","Medium","Large"},MATCH(TRUE,ISNUMBER(SEARCH({"Small","Medium","Large"},A2045)),0)),"")</f>
        <v>Medium</v>
      </c>
      <c r="E2045" t="str">
        <f t="shared" si="31"/>
        <v>0.162</v>
      </c>
    </row>
    <row r="2046" spans="1:5" x14ac:dyDescent="0.3">
      <c r="A2046" t="s">
        <v>2044</v>
      </c>
      <c r="B2046" t="str" cm="1">
        <f t="array" ref="B2046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hemlock"},A2046)),0)),"")</f>
        <v>Populus</v>
      </c>
      <c r="C2046" t="str" cm="1">
        <f t="array" ref="C2046">IFERROR(INDEX({"Ridgetop","Other"},MATCH(TRUE,ISNUMBER(SEARCH({"Ridgetop","Other"},A2046)),0)),"")</f>
        <v>Ridgetop</v>
      </c>
      <c r="D2046" t="str" cm="1">
        <f t="array" ref="D2046">IFERROR(INDEX({"Small","Medium","Large"},MATCH(TRUE,ISNUMBER(SEARCH({"Small","Medium","Large"},A2046)),0)),"")</f>
        <v>Large</v>
      </c>
      <c r="E2046" t="str">
        <f t="shared" si="31"/>
        <v>0.128</v>
      </c>
    </row>
    <row r="2047" spans="1:5" x14ac:dyDescent="0.3">
      <c r="A2047" t="s">
        <v>2045</v>
      </c>
      <c r="B2047" t="str" cm="1">
        <f t="array" ref="B2047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hemlock"},A2047)),0)),"")</f>
        <v>Populus</v>
      </c>
      <c r="C2047" t="str" cm="1">
        <f t="array" ref="C2047">IFERROR(INDEX({"Ridgetop","Other"},MATCH(TRUE,ISNUMBER(SEARCH({"Ridgetop","Other"},A2047)),0)),"")</f>
        <v>Ridgetop</v>
      </c>
      <c r="D2047" t="str" cm="1">
        <f t="array" ref="D2047">IFERROR(INDEX({"Small","Medium","Large"},MATCH(TRUE,ISNUMBER(SEARCH({"Small","Medium","Large"},A2047)),0)),"")</f>
        <v>Small</v>
      </c>
      <c r="E2047" t="str">
        <f t="shared" si="31"/>
        <v>0.284</v>
      </c>
    </row>
    <row r="2048" spans="1:5" x14ac:dyDescent="0.3">
      <c r="A2048" t="s">
        <v>2046</v>
      </c>
      <c r="B2048" t="str" cm="1">
        <f t="array" ref="B2048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hemlock"},A2048)),0)),"")</f>
        <v>Populus</v>
      </c>
      <c r="C2048" t="str" cm="1">
        <f t="array" ref="C2048">IFERROR(INDEX({"Ridgetop","Other"},MATCH(TRUE,ISNUMBER(SEARCH({"Ridgetop","Other"},A2048)),0)),"")</f>
        <v>Ridgetop</v>
      </c>
      <c r="D2048" t="str" cm="1">
        <f t="array" ref="D2048">IFERROR(INDEX({"Small","Medium","Large"},MATCH(TRUE,ISNUMBER(SEARCH({"Small","Medium","Large"},A2048)),0)),"")</f>
        <v>Medium</v>
      </c>
      <c r="E2048" t="str">
        <f t="shared" si="31"/>
        <v>0.162</v>
      </c>
    </row>
    <row r="2049" spans="1:5" x14ac:dyDescent="0.3">
      <c r="A2049" t="s">
        <v>2047</v>
      </c>
      <c r="B2049" t="str" cm="1">
        <f t="array" ref="B2049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hemlock"},A2049)),0)),"")</f>
        <v>Populus</v>
      </c>
      <c r="C2049" t="str" cm="1">
        <f t="array" ref="C2049">IFERROR(INDEX({"Ridgetop","Other"},MATCH(TRUE,ISNUMBER(SEARCH({"Ridgetop","Other"},A2049)),0)),"")</f>
        <v>Ridgetop</v>
      </c>
      <c r="D2049" t="str" cm="1">
        <f t="array" ref="D2049">IFERROR(INDEX({"Small","Medium","Large"},MATCH(TRUE,ISNUMBER(SEARCH({"Small","Medium","Large"},A2049)),0)),"")</f>
        <v>Large</v>
      </c>
      <c r="E2049" t="str">
        <f t="shared" si="31"/>
        <v>0.128</v>
      </c>
    </row>
    <row r="2050" spans="1:5" x14ac:dyDescent="0.3">
      <c r="A2050" t="s">
        <v>2048</v>
      </c>
      <c r="B2050" t="str" cm="1">
        <f t="array" ref="B2050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hemlock"},A2050)),0)),"")</f>
        <v>Populus</v>
      </c>
      <c r="C2050" t="str" cm="1">
        <f t="array" ref="C2050">IFERROR(INDEX({"Ridgetop","Other"},MATCH(TRUE,ISNUMBER(SEARCH({"Ridgetop","Other"},A2050)),0)),"")</f>
        <v>Ridgetop</v>
      </c>
      <c r="D2050" t="str" cm="1">
        <f t="array" ref="D2050">IFERROR(INDEX({"Small","Medium","Large"},MATCH(TRUE,ISNUMBER(SEARCH({"Small","Medium","Large"},A2050)),0)),"")</f>
        <v>Small</v>
      </c>
      <c r="E2050" t="str">
        <f t="shared" si="31"/>
        <v>0.284</v>
      </c>
    </row>
    <row r="2051" spans="1:5" x14ac:dyDescent="0.3">
      <c r="A2051" t="s">
        <v>2049</v>
      </c>
      <c r="B2051" t="str" cm="1">
        <f t="array" ref="B2051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hemlock"},A2051)),0)),"")</f>
        <v>Populus</v>
      </c>
      <c r="C2051" t="str" cm="1">
        <f t="array" ref="C2051">IFERROR(INDEX({"Ridgetop","Other"},MATCH(TRUE,ISNUMBER(SEARCH({"Ridgetop","Other"},A2051)),0)),"")</f>
        <v>Ridgetop</v>
      </c>
      <c r="D2051" t="str" cm="1">
        <f t="array" ref="D2051">IFERROR(INDEX({"Small","Medium","Large"},MATCH(TRUE,ISNUMBER(SEARCH({"Small","Medium","Large"},A2051)),0)),"")</f>
        <v>Medium</v>
      </c>
      <c r="E2051" t="str">
        <f t="shared" ref="E2051:E2114" si="32">RIGHT(A2051,LEN(A2051)-FIND("@",SUBSTITUTE(A2051," ","@",LEN(A2051)-LEN(SUBSTITUTE(A2051," ","")))))</f>
        <v>0.162</v>
      </c>
    </row>
    <row r="2052" spans="1:5" x14ac:dyDescent="0.3">
      <c r="A2052" t="s">
        <v>2050</v>
      </c>
      <c r="B2052" t="str" cm="1">
        <f t="array" ref="B2052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hemlock"},A2052)),0)),"")</f>
        <v>Populus</v>
      </c>
      <c r="C2052" t="str" cm="1">
        <f t="array" ref="C2052">IFERROR(INDEX({"Ridgetop","Other"},MATCH(TRUE,ISNUMBER(SEARCH({"Ridgetop","Other"},A2052)),0)),"")</f>
        <v>Ridgetop</v>
      </c>
      <c r="D2052" t="str" cm="1">
        <f t="array" ref="D2052">IFERROR(INDEX({"Small","Medium","Large"},MATCH(TRUE,ISNUMBER(SEARCH({"Small","Medium","Large"},A2052)),0)),"")</f>
        <v>Large</v>
      </c>
      <c r="E2052" t="str">
        <f t="shared" si="32"/>
        <v>0.128</v>
      </c>
    </row>
    <row r="2053" spans="1:5" x14ac:dyDescent="0.3">
      <c r="A2053" t="s">
        <v>2051</v>
      </c>
      <c r="B2053" t="str" cm="1">
        <f t="array" ref="B2053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hemlock"},A2053)),0)),"")</f>
        <v>Alder</v>
      </c>
      <c r="C2053" t="str" cm="1">
        <f t="array" ref="C2053">IFERROR(INDEX({"Ridgetop","Other"},MATCH(TRUE,ISNUMBER(SEARCH({"Ridgetop","Other"},A2053)),0)),"")</f>
        <v>Other</v>
      </c>
      <c r="D2053" t="str" cm="1">
        <f t="array" ref="D2053">IFERROR(INDEX({"Small","Medium","Large"},MATCH(TRUE,ISNUMBER(SEARCH({"Small","Medium","Large"},A2053)),0)),"")</f>
        <v>Small</v>
      </c>
      <c r="E2053" t="str">
        <f t="shared" si="32"/>
        <v>0.122</v>
      </c>
    </row>
    <row r="2054" spans="1:5" x14ac:dyDescent="0.3">
      <c r="A2054" t="s">
        <v>2052</v>
      </c>
      <c r="B2054" t="str" cm="1">
        <f t="array" ref="B2054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hemlock"},A2054)),0)),"")</f>
        <v>Alder</v>
      </c>
      <c r="C2054" t="str" cm="1">
        <f t="array" ref="C2054">IFERROR(INDEX({"Ridgetop","Other"},MATCH(TRUE,ISNUMBER(SEARCH({"Ridgetop","Other"},A2054)),0)),"")</f>
        <v>Other</v>
      </c>
      <c r="D2054" t="str" cm="1">
        <f t="array" ref="D2054">IFERROR(INDEX({"Small","Medium","Large"},MATCH(TRUE,ISNUMBER(SEARCH({"Small","Medium","Large"},A2054)),0)),"")</f>
        <v>Medium</v>
      </c>
      <c r="E2054" t="str">
        <f t="shared" si="32"/>
        <v>0.069</v>
      </c>
    </row>
    <row r="2055" spans="1:5" x14ac:dyDescent="0.3">
      <c r="A2055" t="s">
        <v>2053</v>
      </c>
      <c r="B2055" t="str" cm="1">
        <f t="array" ref="B2055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hemlock"},A2055)),0)),"")</f>
        <v>Alder</v>
      </c>
      <c r="C2055" t="str" cm="1">
        <f t="array" ref="C2055">IFERROR(INDEX({"Ridgetop","Other"},MATCH(TRUE,ISNUMBER(SEARCH({"Ridgetop","Other"},A2055)),0)),"")</f>
        <v>Other</v>
      </c>
      <c r="D2055" t="str" cm="1">
        <f t="array" ref="D2055">IFERROR(INDEX({"Small","Medium","Large"},MATCH(TRUE,ISNUMBER(SEARCH({"Small","Medium","Large"},A2055)),0)),"")</f>
        <v>Large</v>
      </c>
      <c r="E2055" t="str">
        <f t="shared" si="32"/>
        <v>0.054</v>
      </c>
    </row>
    <row r="2056" spans="1:5" x14ac:dyDescent="0.3">
      <c r="A2056" t="s">
        <v>2054</v>
      </c>
      <c r="B2056" t="str" cm="1">
        <f t="array" ref="B2056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hemlock"},A2056)),0)),"")</f>
        <v>Alder</v>
      </c>
      <c r="C2056" t="str" cm="1">
        <f t="array" ref="C2056">IFERROR(INDEX({"Ridgetop","Other"},MATCH(TRUE,ISNUMBER(SEARCH({"Ridgetop","Other"},A2056)),0)),"")</f>
        <v>Other</v>
      </c>
      <c r="D2056" t="str" cm="1">
        <f t="array" ref="D2056">IFERROR(INDEX({"Small","Medium","Large"},MATCH(TRUE,ISNUMBER(SEARCH({"Small","Medium","Large"},A2056)),0)),"")</f>
        <v>Small</v>
      </c>
      <c r="E2056" t="str">
        <f t="shared" si="32"/>
        <v>0.136</v>
      </c>
    </row>
    <row r="2057" spans="1:5" x14ac:dyDescent="0.3">
      <c r="A2057" t="s">
        <v>2055</v>
      </c>
      <c r="B2057" t="str" cm="1">
        <f t="array" ref="B2057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hemlock"},A2057)),0)),"")</f>
        <v>Alder</v>
      </c>
      <c r="C2057" t="str" cm="1">
        <f t="array" ref="C2057">IFERROR(INDEX({"Ridgetop","Other"},MATCH(TRUE,ISNUMBER(SEARCH({"Ridgetop","Other"},A2057)),0)),"")</f>
        <v>Other</v>
      </c>
      <c r="D2057" t="str" cm="1">
        <f t="array" ref="D2057">IFERROR(INDEX({"Small","Medium","Large"},MATCH(TRUE,ISNUMBER(SEARCH({"Small","Medium","Large"},A2057)),0)),"")</f>
        <v>Medium</v>
      </c>
      <c r="E2057" t="str">
        <f t="shared" si="32"/>
        <v>0.077</v>
      </c>
    </row>
    <row r="2058" spans="1:5" x14ac:dyDescent="0.3">
      <c r="A2058" t="s">
        <v>2056</v>
      </c>
      <c r="B2058" t="str" cm="1">
        <f t="array" ref="B2058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hemlock"},A2058)),0)),"")</f>
        <v>Alder</v>
      </c>
      <c r="C2058" t="str" cm="1">
        <f t="array" ref="C2058">IFERROR(INDEX({"Ridgetop","Other"},MATCH(TRUE,ISNUMBER(SEARCH({"Ridgetop","Other"},A2058)),0)),"")</f>
        <v>Other</v>
      </c>
      <c r="D2058" t="str" cm="1">
        <f t="array" ref="D2058">IFERROR(INDEX({"Small","Medium","Large"},MATCH(TRUE,ISNUMBER(SEARCH({"Small","Medium","Large"},A2058)),0)),"")</f>
        <v>Large</v>
      </c>
      <c r="E2058" t="str">
        <f t="shared" si="32"/>
        <v>0.060</v>
      </c>
    </row>
    <row r="2059" spans="1:5" x14ac:dyDescent="0.3">
      <c r="A2059" t="s">
        <v>2057</v>
      </c>
      <c r="B2059" t="str" cm="1">
        <f t="array" ref="B2059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hemlock"},A2059)),0)),"")</f>
        <v>Alder</v>
      </c>
      <c r="C2059" t="str" cm="1">
        <f t="array" ref="C2059">IFERROR(INDEX({"Ridgetop","Other"},MATCH(TRUE,ISNUMBER(SEARCH({"Ridgetop","Other"},A2059)),0)),"")</f>
        <v>Other</v>
      </c>
      <c r="D2059" t="str" cm="1">
        <f t="array" ref="D2059">IFERROR(INDEX({"Small","Medium","Large"},MATCH(TRUE,ISNUMBER(SEARCH({"Small","Medium","Large"},A2059)),0)),"")</f>
        <v>Small</v>
      </c>
      <c r="E2059" t="str">
        <f t="shared" si="32"/>
        <v>0.167</v>
      </c>
    </row>
    <row r="2060" spans="1:5" x14ac:dyDescent="0.3">
      <c r="A2060" t="s">
        <v>2058</v>
      </c>
      <c r="B2060" t="str" cm="1">
        <f t="array" ref="B2060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hemlock"},A2060)),0)),"")</f>
        <v>Alder</v>
      </c>
      <c r="C2060" t="str" cm="1">
        <f t="array" ref="C2060">IFERROR(INDEX({"Ridgetop","Other"},MATCH(TRUE,ISNUMBER(SEARCH({"Ridgetop","Other"},A2060)),0)),"")</f>
        <v>Other</v>
      </c>
      <c r="D2060" t="str" cm="1">
        <f t="array" ref="D2060">IFERROR(INDEX({"Small","Medium","Large"},MATCH(TRUE,ISNUMBER(SEARCH({"Small","Medium","Large"},A2060)),0)),"")</f>
        <v>Medium</v>
      </c>
      <c r="E2060" t="str">
        <f t="shared" si="32"/>
        <v>0.095</v>
      </c>
    </row>
    <row r="2061" spans="1:5" x14ac:dyDescent="0.3">
      <c r="A2061" t="s">
        <v>2059</v>
      </c>
      <c r="B2061" t="str" cm="1">
        <f t="array" ref="B2061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hemlock"},A2061)),0)),"")</f>
        <v>Alder</v>
      </c>
      <c r="C2061" t="str" cm="1">
        <f t="array" ref="C2061">IFERROR(INDEX({"Ridgetop","Other"},MATCH(TRUE,ISNUMBER(SEARCH({"Ridgetop","Other"},A2061)),0)),"")</f>
        <v>Other</v>
      </c>
      <c r="D2061" t="str" cm="1">
        <f t="array" ref="D2061">IFERROR(INDEX({"Small","Medium","Large"},MATCH(TRUE,ISNUMBER(SEARCH({"Small","Medium","Large"},A2061)),0)),"")</f>
        <v>Large</v>
      </c>
      <c r="E2061" t="str">
        <f t="shared" si="32"/>
        <v>0.074</v>
      </c>
    </row>
    <row r="2062" spans="1:5" x14ac:dyDescent="0.3">
      <c r="A2062" t="s">
        <v>2060</v>
      </c>
      <c r="B2062" t="str" cm="1">
        <f t="array" ref="B2062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hemlock"},A2062)),0)),"")</f>
        <v>Alder</v>
      </c>
      <c r="C2062" t="str" cm="1">
        <f t="array" ref="C2062">IFERROR(INDEX({"Ridgetop","Other"},MATCH(TRUE,ISNUMBER(SEARCH({"Ridgetop","Other"},A2062)),0)),"")</f>
        <v>Ridgetop</v>
      </c>
      <c r="D2062" t="str" cm="1">
        <f t="array" ref="D2062">IFERROR(INDEX({"Small","Medium","Large"},MATCH(TRUE,ISNUMBER(SEARCH({"Small","Medium","Large"},A2062)),0)),"")</f>
        <v>Small</v>
      </c>
      <c r="E2062" t="str">
        <f t="shared" si="32"/>
        <v>0.215</v>
      </c>
    </row>
    <row r="2063" spans="1:5" x14ac:dyDescent="0.3">
      <c r="A2063" t="s">
        <v>2061</v>
      </c>
      <c r="B2063" t="str" cm="1">
        <f t="array" ref="B2063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hemlock"},A2063)),0)),"")</f>
        <v>Alder</v>
      </c>
      <c r="C2063" t="str" cm="1">
        <f t="array" ref="C2063">IFERROR(INDEX({"Ridgetop","Other"},MATCH(TRUE,ISNUMBER(SEARCH({"Ridgetop","Other"},A2063)),0)),"")</f>
        <v>Ridgetop</v>
      </c>
      <c r="D2063" t="str" cm="1">
        <f t="array" ref="D2063">IFERROR(INDEX({"Small","Medium","Large"},MATCH(TRUE,ISNUMBER(SEARCH({"Small","Medium","Large"},A2063)),0)),"")</f>
        <v>Medium</v>
      </c>
      <c r="E2063" t="str">
        <f t="shared" si="32"/>
        <v>0.122</v>
      </c>
    </row>
    <row r="2064" spans="1:5" x14ac:dyDescent="0.3">
      <c r="A2064" t="s">
        <v>2062</v>
      </c>
      <c r="B2064" t="str" cm="1">
        <f t="array" ref="B2064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hemlock"},A2064)),0)),"")</f>
        <v>Alder</v>
      </c>
      <c r="C2064" t="str" cm="1">
        <f t="array" ref="C2064">IFERROR(INDEX({"Ridgetop","Other"},MATCH(TRUE,ISNUMBER(SEARCH({"Ridgetop","Other"},A2064)),0)),"")</f>
        <v>Ridgetop</v>
      </c>
      <c r="D2064" t="str" cm="1">
        <f t="array" ref="D2064">IFERROR(INDEX({"Small","Medium","Large"},MATCH(TRUE,ISNUMBER(SEARCH({"Small","Medium","Large"},A2064)),0)),"")</f>
        <v>Large</v>
      </c>
      <c r="E2064" t="str">
        <f t="shared" si="32"/>
        <v>0.096</v>
      </c>
    </row>
    <row r="2065" spans="1:5" x14ac:dyDescent="0.3">
      <c r="A2065" t="s">
        <v>2063</v>
      </c>
      <c r="B2065" t="str" cm="1">
        <f t="array" ref="B2065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hemlock"},A2065)),0)),"")</f>
        <v>Alder</v>
      </c>
      <c r="C2065" t="str" cm="1">
        <f t="array" ref="C2065">IFERROR(INDEX({"Ridgetop","Other"},MATCH(TRUE,ISNUMBER(SEARCH({"Ridgetop","Other"},A2065)),0)),"")</f>
        <v>Ridgetop</v>
      </c>
      <c r="D2065" t="str" cm="1">
        <f t="array" ref="D2065">IFERROR(INDEX({"Small","Medium","Large"},MATCH(TRUE,ISNUMBER(SEARCH({"Small","Medium","Large"},A2065)),0)),"")</f>
        <v>Small</v>
      </c>
      <c r="E2065" t="str">
        <f t="shared" si="32"/>
        <v>0.222</v>
      </c>
    </row>
    <row r="2066" spans="1:5" x14ac:dyDescent="0.3">
      <c r="A2066" t="s">
        <v>2064</v>
      </c>
      <c r="B2066" t="str" cm="1">
        <f t="array" ref="B2066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hemlock"},A2066)),0)),"")</f>
        <v>Alder</v>
      </c>
      <c r="C2066" t="str" cm="1">
        <f t="array" ref="C2066">IFERROR(INDEX({"Ridgetop","Other"},MATCH(TRUE,ISNUMBER(SEARCH({"Ridgetop","Other"},A2066)),0)),"")</f>
        <v>Ridgetop</v>
      </c>
      <c r="D2066" t="str" cm="1">
        <f t="array" ref="D2066">IFERROR(INDEX({"Small","Medium","Large"},MATCH(TRUE,ISNUMBER(SEARCH({"Small","Medium","Large"},A2066)),0)),"")</f>
        <v>Medium</v>
      </c>
      <c r="E2066" t="str">
        <f t="shared" si="32"/>
        <v>0.126</v>
      </c>
    </row>
    <row r="2067" spans="1:5" x14ac:dyDescent="0.3">
      <c r="A2067" t="s">
        <v>2065</v>
      </c>
      <c r="B2067" t="str" cm="1">
        <f t="array" ref="B2067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hemlock"},A2067)),0)),"")</f>
        <v>Alder</v>
      </c>
      <c r="C2067" t="str" cm="1">
        <f t="array" ref="C2067">IFERROR(INDEX({"Ridgetop","Other"},MATCH(TRUE,ISNUMBER(SEARCH({"Ridgetop","Other"},A2067)),0)),"")</f>
        <v>Ridgetop</v>
      </c>
      <c r="D2067" t="str" cm="1">
        <f t="array" ref="D2067">IFERROR(INDEX({"Small","Medium","Large"},MATCH(TRUE,ISNUMBER(SEARCH({"Small","Medium","Large"},A2067)),0)),"")</f>
        <v>Large</v>
      </c>
      <c r="E2067" t="str">
        <f t="shared" si="32"/>
        <v>0.099</v>
      </c>
    </row>
    <row r="2068" spans="1:5" x14ac:dyDescent="0.3">
      <c r="A2068" t="s">
        <v>2066</v>
      </c>
      <c r="B2068" t="str" cm="1">
        <f t="array" ref="B2068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hemlock"},A2068)),0)),"")</f>
        <v>Alder</v>
      </c>
      <c r="C2068" t="str" cm="1">
        <f t="array" ref="C2068">IFERROR(INDEX({"Ridgetop","Other"},MATCH(TRUE,ISNUMBER(SEARCH({"Ridgetop","Other"},A2068)),0)),"")</f>
        <v>Ridgetop</v>
      </c>
      <c r="D2068" t="str" cm="1">
        <f t="array" ref="D2068">IFERROR(INDEX({"Small","Medium","Large"},MATCH(TRUE,ISNUMBER(SEARCH({"Small","Medium","Large"},A2068)),0)),"")</f>
        <v>Small</v>
      </c>
      <c r="E2068" t="str">
        <f t="shared" si="32"/>
        <v>0.236</v>
      </c>
    </row>
    <row r="2069" spans="1:5" x14ac:dyDescent="0.3">
      <c r="A2069" t="s">
        <v>2067</v>
      </c>
      <c r="B2069" t="str" cm="1">
        <f t="array" ref="B2069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hemlock"},A2069)),0)),"")</f>
        <v>Alder</v>
      </c>
      <c r="C2069" t="str" cm="1">
        <f t="array" ref="C2069">IFERROR(INDEX({"Ridgetop","Other"},MATCH(TRUE,ISNUMBER(SEARCH({"Ridgetop","Other"},A2069)),0)),"")</f>
        <v>Ridgetop</v>
      </c>
      <c r="D2069" t="str" cm="1">
        <f t="array" ref="D2069">IFERROR(INDEX({"Small","Medium","Large"},MATCH(TRUE,ISNUMBER(SEARCH({"Small","Medium","Large"},A2069)),0)),"")</f>
        <v>Medium</v>
      </c>
      <c r="E2069" t="str">
        <f t="shared" si="32"/>
        <v>0.134</v>
      </c>
    </row>
    <row r="2070" spans="1:5" x14ac:dyDescent="0.3">
      <c r="A2070" t="s">
        <v>2068</v>
      </c>
      <c r="B2070" t="str" cm="1">
        <f t="array" ref="B2070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hemlock"},A2070)),0)),"")</f>
        <v>Alder</v>
      </c>
      <c r="C2070" t="str" cm="1">
        <f t="array" ref="C2070">IFERROR(INDEX({"Ridgetop","Other"},MATCH(TRUE,ISNUMBER(SEARCH({"Ridgetop","Other"},A2070)),0)),"")</f>
        <v>Ridgetop</v>
      </c>
      <c r="D2070" t="str" cm="1">
        <f t="array" ref="D2070">IFERROR(INDEX({"Small","Medium","Large"},MATCH(TRUE,ISNUMBER(SEARCH({"Small","Medium","Large"},A2070)),0)),"")</f>
        <v>Large</v>
      </c>
      <c r="E2070" t="str">
        <f t="shared" si="32"/>
        <v>0.105</v>
      </c>
    </row>
    <row r="2071" spans="1:5" x14ac:dyDescent="0.3">
      <c r="A2071" t="s">
        <v>2069</v>
      </c>
      <c r="B2071" t="str" cm="1">
        <f t="array" ref="B2071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hemlock"},A2071)),0)),"")</f>
        <v>Alder</v>
      </c>
      <c r="C2071" t="str" cm="1">
        <f t="array" ref="C2071">IFERROR(INDEX({"Ridgetop","Other"},MATCH(TRUE,ISNUMBER(SEARCH({"Ridgetop","Other"},A2071)),0)),"")</f>
        <v>Other</v>
      </c>
      <c r="D2071" t="str" cm="1">
        <f t="array" ref="D2071">IFERROR(INDEX({"Small","Medium","Large"},MATCH(TRUE,ISNUMBER(SEARCH({"Small","Medium","Large"},A2071)),0)),"")</f>
        <v>Small</v>
      </c>
      <c r="E2071" t="str">
        <f t="shared" si="32"/>
        <v>0.153</v>
      </c>
    </row>
    <row r="2072" spans="1:5" x14ac:dyDescent="0.3">
      <c r="A2072" t="s">
        <v>2070</v>
      </c>
      <c r="B2072" t="str" cm="1">
        <f t="array" ref="B2072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hemlock"},A2072)),0)),"")</f>
        <v>Alder</v>
      </c>
      <c r="C2072" t="str" cm="1">
        <f t="array" ref="C2072">IFERROR(INDEX({"Ridgetop","Other"},MATCH(TRUE,ISNUMBER(SEARCH({"Ridgetop","Other"},A2072)),0)),"")</f>
        <v>Other</v>
      </c>
      <c r="D2072" t="str" cm="1">
        <f t="array" ref="D2072">IFERROR(INDEX({"Small","Medium","Large"},MATCH(TRUE,ISNUMBER(SEARCH({"Small","Medium","Large"},A2072)),0)),"")</f>
        <v>Medium</v>
      </c>
      <c r="E2072" t="str">
        <f t="shared" si="32"/>
        <v>0.087</v>
      </c>
    </row>
    <row r="2073" spans="1:5" x14ac:dyDescent="0.3">
      <c r="A2073" t="s">
        <v>2071</v>
      </c>
      <c r="B2073" t="str" cm="1">
        <f t="array" ref="B2073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hemlock"},A2073)),0)),"")</f>
        <v>Alder</v>
      </c>
      <c r="C2073" t="str" cm="1">
        <f t="array" ref="C2073">IFERROR(INDEX({"Ridgetop","Other"},MATCH(TRUE,ISNUMBER(SEARCH({"Ridgetop","Other"},A2073)),0)),"")</f>
        <v>Other</v>
      </c>
      <c r="D2073" t="str" cm="1">
        <f t="array" ref="D2073">IFERROR(INDEX({"Small","Medium","Large"},MATCH(TRUE,ISNUMBER(SEARCH({"Small","Medium","Large"},A2073)),0)),"")</f>
        <v>Large</v>
      </c>
      <c r="E2073" t="str">
        <f t="shared" si="32"/>
        <v>0.068</v>
      </c>
    </row>
    <row r="2074" spans="1:5" x14ac:dyDescent="0.3">
      <c r="A2074" t="s">
        <v>2072</v>
      </c>
      <c r="B2074" t="str" cm="1">
        <f t="array" ref="B2074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hemlock"},A2074)),0)),"")</f>
        <v>Alder</v>
      </c>
      <c r="C2074" t="str" cm="1">
        <f t="array" ref="C2074">IFERROR(INDEX({"Ridgetop","Other"},MATCH(TRUE,ISNUMBER(SEARCH({"Ridgetop","Other"},A2074)),0)),"")</f>
        <v>Other</v>
      </c>
      <c r="D2074" t="str" cm="1">
        <f t="array" ref="D2074">IFERROR(INDEX({"Small","Medium","Large"},MATCH(TRUE,ISNUMBER(SEARCH({"Small","Medium","Large"},A2074)),0)),"")</f>
        <v>Small</v>
      </c>
      <c r="E2074" t="str">
        <f t="shared" si="32"/>
        <v>0.167</v>
      </c>
    </row>
    <row r="2075" spans="1:5" x14ac:dyDescent="0.3">
      <c r="A2075" t="s">
        <v>2073</v>
      </c>
      <c r="B2075" t="str" cm="1">
        <f t="array" ref="B2075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hemlock"},A2075)),0)),"")</f>
        <v>Alder</v>
      </c>
      <c r="C2075" t="str" cm="1">
        <f t="array" ref="C2075">IFERROR(INDEX({"Ridgetop","Other"},MATCH(TRUE,ISNUMBER(SEARCH({"Ridgetop","Other"},A2075)),0)),"")</f>
        <v>Other</v>
      </c>
      <c r="D2075" t="str" cm="1">
        <f t="array" ref="D2075">IFERROR(INDEX({"Small","Medium","Large"},MATCH(TRUE,ISNUMBER(SEARCH({"Small","Medium","Large"},A2075)),0)),"")</f>
        <v>Medium</v>
      </c>
      <c r="E2075" t="str">
        <f t="shared" si="32"/>
        <v>0.095</v>
      </c>
    </row>
    <row r="2076" spans="1:5" x14ac:dyDescent="0.3">
      <c r="A2076" t="s">
        <v>2074</v>
      </c>
      <c r="B2076" t="str" cm="1">
        <f t="array" ref="B2076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hemlock"},A2076)),0)),"")</f>
        <v>Alder</v>
      </c>
      <c r="C2076" t="str" cm="1">
        <f t="array" ref="C2076">IFERROR(INDEX({"Ridgetop","Other"},MATCH(TRUE,ISNUMBER(SEARCH({"Ridgetop","Other"},A2076)),0)),"")</f>
        <v>Other</v>
      </c>
      <c r="D2076" t="str" cm="1">
        <f t="array" ref="D2076">IFERROR(INDEX({"Small","Medium","Large"},MATCH(TRUE,ISNUMBER(SEARCH({"Small","Medium","Large"},A2076)),0)),"")</f>
        <v>Large</v>
      </c>
      <c r="E2076" t="str">
        <f t="shared" si="32"/>
        <v>0.074</v>
      </c>
    </row>
    <row r="2077" spans="1:5" x14ac:dyDescent="0.3">
      <c r="A2077" t="s">
        <v>2075</v>
      </c>
      <c r="B2077" t="str" cm="1">
        <f t="array" ref="B2077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hemlock"},A2077)),0)),"")</f>
        <v>Alder</v>
      </c>
      <c r="C2077" t="str" cm="1">
        <f t="array" ref="C2077">IFERROR(INDEX({"Ridgetop","Other"},MATCH(TRUE,ISNUMBER(SEARCH({"Ridgetop","Other"},A2077)),0)),"")</f>
        <v>Other</v>
      </c>
      <c r="D2077" t="str" cm="1">
        <f t="array" ref="D2077">IFERROR(INDEX({"Small","Medium","Large"},MATCH(TRUE,ISNUMBER(SEARCH({"Small","Medium","Large"},A2077)),0)),"")</f>
        <v>Small</v>
      </c>
      <c r="E2077" t="str">
        <f t="shared" si="32"/>
        <v>0.167</v>
      </c>
    </row>
    <row r="2078" spans="1:5" x14ac:dyDescent="0.3">
      <c r="A2078" t="s">
        <v>2076</v>
      </c>
      <c r="B2078" t="str" cm="1">
        <f t="array" ref="B2078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hemlock"},A2078)),0)),"")</f>
        <v>Alder</v>
      </c>
      <c r="C2078" t="str" cm="1">
        <f t="array" ref="C2078">IFERROR(INDEX({"Ridgetop","Other"},MATCH(TRUE,ISNUMBER(SEARCH({"Ridgetop","Other"},A2078)),0)),"")</f>
        <v>Other</v>
      </c>
      <c r="D2078" t="str" cm="1">
        <f t="array" ref="D2078">IFERROR(INDEX({"Small","Medium","Large"},MATCH(TRUE,ISNUMBER(SEARCH({"Small","Medium","Large"},A2078)),0)),"")</f>
        <v>Medium</v>
      </c>
      <c r="E2078" t="str">
        <f t="shared" si="32"/>
        <v>0.095</v>
      </c>
    </row>
    <row r="2079" spans="1:5" x14ac:dyDescent="0.3">
      <c r="A2079" t="s">
        <v>2077</v>
      </c>
      <c r="B2079" t="str" cm="1">
        <f t="array" ref="B2079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hemlock"},A2079)),0)),"")</f>
        <v>Alder</v>
      </c>
      <c r="C2079" t="str" cm="1">
        <f t="array" ref="C2079">IFERROR(INDEX({"Ridgetop","Other"},MATCH(TRUE,ISNUMBER(SEARCH({"Ridgetop","Other"},A2079)),0)),"")</f>
        <v>Other</v>
      </c>
      <c r="D2079" t="str" cm="1">
        <f t="array" ref="D2079">IFERROR(INDEX({"Small","Medium","Large"},MATCH(TRUE,ISNUMBER(SEARCH({"Small","Medium","Large"},A2079)),0)),"")</f>
        <v>Large</v>
      </c>
      <c r="E2079" t="str">
        <f t="shared" si="32"/>
        <v>0.074</v>
      </c>
    </row>
    <row r="2080" spans="1:5" x14ac:dyDescent="0.3">
      <c r="A2080" t="s">
        <v>2078</v>
      </c>
      <c r="B2080" t="str" cm="1">
        <f t="array" ref="B2080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hemlock"},A2080)),0)),"")</f>
        <v>Alder</v>
      </c>
      <c r="C2080" t="str" cm="1">
        <f t="array" ref="C2080">IFERROR(INDEX({"Ridgetop","Other"},MATCH(TRUE,ISNUMBER(SEARCH({"Ridgetop","Other"},A2080)),0)),"")</f>
        <v>Ridgetop</v>
      </c>
      <c r="D2080" t="str" cm="1">
        <f t="array" ref="D2080">IFERROR(INDEX({"Small","Medium","Large"},MATCH(TRUE,ISNUMBER(SEARCH({"Small","Medium","Large"},A2080)),0)),"")</f>
        <v>Small</v>
      </c>
      <c r="E2080" t="str">
        <f t="shared" si="32"/>
        <v>0.278</v>
      </c>
    </row>
    <row r="2081" spans="1:5" x14ac:dyDescent="0.3">
      <c r="A2081" t="s">
        <v>2079</v>
      </c>
      <c r="B2081" t="str" cm="1">
        <f t="array" ref="B2081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hemlock"},A2081)),0)),"")</f>
        <v>Alder</v>
      </c>
      <c r="C2081" t="str" cm="1">
        <f t="array" ref="C2081">IFERROR(INDEX({"Ridgetop","Other"},MATCH(TRUE,ISNUMBER(SEARCH({"Ridgetop","Other"},A2081)),0)),"")</f>
        <v>Ridgetop</v>
      </c>
      <c r="D2081" t="str" cm="1">
        <f t="array" ref="D2081">IFERROR(INDEX({"Small","Medium","Large"},MATCH(TRUE,ISNUMBER(SEARCH({"Small","Medium","Large"},A2081)),0)),"")</f>
        <v>Medium</v>
      </c>
      <c r="E2081" t="str">
        <f t="shared" si="32"/>
        <v>0.158</v>
      </c>
    </row>
    <row r="2082" spans="1:5" x14ac:dyDescent="0.3">
      <c r="A2082" t="s">
        <v>2080</v>
      </c>
      <c r="B2082" t="str" cm="1">
        <f t="array" ref="B2082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hemlock"},A2082)),0)),"")</f>
        <v>Alder</v>
      </c>
      <c r="C2082" t="str" cm="1">
        <f t="array" ref="C2082">IFERROR(INDEX({"Ridgetop","Other"},MATCH(TRUE,ISNUMBER(SEARCH({"Ridgetop","Other"},A2082)),0)),"")</f>
        <v>Ridgetop</v>
      </c>
      <c r="D2082" t="str" cm="1">
        <f t="array" ref="D2082">IFERROR(INDEX({"Small","Medium","Large"},MATCH(TRUE,ISNUMBER(SEARCH({"Small","Medium","Large"},A2082)),0)),"")</f>
        <v>Large</v>
      </c>
      <c r="E2082" t="str">
        <f t="shared" si="32"/>
        <v>0.124</v>
      </c>
    </row>
    <row r="2083" spans="1:5" x14ac:dyDescent="0.3">
      <c r="A2083" t="s">
        <v>2081</v>
      </c>
      <c r="B2083" t="str" cm="1">
        <f t="array" ref="B2083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hemlock"},A2083)),0)),"")</f>
        <v>Alder</v>
      </c>
      <c r="C2083" t="str" cm="1">
        <f t="array" ref="C2083">IFERROR(INDEX({"Ridgetop","Other"},MATCH(TRUE,ISNUMBER(SEARCH({"Ridgetop","Other"},A2083)),0)),"")</f>
        <v>Ridgetop</v>
      </c>
      <c r="D2083" t="str" cm="1">
        <f t="array" ref="D2083">IFERROR(INDEX({"Small","Medium","Large"},MATCH(TRUE,ISNUMBER(SEARCH({"Small","Medium","Large"},A2083)),0)),"")</f>
        <v>Small</v>
      </c>
      <c r="E2083" t="str">
        <f t="shared" si="32"/>
        <v>0.278</v>
      </c>
    </row>
    <row r="2084" spans="1:5" x14ac:dyDescent="0.3">
      <c r="A2084" t="s">
        <v>2082</v>
      </c>
      <c r="B2084" t="str" cm="1">
        <f t="array" ref="B2084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hemlock"},A2084)),0)),"")</f>
        <v>Alder</v>
      </c>
      <c r="C2084" t="str" cm="1">
        <f t="array" ref="C2084">IFERROR(INDEX({"Ridgetop","Other"},MATCH(TRUE,ISNUMBER(SEARCH({"Ridgetop","Other"},A2084)),0)),"")</f>
        <v>Ridgetop</v>
      </c>
      <c r="D2084" t="str" cm="1">
        <f t="array" ref="D2084">IFERROR(INDEX({"Small","Medium","Large"},MATCH(TRUE,ISNUMBER(SEARCH({"Small","Medium","Large"},A2084)),0)),"")</f>
        <v>Medium</v>
      </c>
      <c r="E2084" t="str">
        <f t="shared" si="32"/>
        <v>0.158</v>
      </c>
    </row>
    <row r="2085" spans="1:5" x14ac:dyDescent="0.3">
      <c r="A2085" t="s">
        <v>2083</v>
      </c>
      <c r="B2085" t="str" cm="1">
        <f t="array" ref="B2085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hemlock"},A2085)),0)),"")</f>
        <v>Alder</v>
      </c>
      <c r="C2085" t="str" cm="1">
        <f t="array" ref="C2085">IFERROR(INDEX({"Ridgetop","Other"},MATCH(TRUE,ISNUMBER(SEARCH({"Ridgetop","Other"},A2085)),0)),"")</f>
        <v>Ridgetop</v>
      </c>
      <c r="D2085" t="str" cm="1">
        <f t="array" ref="D2085">IFERROR(INDEX({"Small","Medium","Large"},MATCH(TRUE,ISNUMBER(SEARCH({"Small","Medium","Large"},A2085)),0)),"")</f>
        <v>Large</v>
      </c>
      <c r="E2085" t="str">
        <f t="shared" si="32"/>
        <v>0.124</v>
      </c>
    </row>
    <row r="2086" spans="1:5" x14ac:dyDescent="0.3">
      <c r="A2086" t="s">
        <v>2084</v>
      </c>
      <c r="B2086" t="str" cm="1">
        <f t="array" ref="B2086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hemlock"},A2086)),0)),"")</f>
        <v>Alder</v>
      </c>
      <c r="C2086" t="str" cm="1">
        <f t="array" ref="C2086">IFERROR(INDEX({"Ridgetop","Other"},MATCH(TRUE,ISNUMBER(SEARCH({"Ridgetop","Other"},A2086)),0)),"")</f>
        <v>Ridgetop</v>
      </c>
      <c r="D2086" t="str" cm="1">
        <f t="array" ref="D2086">IFERROR(INDEX({"Small","Medium","Large"},MATCH(TRUE,ISNUMBER(SEARCH({"Small","Medium","Large"},A2086)),0)),"")</f>
        <v>Small</v>
      </c>
      <c r="E2086" t="str">
        <f t="shared" si="32"/>
        <v>0.278</v>
      </c>
    </row>
    <row r="2087" spans="1:5" x14ac:dyDescent="0.3">
      <c r="A2087" t="s">
        <v>2085</v>
      </c>
      <c r="B2087" t="str" cm="1">
        <f t="array" ref="B2087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hemlock"},A2087)),0)),"")</f>
        <v>Alder</v>
      </c>
      <c r="C2087" t="str" cm="1">
        <f t="array" ref="C2087">IFERROR(INDEX({"Ridgetop","Other"},MATCH(TRUE,ISNUMBER(SEARCH({"Ridgetop","Other"},A2087)),0)),"")</f>
        <v>Ridgetop</v>
      </c>
      <c r="D2087" t="str" cm="1">
        <f t="array" ref="D2087">IFERROR(INDEX({"Small","Medium","Large"},MATCH(TRUE,ISNUMBER(SEARCH({"Small","Medium","Large"},A2087)),0)),"")</f>
        <v>Medium</v>
      </c>
      <c r="E2087" t="str">
        <f t="shared" si="32"/>
        <v>0.158</v>
      </c>
    </row>
    <row r="2088" spans="1:5" x14ac:dyDescent="0.3">
      <c r="A2088" t="s">
        <v>2086</v>
      </c>
      <c r="B2088" t="str" cm="1">
        <f t="array" ref="B2088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hemlock"},A2088)),0)),"")</f>
        <v>Alder</v>
      </c>
      <c r="C2088" t="str" cm="1">
        <f t="array" ref="C2088">IFERROR(INDEX({"Ridgetop","Other"},MATCH(TRUE,ISNUMBER(SEARCH({"Ridgetop","Other"},A2088)),0)),"")</f>
        <v>Ridgetop</v>
      </c>
      <c r="D2088" t="str" cm="1">
        <f t="array" ref="D2088">IFERROR(INDEX({"Small","Medium","Large"},MATCH(TRUE,ISNUMBER(SEARCH({"Small","Medium","Large"},A2088)),0)),"")</f>
        <v>Large</v>
      </c>
      <c r="E2088" t="str">
        <f t="shared" si="32"/>
        <v>0.124</v>
      </c>
    </row>
    <row r="2089" spans="1:5" x14ac:dyDescent="0.3">
      <c r="A2089" t="s">
        <v>2087</v>
      </c>
      <c r="B2089" t="str" cm="1">
        <f t="array" ref="B2089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hemlock"},A2089)),0)),"")</f>
        <v>Alder</v>
      </c>
      <c r="C2089" t="str" cm="1">
        <f t="array" ref="C2089">IFERROR(INDEX({"Ridgetop","Other"},MATCH(TRUE,ISNUMBER(SEARCH({"Ridgetop","Other"},A2089)),0)),"")</f>
        <v>Other</v>
      </c>
      <c r="D2089" t="str" cm="1">
        <f t="array" ref="D2089">IFERROR(INDEX({"Small","Medium","Large"},MATCH(TRUE,ISNUMBER(SEARCH({"Small","Medium","Large"},A2089)),0)),"")</f>
        <v>Small</v>
      </c>
      <c r="E2089" t="str">
        <f t="shared" si="32"/>
        <v>0.125</v>
      </c>
    </row>
    <row r="2090" spans="1:5" x14ac:dyDescent="0.3">
      <c r="A2090" t="s">
        <v>2088</v>
      </c>
      <c r="B2090" t="str" cm="1">
        <f t="array" ref="B2090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hemlock"},A2090)),0)),"")</f>
        <v>Alder</v>
      </c>
      <c r="C2090" t="str" cm="1">
        <f t="array" ref="C2090">IFERROR(INDEX({"Ridgetop","Other"},MATCH(TRUE,ISNUMBER(SEARCH({"Ridgetop","Other"},A2090)),0)),"")</f>
        <v>Other</v>
      </c>
      <c r="D2090" t="str" cm="1">
        <f t="array" ref="D2090">IFERROR(INDEX({"Small","Medium","Large"},MATCH(TRUE,ISNUMBER(SEARCH({"Small","Medium","Large"},A2090)),0)),"")</f>
        <v>Medium</v>
      </c>
      <c r="E2090" t="str">
        <f t="shared" si="32"/>
        <v>0.071</v>
      </c>
    </row>
    <row r="2091" spans="1:5" x14ac:dyDescent="0.3">
      <c r="A2091" t="s">
        <v>2089</v>
      </c>
      <c r="B2091" t="str" cm="1">
        <f t="array" ref="B2091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hemlock"},A2091)),0)),"")</f>
        <v>Alder</v>
      </c>
      <c r="C2091" t="str" cm="1">
        <f t="array" ref="C2091">IFERROR(INDEX({"Ridgetop","Other"},MATCH(TRUE,ISNUMBER(SEARCH({"Ridgetop","Other"},A2091)),0)),"")</f>
        <v>Other</v>
      </c>
      <c r="D2091" t="str" cm="1">
        <f t="array" ref="D2091">IFERROR(INDEX({"Small","Medium","Large"},MATCH(TRUE,ISNUMBER(SEARCH({"Small","Medium","Large"},A2091)),0)),"")</f>
        <v>Large</v>
      </c>
      <c r="E2091" t="str">
        <f t="shared" si="32"/>
        <v>0.056</v>
      </c>
    </row>
    <row r="2092" spans="1:5" x14ac:dyDescent="0.3">
      <c r="A2092" t="s">
        <v>2090</v>
      </c>
      <c r="B2092" t="str" cm="1">
        <f t="array" ref="B2092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hemlock"},A2092)),0)),"")</f>
        <v>Alder</v>
      </c>
      <c r="C2092" t="str" cm="1">
        <f t="array" ref="C2092">IFERROR(INDEX({"Ridgetop","Other"},MATCH(TRUE,ISNUMBER(SEARCH({"Ridgetop","Other"},A2092)),0)),"")</f>
        <v>Other</v>
      </c>
      <c r="D2092" t="str" cm="1">
        <f t="array" ref="D2092">IFERROR(INDEX({"Small","Medium","Large"},MATCH(TRUE,ISNUMBER(SEARCH({"Small","Medium","Large"},A2092)),0)),"")</f>
        <v>Small</v>
      </c>
      <c r="E2092" t="str">
        <f t="shared" si="32"/>
        <v>0.139</v>
      </c>
    </row>
    <row r="2093" spans="1:5" x14ac:dyDescent="0.3">
      <c r="A2093" t="s">
        <v>2091</v>
      </c>
      <c r="B2093" t="str" cm="1">
        <f t="array" ref="B2093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hemlock"},A2093)),0)),"")</f>
        <v>Alder</v>
      </c>
      <c r="C2093" t="str" cm="1">
        <f t="array" ref="C2093">IFERROR(INDEX({"Ridgetop","Other"},MATCH(TRUE,ISNUMBER(SEARCH({"Ridgetop","Other"},A2093)),0)),"")</f>
        <v>Other</v>
      </c>
      <c r="D2093" t="str" cm="1">
        <f t="array" ref="D2093">IFERROR(INDEX({"Small","Medium","Large"},MATCH(TRUE,ISNUMBER(SEARCH({"Small","Medium","Large"},A2093)),0)),"")</f>
        <v>Medium</v>
      </c>
      <c r="E2093" t="str">
        <f t="shared" si="32"/>
        <v>0.079</v>
      </c>
    </row>
    <row r="2094" spans="1:5" x14ac:dyDescent="0.3">
      <c r="A2094" t="s">
        <v>2092</v>
      </c>
      <c r="B2094" t="str" cm="1">
        <f t="array" ref="B2094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hemlock"},A2094)),0)),"")</f>
        <v>Alder</v>
      </c>
      <c r="C2094" t="str" cm="1">
        <f t="array" ref="C2094">IFERROR(INDEX({"Ridgetop","Other"},MATCH(TRUE,ISNUMBER(SEARCH({"Ridgetop","Other"},A2094)),0)),"")</f>
        <v>Other</v>
      </c>
      <c r="D2094" t="str" cm="1">
        <f t="array" ref="D2094">IFERROR(INDEX({"Small","Medium","Large"},MATCH(TRUE,ISNUMBER(SEARCH({"Small","Medium","Large"},A2094)),0)),"")</f>
        <v>Large</v>
      </c>
      <c r="E2094" t="str">
        <f t="shared" si="32"/>
        <v>0.062</v>
      </c>
    </row>
    <row r="2095" spans="1:5" x14ac:dyDescent="0.3">
      <c r="A2095" t="s">
        <v>2093</v>
      </c>
      <c r="B2095" t="str" cm="1">
        <f t="array" ref="B2095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hemlock"},A2095)),0)),"")</f>
        <v>Alder</v>
      </c>
      <c r="C2095" t="str" cm="1">
        <f t="array" ref="C2095">IFERROR(INDEX({"Ridgetop","Other"},MATCH(TRUE,ISNUMBER(SEARCH({"Ridgetop","Other"},A2095)),0)),"")</f>
        <v>Other</v>
      </c>
      <c r="D2095" t="str" cm="1">
        <f t="array" ref="D2095">IFERROR(INDEX({"Small","Medium","Large"},MATCH(TRUE,ISNUMBER(SEARCH({"Small","Medium","Large"},A2095)),0)),"")</f>
        <v>Small</v>
      </c>
      <c r="E2095" t="str">
        <f t="shared" si="32"/>
        <v>0.167</v>
      </c>
    </row>
    <row r="2096" spans="1:5" x14ac:dyDescent="0.3">
      <c r="A2096" t="s">
        <v>2094</v>
      </c>
      <c r="B2096" t="str" cm="1">
        <f t="array" ref="B2096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hemlock"},A2096)),0)),"")</f>
        <v>Alder</v>
      </c>
      <c r="C2096" t="str" cm="1">
        <f t="array" ref="C2096">IFERROR(INDEX({"Ridgetop","Other"},MATCH(TRUE,ISNUMBER(SEARCH({"Ridgetop","Other"},A2096)),0)),"")</f>
        <v>Other</v>
      </c>
      <c r="D2096" t="str" cm="1">
        <f t="array" ref="D2096">IFERROR(INDEX({"Small","Medium","Large"},MATCH(TRUE,ISNUMBER(SEARCH({"Small","Medium","Large"},A2096)),0)),"")</f>
        <v>Medium</v>
      </c>
      <c r="E2096" t="str">
        <f t="shared" si="32"/>
        <v>0.095</v>
      </c>
    </row>
    <row r="2097" spans="1:5" x14ac:dyDescent="0.3">
      <c r="A2097" t="s">
        <v>2095</v>
      </c>
      <c r="B2097" t="str" cm="1">
        <f t="array" ref="B2097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hemlock"},A2097)),0)),"")</f>
        <v>Alder</v>
      </c>
      <c r="C2097" t="str" cm="1">
        <f t="array" ref="C2097">IFERROR(INDEX({"Ridgetop","Other"},MATCH(TRUE,ISNUMBER(SEARCH({"Ridgetop","Other"},A2097)),0)),"")</f>
        <v>Other</v>
      </c>
      <c r="D2097" t="str" cm="1">
        <f t="array" ref="D2097">IFERROR(INDEX({"Small","Medium","Large"},MATCH(TRUE,ISNUMBER(SEARCH({"Small","Medium","Large"},A2097)),0)),"")</f>
        <v>Large</v>
      </c>
      <c r="E2097" t="str">
        <f t="shared" si="32"/>
        <v>0.074</v>
      </c>
    </row>
    <row r="2098" spans="1:5" x14ac:dyDescent="0.3">
      <c r="A2098" t="s">
        <v>2096</v>
      </c>
      <c r="B2098" t="str" cm="1">
        <f t="array" ref="B2098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hemlock"},A2098)),0)),"")</f>
        <v>Alder</v>
      </c>
      <c r="C2098" t="str" cm="1">
        <f t="array" ref="C2098">IFERROR(INDEX({"Ridgetop","Other"},MATCH(TRUE,ISNUMBER(SEARCH({"Ridgetop","Other"},A2098)),0)),"")</f>
        <v>Ridgetop</v>
      </c>
      <c r="D2098" t="str" cm="1">
        <f t="array" ref="D2098">IFERROR(INDEX({"Small","Medium","Large"},MATCH(TRUE,ISNUMBER(SEARCH({"Small","Medium","Large"},A2098)),0)),"")</f>
        <v>Small</v>
      </c>
      <c r="E2098" t="str">
        <f t="shared" si="32"/>
        <v>0.236</v>
      </c>
    </row>
    <row r="2099" spans="1:5" x14ac:dyDescent="0.3">
      <c r="A2099" t="s">
        <v>2097</v>
      </c>
      <c r="B2099" t="str" cm="1">
        <f t="array" ref="B2099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hemlock"},A2099)),0)),"")</f>
        <v>Alder</v>
      </c>
      <c r="C2099" t="str" cm="1">
        <f t="array" ref="C2099">IFERROR(INDEX({"Ridgetop","Other"},MATCH(TRUE,ISNUMBER(SEARCH({"Ridgetop","Other"},A2099)),0)),"")</f>
        <v>Ridgetop</v>
      </c>
      <c r="D2099" t="str" cm="1">
        <f t="array" ref="D2099">IFERROR(INDEX({"Small","Medium","Large"},MATCH(TRUE,ISNUMBER(SEARCH({"Small","Medium","Large"},A2099)),0)),"")</f>
        <v>Medium</v>
      </c>
      <c r="E2099" t="str">
        <f t="shared" si="32"/>
        <v>0.134</v>
      </c>
    </row>
    <row r="2100" spans="1:5" x14ac:dyDescent="0.3">
      <c r="A2100" t="s">
        <v>2098</v>
      </c>
      <c r="B2100" t="str" cm="1">
        <f t="array" ref="B2100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hemlock"},A2100)),0)),"")</f>
        <v>Alder</v>
      </c>
      <c r="C2100" t="str" cm="1">
        <f t="array" ref="C2100">IFERROR(INDEX({"Ridgetop","Other"},MATCH(TRUE,ISNUMBER(SEARCH({"Ridgetop","Other"},A2100)),0)),"")</f>
        <v>Ridgetop</v>
      </c>
      <c r="D2100" t="str" cm="1">
        <f t="array" ref="D2100">IFERROR(INDEX({"Small","Medium","Large"},MATCH(TRUE,ISNUMBER(SEARCH({"Small","Medium","Large"},A2100)),0)),"")</f>
        <v>Large</v>
      </c>
      <c r="E2100" t="str">
        <f t="shared" si="32"/>
        <v>0.105</v>
      </c>
    </row>
    <row r="2101" spans="1:5" x14ac:dyDescent="0.3">
      <c r="A2101" t="s">
        <v>2099</v>
      </c>
      <c r="B2101" t="str" cm="1">
        <f t="array" ref="B2101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hemlock"},A2101)),0)),"")</f>
        <v>Alder</v>
      </c>
      <c r="C2101" t="str" cm="1">
        <f t="array" ref="C2101">IFERROR(INDEX({"Ridgetop","Other"},MATCH(TRUE,ISNUMBER(SEARCH({"Ridgetop","Other"},A2101)),0)),"")</f>
        <v>Ridgetop</v>
      </c>
      <c r="D2101" t="str" cm="1">
        <f t="array" ref="D2101">IFERROR(INDEX({"Small","Medium","Large"},MATCH(TRUE,ISNUMBER(SEARCH({"Small","Medium","Large"},A2101)),0)),"")</f>
        <v>Small</v>
      </c>
      <c r="E2101" t="str">
        <f t="shared" si="32"/>
        <v>0.236</v>
      </c>
    </row>
    <row r="2102" spans="1:5" x14ac:dyDescent="0.3">
      <c r="A2102" t="s">
        <v>2100</v>
      </c>
      <c r="B2102" t="str" cm="1">
        <f t="array" ref="B2102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hemlock"},A2102)),0)),"")</f>
        <v>Alder</v>
      </c>
      <c r="C2102" t="str" cm="1">
        <f t="array" ref="C2102">IFERROR(INDEX({"Ridgetop","Other"},MATCH(TRUE,ISNUMBER(SEARCH({"Ridgetop","Other"},A2102)),0)),"")</f>
        <v>Ridgetop</v>
      </c>
      <c r="D2102" t="str" cm="1">
        <f t="array" ref="D2102">IFERROR(INDEX({"Small","Medium","Large"},MATCH(TRUE,ISNUMBER(SEARCH({"Small","Medium","Large"},A2102)),0)),"")</f>
        <v>Medium</v>
      </c>
      <c r="E2102" t="str">
        <f t="shared" si="32"/>
        <v>0.134</v>
      </c>
    </row>
    <row r="2103" spans="1:5" x14ac:dyDescent="0.3">
      <c r="A2103" t="s">
        <v>2101</v>
      </c>
      <c r="B2103" t="str" cm="1">
        <f t="array" ref="B2103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hemlock"},A2103)),0)),"")</f>
        <v>Alder</v>
      </c>
      <c r="C2103" t="str" cm="1">
        <f t="array" ref="C2103">IFERROR(INDEX({"Ridgetop","Other"},MATCH(TRUE,ISNUMBER(SEARCH({"Ridgetop","Other"},A2103)),0)),"")</f>
        <v>Ridgetop</v>
      </c>
      <c r="D2103" t="str" cm="1">
        <f t="array" ref="D2103">IFERROR(INDEX({"Small","Medium","Large"},MATCH(TRUE,ISNUMBER(SEARCH({"Small","Medium","Large"},A2103)),0)),"")</f>
        <v>Large</v>
      </c>
      <c r="E2103" t="str">
        <f t="shared" si="32"/>
        <v>0.105</v>
      </c>
    </row>
    <row r="2104" spans="1:5" x14ac:dyDescent="0.3">
      <c r="A2104" t="s">
        <v>2102</v>
      </c>
      <c r="B2104" t="str" cm="1">
        <f t="array" ref="B2104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hemlock"},A2104)),0)),"")</f>
        <v>Alder</v>
      </c>
      <c r="C2104" t="str" cm="1">
        <f t="array" ref="C2104">IFERROR(INDEX({"Ridgetop","Other"},MATCH(TRUE,ISNUMBER(SEARCH({"Ridgetop","Other"},A2104)),0)),"")</f>
        <v>Ridgetop</v>
      </c>
      <c r="D2104" t="str" cm="1">
        <f t="array" ref="D2104">IFERROR(INDEX({"Small","Medium","Large"},MATCH(TRUE,ISNUMBER(SEARCH({"Small","Medium","Large"},A2104)),0)),"")</f>
        <v>Small</v>
      </c>
      <c r="E2104" t="str">
        <f t="shared" si="32"/>
        <v>0.250</v>
      </c>
    </row>
    <row r="2105" spans="1:5" x14ac:dyDescent="0.3">
      <c r="A2105" t="s">
        <v>2103</v>
      </c>
      <c r="B2105" t="str" cm="1">
        <f t="array" ref="B2105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hemlock"},A2105)),0)),"")</f>
        <v>Alder</v>
      </c>
      <c r="C2105" t="str" cm="1">
        <f t="array" ref="C2105">IFERROR(INDEX({"Ridgetop","Other"},MATCH(TRUE,ISNUMBER(SEARCH({"Ridgetop","Other"},A2105)),0)),"")</f>
        <v>Ridgetop</v>
      </c>
      <c r="D2105" t="str" cm="1">
        <f t="array" ref="D2105">IFERROR(INDEX({"Small","Medium","Large"},MATCH(TRUE,ISNUMBER(SEARCH({"Small","Medium","Large"},A2105)),0)),"")</f>
        <v>Medium</v>
      </c>
      <c r="E2105" t="str">
        <f t="shared" si="32"/>
        <v>0.142</v>
      </c>
    </row>
    <row r="2106" spans="1:5" x14ac:dyDescent="0.3">
      <c r="A2106" t="s">
        <v>2104</v>
      </c>
      <c r="B2106" t="str" cm="1">
        <f t="array" ref="B2106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hemlock"},A2106)),0)),"")</f>
        <v>Alder</v>
      </c>
      <c r="C2106" t="str" cm="1">
        <f t="array" ref="C2106">IFERROR(INDEX({"Ridgetop","Other"},MATCH(TRUE,ISNUMBER(SEARCH({"Ridgetop","Other"},A2106)),0)),"")</f>
        <v>Ridgetop</v>
      </c>
      <c r="D2106" t="str" cm="1">
        <f t="array" ref="D2106">IFERROR(INDEX({"Small","Medium","Large"},MATCH(TRUE,ISNUMBER(SEARCH({"Small","Medium","Large"},A2106)),0)),"")</f>
        <v>Large</v>
      </c>
      <c r="E2106" t="str">
        <f t="shared" si="32"/>
        <v>0.112</v>
      </c>
    </row>
    <row r="2107" spans="1:5" x14ac:dyDescent="0.3">
      <c r="A2107" t="s">
        <v>2105</v>
      </c>
      <c r="B2107" t="str" cm="1">
        <f t="array" ref="B2107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hemlock"},A2107)),0)),"")</f>
        <v>Alder</v>
      </c>
      <c r="C2107" t="str" cm="1">
        <f t="array" ref="C2107">IFERROR(INDEX({"Ridgetop","Other"},MATCH(TRUE,ISNUMBER(SEARCH({"Ridgetop","Other"},A2107)),0)),"")</f>
        <v>Other</v>
      </c>
      <c r="D2107" t="str" cm="1">
        <f t="array" ref="D2107">IFERROR(INDEX({"Small","Medium","Large"},MATCH(TRUE,ISNUMBER(SEARCH({"Small","Medium","Large"},A2107)),0)),"")</f>
        <v>Small</v>
      </c>
      <c r="E2107" t="str">
        <f t="shared" si="32"/>
        <v>0.153</v>
      </c>
    </row>
    <row r="2108" spans="1:5" x14ac:dyDescent="0.3">
      <c r="A2108" t="s">
        <v>2106</v>
      </c>
      <c r="B2108" t="str" cm="1">
        <f t="array" ref="B2108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hemlock"},A2108)),0)),"")</f>
        <v>Alder</v>
      </c>
      <c r="C2108" t="str" cm="1">
        <f t="array" ref="C2108">IFERROR(INDEX({"Ridgetop","Other"},MATCH(TRUE,ISNUMBER(SEARCH({"Ridgetop","Other"},A2108)),0)),"")</f>
        <v>Other</v>
      </c>
      <c r="D2108" t="str" cm="1">
        <f t="array" ref="D2108">IFERROR(INDEX({"Small","Medium","Large"},MATCH(TRUE,ISNUMBER(SEARCH({"Small","Medium","Large"},A2108)),0)),"")</f>
        <v>Medium</v>
      </c>
      <c r="E2108" t="str">
        <f t="shared" si="32"/>
        <v>0.087</v>
      </c>
    </row>
    <row r="2109" spans="1:5" x14ac:dyDescent="0.3">
      <c r="A2109" t="s">
        <v>2107</v>
      </c>
      <c r="B2109" t="str" cm="1">
        <f t="array" ref="B2109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hemlock"},A2109)),0)),"")</f>
        <v>Alder</v>
      </c>
      <c r="C2109" t="str" cm="1">
        <f t="array" ref="C2109">IFERROR(INDEX({"Ridgetop","Other"},MATCH(TRUE,ISNUMBER(SEARCH({"Ridgetop","Other"},A2109)),0)),"")</f>
        <v>Other</v>
      </c>
      <c r="D2109" t="str" cm="1">
        <f t="array" ref="D2109">IFERROR(INDEX({"Small","Medium","Large"},MATCH(TRUE,ISNUMBER(SEARCH({"Small","Medium","Large"},A2109)),0)),"")</f>
        <v>Large</v>
      </c>
      <c r="E2109" t="str">
        <f t="shared" si="32"/>
        <v>0.068</v>
      </c>
    </row>
    <row r="2110" spans="1:5" x14ac:dyDescent="0.3">
      <c r="A2110" t="s">
        <v>2108</v>
      </c>
      <c r="B2110" t="str" cm="1">
        <f t="array" ref="B2110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hemlock"},A2110)),0)),"")</f>
        <v>Alder</v>
      </c>
      <c r="C2110" t="str" cm="1">
        <f t="array" ref="C2110">IFERROR(INDEX({"Ridgetop","Other"},MATCH(TRUE,ISNUMBER(SEARCH({"Ridgetop","Other"},A2110)),0)),"")</f>
        <v>Other</v>
      </c>
      <c r="D2110" t="str" cm="1">
        <f t="array" ref="D2110">IFERROR(INDEX({"Small","Medium","Large"},MATCH(TRUE,ISNUMBER(SEARCH({"Small","Medium","Large"},A2110)),0)),"")</f>
        <v>Small</v>
      </c>
      <c r="E2110" t="str">
        <f t="shared" si="32"/>
        <v>0.167</v>
      </c>
    </row>
    <row r="2111" spans="1:5" x14ac:dyDescent="0.3">
      <c r="A2111" t="s">
        <v>2109</v>
      </c>
      <c r="B2111" t="str" cm="1">
        <f t="array" ref="B2111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hemlock"},A2111)),0)),"")</f>
        <v>Alder</v>
      </c>
      <c r="C2111" t="str" cm="1">
        <f t="array" ref="C2111">IFERROR(INDEX({"Ridgetop","Other"},MATCH(TRUE,ISNUMBER(SEARCH({"Ridgetop","Other"},A2111)),0)),"")</f>
        <v>Other</v>
      </c>
      <c r="D2111" t="str" cm="1">
        <f t="array" ref="D2111">IFERROR(INDEX({"Small","Medium","Large"},MATCH(TRUE,ISNUMBER(SEARCH({"Small","Medium","Large"},A2111)),0)),"")</f>
        <v>Medium</v>
      </c>
      <c r="E2111" t="str">
        <f t="shared" si="32"/>
        <v>0.095</v>
      </c>
    </row>
    <row r="2112" spans="1:5" x14ac:dyDescent="0.3">
      <c r="A2112" t="s">
        <v>2110</v>
      </c>
      <c r="B2112" t="str" cm="1">
        <f t="array" ref="B2112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hemlock"},A2112)),0)),"")</f>
        <v>Alder</v>
      </c>
      <c r="C2112" t="str" cm="1">
        <f t="array" ref="C2112">IFERROR(INDEX({"Ridgetop","Other"},MATCH(TRUE,ISNUMBER(SEARCH({"Ridgetop","Other"},A2112)),0)),"")</f>
        <v>Other</v>
      </c>
      <c r="D2112" t="str" cm="1">
        <f t="array" ref="D2112">IFERROR(INDEX({"Small","Medium","Large"},MATCH(TRUE,ISNUMBER(SEARCH({"Small","Medium","Large"},A2112)),0)),"")</f>
        <v>Large</v>
      </c>
      <c r="E2112" t="str">
        <f t="shared" si="32"/>
        <v>0.074</v>
      </c>
    </row>
    <row r="2113" spans="1:5" x14ac:dyDescent="0.3">
      <c r="A2113" t="s">
        <v>2111</v>
      </c>
      <c r="B2113" t="str" cm="1">
        <f t="array" ref="B2113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hemlock"},A2113)),0)),"")</f>
        <v>Alder</v>
      </c>
      <c r="C2113" t="str" cm="1">
        <f t="array" ref="C2113">IFERROR(INDEX({"Ridgetop","Other"},MATCH(TRUE,ISNUMBER(SEARCH({"Ridgetop","Other"},A2113)),0)),"")</f>
        <v>Other</v>
      </c>
      <c r="D2113" t="str" cm="1">
        <f t="array" ref="D2113">IFERROR(INDEX({"Small","Medium","Large"},MATCH(TRUE,ISNUMBER(SEARCH({"Small","Medium","Large"},A2113)),0)),"")</f>
        <v>Small</v>
      </c>
      <c r="E2113" t="str">
        <f t="shared" si="32"/>
        <v>0.167</v>
      </c>
    </row>
    <row r="2114" spans="1:5" x14ac:dyDescent="0.3">
      <c r="A2114" t="s">
        <v>2112</v>
      </c>
      <c r="B2114" t="str" cm="1">
        <f t="array" ref="B2114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hemlock"},A2114)),0)),"")</f>
        <v>Alder</v>
      </c>
      <c r="C2114" t="str" cm="1">
        <f t="array" ref="C2114">IFERROR(INDEX({"Ridgetop","Other"},MATCH(TRUE,ISNUMBER(SEARCH({"Ridgetop","Other"},A2114)),0)),"")</f>
        <v>Other</v>
      </c>
      <c r="D2114" t="str" cm="1">
        <f t="array" ref="D2114">IFERROR(INDEX({"Small","Medium","Large"},MATCH(TRUE,ISNUMBER(SEARCH({"Small","Medium","Large"},A2114)),0)),"")</f>
        <v>Medium</v>
      </c>
      <c r="E2114" t="str">
        <f t="shared" si="32"/>
        <v>0.095</v>
      </c>
    </row>
    <row r="2115" spans="1:5" x14ac:dyDescent="0.3">
      <c r="A2115" t="s">
        <v>2113</v>
      </c>
      <c r="B2115" t="str" cm="1">
        <f t="array" ref="B2115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hemlock"},A2115)),0)),"")</f>
        <v>Alder</v>
      </c>
      <c r="C2115" t="str" cm="1">
        <f t="array" ref="C2115">IFERROR(INDEX({"Ridgetop","Other"},MATCH(TRUE,ISNUMBER(SEARCH({"Ridgetop","Other"},A2115)),0)),"")</f>
        <v>Other</v>
      </c>
      <c r="D2115" t="str" cm="1">
        <f t="array" ref="D2115">IFERROR(INDEX({"Small","Medium","Large"},MATCH(TRUE,ISNUMBER(SEARCH({"Small","Medium","Large"},A2115)),0)),"")</f>
        <v>Large</v>
      </c>
      <c r="E2115" t="str">
        <f t="shared" ref="E2115:E2160" si="33">RIGHT(A2115,LEN(A2115)-FIND("@",SUBSTITUTE(A2115," ","@",LEN(A2115)-LEN(SUBSTITUTE(A2115," ","")))))</f>
        <v>0.074</v>
      </c>
    </row>
    <row r="2116" spans="1:5" x14ac:dyDescent="0.3">
      <c r="A2116" t="s">
        <v>2114</v>
      </c>
      <c r="B2116" t="str" cm="1">
        <f t="array" ref="B2116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hemlock"},A2116)),0)),"")</f>
        <v>Alder</v>
      </c>
      <c r="C2116" t="str" cm="1">
        <f t="array" ref="C2116">IFERROR(INDEX({"Ridgetop","Other"},MATCH(TRUE,ISNUMBER(SEARCH({"Ridgetop","Other"},A2116)),0)),"")</f>
        <v>Ridgetop</v>
      </c>
      <c r="D2116" t="str" cm="1">
        <f t="array" ref="D2116">IFERROR(INDEX({"Small","Medium","Large"},MATCH(TRUE,ISNUMBER(SEARCH({"Small","Medium","Large"},A2116)),0)),"")</f>
        <v>Small</v>
      </c>
      <c r="E2116" t="str">
        <f t="shared" si="33"/>
        <v>0.278</v>
      </c>
    </row>
    <row r="2117" spans="1:5" x14ac:dyDescent="0.3">
      <c r="A2117" t="s">
        <v>2115</v>
      </c>
      <c r="B2117" t="str" cm="1">
        <f t="array" ref="B2117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hemlock"},A2117)),0)),"")</f>
        <v>Alder</v>
      </c>
      <c r="C2117" t="str" cm="1">
        <f t="array" ref="C2117">IFERROR(INDEX({"Ridgetop","Other"},MATCH(TRUE,ISNUMBER(SEARCH({"Ridgetop","Other"},A2117)),0)),"")</f>
        <v>Ridgetop</v>
      </c>
      <c r="D2117" t="str" cm="1">
        <f t="array" ref="D2117">IFERROR(INDEX({"Small","Medium","Large"},MATCH(TRUE,ISNUMBER(SEARCH({"Small","Medium","Large"},A2117)),0)),"")</f>
        <v>Medium</v>
      </c>
      <c r="E2117" t="str">
        <f t="shared" si="33"/>
        <v>0.158</v>
      </c>
    </row>
    <row r="2118" spans="1:5" x14ac:dyDescent="0.3">
      <c r="A2118" t="s">
        <v>2116</v>
      </c>
      <c r="B2118" t="str" cm="1">
        <f t="array" ref="B2118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hemlock"},A2118)),0)),"")</f>
        <v>Alder</v>
      </c>
      <c r="C2118" t="str" cm="1">
        <f t="array" ref="C2118">IFERROR(INDEX({"Ridgetop","Other"},MATCH(TRUE,ISNUMBER(SEARCH({"Ridgetop","Other"},A2118)),0)),"")</f>
        <v>Ridgetop</v>
      </c>
      <c r="D2118" t="str" cm="1">
        <f t="array" ref="D2118">IFERROR(INDEX({"Small","Medium","Large"},MATCH(TRUE,ISNUMBER(SEARCH({"Small","Medium","Large"},A2118)),0)),"")</f>
        <v>Large</v>
      </c>
      <c r="E2118" t="str">
        <f t="shared" si="33"/>
        <v>0.124</v>
      </c>
    </row>
    <row r="2119" spans="1:5" x14ac:dyDescent="0.3">
      <c r="A2119" t="s">
        <v>2117</v>
      </c>
      <c r="B2119" t="str" cm="1">
        <f t="array" ref="B2119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hemlock"},A2119)),0)),"")</f>
        <v>Alder</v>
      </c>
      <c r="C2119" t="str" cm="1">
        <f t="array" ref="C2119">IFERROR(INDEX({"Ridgetop","Other"},MATCH(TRUE,ISNUMBER(SEARCH({"Ridgetop","Other"},A2119)),0)),"")</f>
        <v>Ridgetop</v>
      </c>
      <c r="D2119" t="str" cm="1">
        <f t="array" ref="D2119">IFERROR(INDEX({"Small","Medium","Large"},MATCH(TRUE,ISNUMBER(SEARCH({"Small","Medium","Large"},A2119)),0)),"")</f>
        <v>Small</v>
      </c>
      <c r="E2119" t="str">
        <f t="shared" si="33"/>
        <v>0.278</v>
      </c>
    </row>
    <row r="2120" spans="1:5" x14ac:dyDescent="0.3">
      <c r="A2120" t="s">
        <v>2118</v>
      </c>
      <c r="B2120" t="str" cm="1">
        <f t="array" ref="B2120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hemlock"},A2120)),0)),"")</f>
        <v>Alder</v>
      </c>
      <c r="C2120" t="str" cm="1">
        <f t="array" ref="C2120">IFERROR(INDEX({"Ridgetop","Other"},MATCH(TRUE,ISNUMBER(SEARCH({"Ridgetop","Other"},A2120)),0)),"")</f>
        <v>Ridgetop</v>
      </c>
      <c r="D2120" t="str" cm="1">
        <f t="array" ref="D2120">IFERROR(INDEX({"Small","Medium","Large"},MATCH(TRUE,ISNUMBER(SEARCH({"Small","Medium","Large"},A2120)),0)),"")</f>
        <v>Medium</v>
      </c>
      <c r="E2120" t="str">
        <f t="shared" si="33"/>
        <v>0.158</v>
      </c>
    </row>
    <row r="2121" spans="1:5" x14ac:dyDescent="0.3">
      <c r="A2121" t="s">
        <v>2119</v>
      </c>
      <c r="B2121" t="str" cm="1">
        <f t="array" ref="B2121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hemlock"},A2121)),0)),"")</f>
        <v>Alder</v>
      </c>
      <c r="C2121" t="str" cm="1">
        <f t="array" ref="C2121">IFERROR(INDEX({"Ridgetop","Other"},MATCH(TRUE,ISNUMBER(SEARCH({"Ridgetop","Other"},A2121)),0)),"")</f>
        <v>Ridgetop</v>
      </c>
      <c r="D2121" t="str" cm="1">
        <f t="array" ref="D2121">IFERROR(INDEX({"Small","Medium","Large"},MATCH(TRUE,ISNUMBER(SEARCH({"Small","Medium","Large"},A2121)),0)),"")</f>
        <v>Large</v>
      </c>
      <c r="E2121" t="str">
        <f t="shared" si="33"/>
        <v>0.124</v>
      </c>
    </row>
    <row r="2122" spans="1:5" x14ac:dyDescent="0.3">
      <c r="A2122" t="s">
        <v>2120</v>
      </c>
      <c r="B2122" t="str" cm="1">
        <f t="array" ref="B2122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hemlock"},A2122)),0)),"")</f>
        <v>Alder</v>
      </c>
      <c r="C2122" t="str" cm="1">
        <f t="array" ref="C2122">IFERROR(INDEX({"Ridgetop","Other"},MATCH(TRUE,ISNUMBER(SEARCH({"Ridgetop","Other"},A2122)),0)),"")</f>
        <v>Ridgetop</v>
      </c>
      <c r="D2122" t="str" cm="1">
        <f t="array" ref="D2122">IFERROR(INDEX({"Small","Medium","Large"},MATCH(TRUE,ISNUMBER(SEARCH({"Small","Medium","Large"},A2122)),0)),"")</f>
        <v>Small</v>
      </c>
      <c r="E2122" t="str">
        <f t="shared" si="33"/>
        <v>0.278</v>
      </c>
    </row>
    <row r="2123" spans="1:5" x14ac:dyDescent="0.3">
      <c r="A2123" t="s">
        <v>2121</v>
      </c>
      <c r="B2123" t="str" cm="1">
        <f t="array" ref="B2123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hemlock"},A2123)),0)),"")</f>
        <v>Alder</v>
      </c>
      <c r="C2123" t="str" cm="1">
        <f t="array" ref="C2123">IFERROR(INDEX({"Ridgetop","Other"},MATCH(TRUE,ISNUMBER(SEARCH({"Ridgetop","Other"},A2123)),0)),"")</f>
        <v>Ridgetop</v>
      </c>
      <c r="D2123" t="str" cm="1">
        <f t="array" ref="D2123">IFERROR(INDEX({"Small","Medium","Large"},MATCH(TRUE,ISNUMBER(SEARCH({"Small","Medium","Large"},A2123)),0)),"")</f>
        <v>Medium</v>
      </c>
      <c r="E2123" t="str">
        <f t="shared" si="33"/>
        <v>0.158</v>
      </c>
    </row>
    <row r="2124" spans="1:5" x14ac:dyDescent="0.3">
      <c r="A2124" t="s">
        <v>2122</v>
      </c>
      <c r="B2124" t="str" cm="1">
        <f t="array" ref="B2124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hemlock"},A2124)),0)),"")</f>
        <v>Alder</v>
      </c>
      <c r="C2124" t="str" cm="1">
        <f t="array" ref="C2124">IFERROR(INDEX({"Ridgetop","Other"},MATCH(TRUE,ISNUMBER(SEARCH({"Ridgetop","Other"},A2124)),0)),"")</f>
        <v>Ridgetop</v>
      </c>
      <c r="D2124" t="str" cm="1">
        <f t="array" ref="D2124">IFERROR(INDEX({"Small","Medium","Large"},MATCH(TRUE,ISNUMBER(SEARCH({"Small","Medium","Large"},A2124)),0)),"")</f>
        <v>Large</v>
      </c>
      <c r="E2124" t="str">
        <f t="shared" si="33"/>
        <v>0.124</v>
      </c>
    </row>
    <row r="2125" spans="1:5" x14ac:dyDescent="0.3">
      <c r="A2125" t="s">
        <v>2123</v>
      </c>
      <c r="B2125" t="str" cm="1">
        <f t="array" ref="B2125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hemlock"},A2125)),0)),"")</f>
        <v>Alder</v>
      </c>
      <c r="C2125" t="str" cm="1">
        <f t="array" ref="C2125">IFERROR(INDEX({"Ridgetop","Other"},MATCH(TRUE,ISNUMBER(SEARCH({"Ridgetop","Other"},A2125)),0)),"")</f>
        <v>Other</v>
      </c>
      <c r="D2125" t="str" cm="1">
        <f t="array" ref="D2125">IFERROR(INDEX({"Small","Medium","Large"},MATCH(TRUE,ISNUMBER(SEARCH({"Small","Medium","Large"},A2125)),0)),"")</f>
        <v>Small</v>
      </c>
      <c r="E2125" t="str">
        <f t="shared" si="33"/>
        <v>0.136</v>
      </c>
    </row>
    <row r="2126" spans="1:5" x14ac:dyDescent="0.3">
      <c r="A2126" t="s">
        <v>2124</v>
      </c>
      <c r="B2126" t="str" cm="1">
        <f t="array" ref="B2126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hemlock"},A2126)),0)),"")</f>
        <v>Alder</v>
      </c>
      <c r="C2126" t="str" cm="1">
        <f t="array" ref="C2126">IFERROR(INDEX({"Ridgetop","Other"},MATCH(TRUE,ISNUMBER(SEARCH({"Ridgetop","Other"},A2126)),0)),"")</f>
        <v>Other</v>
      </c>
      <c r="D2126" t="str" cm="1">
        <f t="array" ref="D2126">IFERROR(INDEX({"Small","Medium","Large"},MATCH(TRUE,ISNUMBER(SEARCH({"Small","Medium","Large"},A2126)),0)),"")</f>
        <v>Medium</v>
      </c>
      <c r="E2126" t="str">
        <f t="shared" si="33"/>
        <v>0.077</v>
      </c>
    </row>
    <row r="2127" spans="1:5" x14ac:dyDescent="0.3">
      <c r="A2127" t="s">
        <v>2125</v>
      </c>
      <c r="B2127" t="str" cm="1">
        <f t="array" ref="B2127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hemlock"},A2127)),0)),"")</f>
        <v>Alder</v>
      </c>
      <c r="C2127" t="str" cm="1">
        <f t="array" ref="C2127">IFERROR(INDEX({"Ridgetop","Other"},MATCH(TRUE,ISNUMBER(SEARCH({"Ridgetop","Other"},A2127)),0)),"")</f>
        <v>Other</v>
      </c>
      <c r="D2127" t="str" cm="1">
        <f t="array" ref="D2127">IFERROR(INDEX({"Small","Medium","Large"},MATCH(TRUE,ISNUMBER(SEARCH({"Small","Medium","Large"},A2127)),0)),"")</f>
        <v>Large</v>
      </c>
      <c r="E2127" t="str">
        <f t="shared" si="33"/>
        <v>0.060</v>
      </c>
    </row>
    <row r="2128" spans="1:5" x14ac:dyDescent="0.3">
      <c r="A2128" t="s">
        <v>2126</v>
      </c>
      <c r="B2128" t="str" cm="1">
        <f t="array" ref="B2128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hemlock"},A2128)),0)),"")</f>
        <v>Alder</v>
      </c>
      <c r="C2128" t="str" cm="1">
        <f t="array" ref="C2128">IFERROR(INDEX({"Ridgetop","Other"},MATCH(TRUE,ISNUMBER(SEARCH({"Ridgetop","Other"},A2128)),0)),"")</f>
        <v>Other</v>
      </c>
      <c r="D2128" t="str" cm="1">
        <f t="array" ref="D2128">IFERROR(INDEX({"Small","Medium","Large"},MATCH(TRUE,ISNUMBER(SEARCH({"Small","Medium","Large"},A2128)),0)),"")</f>
        <v>Small</v>
      </c>
      <c r="E2128" t="str">
        <f t="shared" si="33"/>
        <v>0.153</v>
      </c>
    </row>
    <row r="2129" spans="1:5" x14ac:dyDescent="0.3">
      <c r="A2129" t="s">
        <v>2127</v>
      </c>
      <c r="B2129" t="str" cm="1">
        <f t="array" ref="B2129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hemlock"},A2129)),0)),"")</f>
        <v>Alder</v>
      </c>
      <c r="C2129" t="str" cm="1">
        <f t="array" ref="C2129">IFERROR(INDEX({"Ridgetop","Other"},MATCH(TRUE,ISNUMBER(SEARCH({"Ridgetop","Other"},A2129)),0)),"")</f>
        <v>Other</v>
      </c>
      <c r="D2129" t="str" cm="1">
        <f t="array" ref="D2129">IFERROR(INDEX({"Small","Medium","Large"},MATCH(TRUE,ISNUMBER(SEARCH({"Small","Medium","Large"},A2129)),0)),"")</f>
        <v>Medium</v>
      </c>
      <c r="E2129" t="str">
        <f t="shared" si="33"/>
        <v>0.087</v>
      </c>
    </row>
    <row r="2130" spans="1:5" x14ac:dyDescent="0.3">
      <c r="A2130" t="s">
        <v>2128</v>
      </c>
      <c r="B2130" t="str" cm="1">
        <f t="array" ref="B2130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hemlock"},A2130)),0)),"")</f>
        <v>Alder</v>
      </c>
      <c r="C2130" t="str" cm="1">
        <f t="array" ref="C2130">IFERROR(INDEX({"Ridgetop","Other"},MATCH(TRUE,ISNUMBER(SEARCH({"Ridgetop","Other"},A2130)),0)),"")</f>
        <v>Other</v>
      </c>
      <c r="D2130" t="str" cm="1">
        <f t="array" ref="D2130">IFERROR(INDEX({"Small","Medium","Large"},MATCH(TRUE,ISNUMBER(SEARCH({"Small","Medium","Large"},A2130)),0)),"")</f>
        <v>Large</v>
      </c>
      <c r="E2130" t="str">
        <f t="shared" si="33"/>
        <v>0.068</v>
      </c>
    </row>
    <row r="2131" spans="1:5" x14ac:dyDescent="0.3">
      <c r="A2131" t="s">
        <v>2129</v>
      </c>
      <c r="B2131" t="str" cm="1">
        <f t="array" ref="B2131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hemlock"},A2131)),0)),"")</f>
        <v>Alder</v>
      </c>
      <c r="C2131" t="str" cm="1">
        <f t="array" ref="C2131">IFERROR(INDEX({"Ridgetop","Other"},MATCH(TRUE,ISNUMBER(SEARCH({"Ridgetop","Other"},A2131)),0)),"")</f>
        <v>Other</v>
      </c>
      <c r="D2131" t="str" cm="1">
        <f t="array" ref="D2131">IFERROR(INDEX({"Small","Medium","Large"},MATCH(TRUE,ISNUMBER(SEARCH({"Small","Medium","Large"},A2131)),0)),"")</f>
        <v>Small</v>
      </c>
      <c r="E2131" t="str">
        <f t="shared" si="33"/>
        <v>0.167</v>
      </c>
    </row>
    <row r="2132" spans="1:5" x14ac:dyDescent="0.3">
      <c r="A2132" t="s">
        <v>2130</v>
      </c>
      <c r="B2132" t="str" cm="1">
        <f t="array" ref="B2132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hemlock"},A2132)),0)),"")</f>
        <v>Alder</v>
      </c>
      <c r="C2132" t="str" cm="1">
        <f t="array" ref="C2132">IFERROR(INDEX({"Ridgetop","Other"},MATCH(TRUE,ISNUMBER(SEARCH({"Ridgetop","Other"},A2132)),0)),"")</f>
        <v>Other</v>
      </c>
      <c r="D2132" t="str" cm="1">
        <f t="array" ref="D2132">IFERROR(INDEX({"Small","Medium","Large"},MATCH(TRUE,ISNUMBER(SEARCH({"Small","Medium","Large"},A2132)),0)),"")</f>
        <v>Medium</v>
      </c>
      <c r="E2132" t="str">
        <f t="shared" si="33"/>
        <v>0.095</v>
      </c>
    </row>
    <row r="2133" spans="1:5" x14ac:dyDescent="0.3">
      <c r="A2133" t="s">
        <v>2131</v>
      </c>
      <c r="B2133" t="str" cm="1">
        <f t="array" ref="B2133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hemlock"},A2133)),0)),"")</f>
        <v>Alder</v>
      </c>
      <c r="C2133" t="str" cm="1">
        <f t="array" ref="C2133">IFERROR(INDEX({"Ridgetop","Other"},MATCH(TRUE,ISNUMBER(SEARCH({"Ridgetop","Other"},A2133)),0)),"")</f>
        <v>Other</v>
      </c>
      <c r="D2133" t="str" cm="1">
        <f t="array" ref="D2133">IFERROR(INDEX({"Small","Medium","Large"},MATCH(TRUE,ISNUMBER(SEARCH({"Small","Medium","Large"},A2133)),0)),"")</f>
        <v>Large</v>
      </c>
      <c r="E2133" t="str">
        <f t="shared" si="33"/>
        <v>0.074</v>
      </c>
    </row>
    <row r="2134" spans="1:5" x14ac:dyDescent="0.3">
      <c r="A2134" t="s">
        <v>2132</v>
      </c>
      <c r="B2134" t="str" cm="1">
        <f t="array" ref="B2134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hemlock"},A2134)),0)),"")</f>
        <v>Alder</v>
      </c>
      <c r="C2134" t="str" cm="1">
        <f t="array" ref="C2134">IFERROR(INDEX({"Ridgetop","Other"},MATCH(TRUE,ISNUMBER(SEARCH({"Ridgetop","Other"},A2134)),0)),"")</f>
        <v>Ridgetop</v>
      </c>
      <c r="D2134" t="str" cm="1">
        <f t="array" ref="D2134">IFERROR(INDEX({"Small","Medium","Large"},MATCH(TRUE,ISNUMBER(SEARCH({"Small","Medium","Large"},A2134)),0)),"")</f>
        <v>Small</v>
      </c>
      <c r="E2134" t="str">
        <f t="shared" si="33"/>
        <v>0.257</v>
      </c>
    </row>
    <row r="2135" spans="1:5" x14ac:dyDescent="0.3">
      <c r="A2135" t="s">
        <v>2133</v>
      </c>
      <c r="B2135" t="str" cm="1">
        <f t="array" ref="B2135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hemlock"},A2135)),0)),"")</f>
        <v>Alder</v>
      </c>
      <c r="C2135" t="str" cm="1">
        <f t="array" ref="C2135">IFERROR(INDEX({"Ridgetop","Other"},MATCH(TRUE,ISNUMBER(SEARCH({"Ridgetop","Other"},A2135)),0)),"")</f>
        <v>Ridgetop</v>
      </c>
      <c r="D2135" t="str" cm="1">
        <f t="array" ref="D2135">IFERROR(INDEX({"Small","Medium","Large"},MATCH(TRUE,ISNUMBER(SEARCH({"Small","Medium","Large"},A2135)),0)),"")</f>
        <v>Medium</v>
      </c>
      <c r="E2135" t="str">
        <f t="shared" si="33"/>
        <v>0.146</v>
      </c>
    </row>
    <row r="2136" spans="1:5" x14ac:dyDescent="0.3">
      <c r="A2136" t="s">
        <v>2134</v>
      </c>
      <c r="B2136" t="str" cm="1">
        <f t="array" ref="B2136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hemlock"},A2136)),0)),"")</f>
        <v>Alder</v>
      </c>
      <c r="C2136" t="str" cm="1">
        <f t="array" ref="C2136">IFERROR(INDEX({"Ridgetop","Other"},MATCH(TRUE,ISNUMBER(SEARCH({"Ridgetop","Other"},A2136)),0)),"")</f>
        <v>Ridgetop</v>
      </c>
      <c r="D2136" t="str" cm="1">
        <f t="array" ref="D2136">IFERROR(INDEX({"Small","Medium","Large"},MATCH(TRUE,ISNUMBER(SEARCH({"Small","Medium","Large"},A2136)),0)),"")</f>
        <v>Large</v>
      </c>
      <c r="E2136" t="str">
        <f t="shared" si="33"/>
        <v>0.115</v>
      </c>
    </row>
    <row r="2137" spans="1:5" x14ac:dyDescent="0.3">
      <c r="A2137" t="s">
        <v>2135</v>
      </c>
      <c r="B2137" t="str" cm="1">
        <f t="array" ref="B2137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hemlock"},A2137)),0)),"")</f>
        <v>Alder</v>
      </c>
      <c r="C2137" t="str" cm="1">
        <f t="array" ref="C2137">IFERROR(INDEX({"Ridgetop","Other"},MATCH(TRUE,ISNUMBER(SEARCH({"Ridgetop","Other"},A2137)),0)),"")</f>
        <v>Ridgetop</v>
      </c>
      <c r="D2137" t="str" cm="1">
        <f t="array" ref="D2137">IFERROR(INDEX({"Small","Medium","Large"},MATCH(TRUE,ISNUMBER(SEARCH({"Small","Medium","Large"},A2137)),0)),"")</f>
        <v>Small</v>
      </c>
      <c r="E2137" t="str">
        <f t="shared" si="33"/>
        <v>0.257</v>
      </c>
    </row>
    <row r="2138" spans="1:5" x14ac:dyDescent="0.3">
      <c r="A2138" t="s">
        <v>2136</v>
      </c>
      <c r="B2138" t="str" cm="1">
        <f t="array" ref="B2138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hemlock"},A2138)),0)),"")</f>
        <v>Alder</v>
      </c>
      <c r="C2138" t="str" cm="1">
        <f t="array" ref="C2138">IFERROR(INDEX({"Ridgetop","Other"},MATCH(TRUE,ISNUMBER(SEARCH({"Ridgetop","Other"},A2138)),0)),"")</f>
        <v>Ridgetop</v>
      </c>
      <c r="D2138" t="str" cm="1">
        <f t="array" ref="D2138">IFERROR(INDEX({"Small","Medium","Large"},MATCH(TRUE,ISNUMBER(SEARCH({"Small","Medium","Large"},A2138)),0)),"")</f>
        <v>Medium</v>
      </c>
      <c r="E2138" t="str">
        <f t="shared" si="33"/>
        <v>0.146</v>
      </c>
    </row>
    <row r="2139" spans="1:5" x14ac:dyDescent="0.3">
      <c r="A2139" t="s">
        <v>2137</v>
      </c>
      <c r="B2139" t="str" cm="1">
        <f t="array" ref="B2139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hemlock"},A2139)),0)),"")</f>
        <v>Alder</v>
      </c>
      <c r="C2139" t="str" cm="1">
        <f t="array" ref="C2139">IFERROR(INDEX({"Ridgetop","Other"},MATCH(TRUE,ISNUMBER(SEARCH({"Ridgetop","Other"},A2139)),0)),"")</f>
        <v>Ridgetop</v>
      </c>
      <c r="D2139" t="str" cm="1">
        <f t="array" ref="D2139">IFERROR(INDEX({"Small","Medium","Large"},MATCH(TRUE,ISNUMBER(SEARCH({"Small","Medium","Large"},A2139)),0)),"")</f>
        <v>Large</v>
      </c>
      <c r="E2139" t="str">
        <f t="shared" si="33"/>
        <v>0.115</v>
      </c>
    </row>
    <row r="2140" spans="1:5" x14ac:dyDescent="0.3">
      <c r="A2140" t="s">
        <v>2138</v>
      </c>
      <c r="B2140" t="str" cm="1">
        <f t="array" ref="B2140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hemlock"},A2140)),0)),"")</f>
        <v>Alder</v>
      </c>
      <c r="C2140" t="str" cm="1">
        <f t="array" ref="C2140">IFERROR(INDEX({"Ridgetop","Other"},MATCH(TRUE,ISNUMBER(SEARCH({"Ridgetop","Other"},A2140)),0)),"")</f>
        <v>Ridgetop</v>
      </c>
      <c r="D2140" t="str" cm="1">
        <f t="array" ref="D2140">IFERROR(INDEX({"Small","Medium","Large"},MATCH(TRUE,ISNUMBER(SEARCH({"Small","Medium","Large"},A2140)),0)),"")</f>
        <v>Small</v>
      </c>
      <c r="E2140" t="str">
        <f t="shared" si="33"/>
        <v>0.264</v>
      </c>
    </row>
    <row r="2141" spans="1:5" x14ac:dyDescent="0.3">
      <c r="A2141" t="s">
        <v>2139</v>
      </c>
      <c r="B2141" t="str" cm="1">
        <f t="array" ref="B2141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hemlock"},A2141)),0)),"")</f>
        <v>Alder</v>
      </c>
      <c r="C2141" t="str" cm="1">
        <f t="array" ref="C2141">IFERROR(INDEX({"Ridgetop","Other"},MATCH(TRUE,ISNUMBER(SEARCH({"Ridgetop","Other"},A2141)),0)),"")</f>
        <v>Ridgetop</v>
      </c>
      <c r="D2141" t="str" cm="1">
        <f t="array" ref="D2141">IFERROR(INDEX({"Small","Medium","Large"},MATCH(TRUE,ISNUMBER(SEARCH({"Small","Medium","Large"},A2141)),0)),"")</f>
        <v>Medium</v>
      </c>
      <c r="E2141" t="str">
        <f t="shared" si="33"/>
        <v>0.150</v>
      </c>
    </row>
    <row r="2142" spans="1:5" x14ac:dyDescent="0.3">
      <c r="A2142" t="s">
        <v>2140</v>
      </c>
      <c r="B2142" t="str" cm="1">
        <f t="array" ref="B2142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hemlock"},A2142)),0)),"")</f>
        <v>Alder</v>
      </c>
      <c r="C2142" t="str" cm="1">
        <f t="array" ref="C2142">IFERROR(INDEX({"Ridgetop","Other"},MATCH(TRUE,ISNUMBER(SEARCH({"Ridgetop","Other"},A2142)),0)),"")</f>
        <v>Ridgetop</v>
      </c>
      <c r="D2142" t="str" cm="1">
        <f t="array" ref="D2142">IFERROR(INDEX({"Small","Medium","Large"},MATCH(TRUE,ISNUMBER(SEARCH({"Small","Medium","Large"},A2142)),0)),"")</f>
        <v>Large</v>
      </c>
      <c r="E2142" t="str">
        <f t="shared" si="33"/>
        <v>0.118</v>
      </c>
    </row>
    <row r="2143" spans="1:5" x14ac:dyDescent="0.3">
      <c r="A2143" t="s">
        <v>2141</v>
      </c>
      <c r="B2143" t="str" cm="1">
        <f t="array" ref="B2143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hemlock"},A2143)),0)),"")</f>
        <v>Alder</v>
      </c>
      <c r="C2143" t="str" cm="1">
        <f t="array" ref="C2143">IFERROR(INDEX({"Ridgetop","Other"},MATCH(TRUE,ISNUMBER(SEARCH({"Ridgetop","Other"},A2143)),0)),"")</f>
        <v>Other</v>
      </c>
      <c r="D2143" t="str" cm="1">
        <f t="array" ref="D2143">IFERROR(INDEX({"Small","Medium","Large"},MATCH(TRUE,ISNUMBER(SEARCH({"Small","Medium","Large"},A2143)),0)),"")</f>
        <v>Small</v>
      </c>
      <c r="E2143" t="str">
        <f t="shared" si="33"/>
        <v>0.153</v>
      </c>
    </row>
    <row r="2144" spans="1:5" x14ac:dyDescent="0.3">
      <c r="A2144" t="s">
        <v>2142</v>
      </c>
      <c r="B2144" t="str" cm="1">
        <f t="array" ref="B2144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hemlock"},A2144)),0)),"")</f>
        <v>Alder</v>
      </c>
      <c r="C2144" t="str" cm="1">
        <f t="array" ref="C2144">IFERROR(INDEX({"Ridgetop","Other"},MATCH(TRUE,ISNUMBER(SEARCH({"Ridgetop","Other"},A2144)),0)),"")</f>
        <v>Other</v>
      </c>
      <c r="D2144" t="str" cm="1">
        <f t="array" ref="D2144">IFERROR(INDEX({"Small","Medium","Large"},MATCH(TRUE,ISNUMBER(SEARCH({"Small","Medium","Large"},A2144)),0)),"")</f>
        <v>Medium</v>
      </c>
      <c r="E2144" t="str">
        <f t="shared" si="33"/>
        <v>0.087</v>
      </c>
    </row>
    <row r="2145" spans="1:5" x14ac:dyDescent="0.3">
      <c r="A2145" t="s">
        <v>2143</v>
      </c>
      <c r="B2145" t="str" cm="1">
        <f t="array" ref="B2145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hemlock"},A2145)),0)),"")</f>
        <v>Alder</v>
      </c>
      <c r="C2145" t="str" cm="1">
        <f t="array" ref="C2145">IFERROR(INDEX({"Ridgetop","Other"},MATCH(TRUE,ISNUMBER(SEARCH({"Ridgetop","Other"},A2145)),0)),"")</f>
        <v>Other</v>
      </c>
      <c r="D2145" t="str" cm="1">
        <f t="array" ref="D2145">IFERROR(INDEX({"Small","Medium","Large"},MATCH(TRUE,ISNUMBER(SEARCH({"Small","Medium","Large"},A2145)),0)),"")</f>
        <v>Large</v>
      </c>
      <c r="E2145" t="str">
        <f t="shared" si="33"/>
        <v>0.068</v>
      </c>
    </row>
    <row r="2146" spans="1:5" x14ac:dyDescent="0.3">
      <c r="A2146" t="s">
        <v>2144</v>
      </c>
      <c r="B2146" t="str" cm="1">
        <f t="array" ref="B2146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hemlock"},A2146)),0)),"")</f>
        <v>Alder</v>
      </c>
      <c r="C2146" t="str" cm="1">
        <f t="array" ref="C2146">IFERROR(INDEX({"Ridgetop","Other"},MATCH(TRUE,ISNUMBER(SEARCH({"Ridgetop","Other"},A2146)),0)),"")</f>
        <v>Other</v>
      </c>
      <c r="D2146" t="str" cm="1">
        <f t="array" ref="D2146">IFERROR(INDEX({"Small","Medium","Large"},MATCH(TRUE,ISNUMBER(SEARCH({"Small","Medium","Large"},A2146)),0)),"")</f>
        <v>Small</v>
      </c>
      <c r="E2146" t="str">
        <f t="shared" si="33"/>
        <v>0.167</v>
      </c>
    </row>
    <row r="2147" spans="1:5" x14ac:dyDescent="0.3">
      <c r="A2147" t="s">
        <v>2145</v>
      </c>
      <c r="B2147" t="str" cm="1">
        <f t="array" ref="B2147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hemlock"},A2147)),0)),"")</f>
        <v>Alder</v>
      </c>
      <c r="C2147" t="str" cm="1">
        <f t="array" ref="C2147">IFERROR(INDEX({"Ridgetop","Other"},MATCH(TRUE,ISNUMBER(SEARCH({"Ridgetop","Other"},A2147)),0)),"")</f>
        <v>Other</v>
      </c>
      <c r="D2147" t="str" cm="1">
        <f t="array" ref="D2147">IFERROR(INDEX({"Small","Medium","Large"},MATCH(TRUE,ISNUMBER(SEARCH({"Small","Medium","Large"},A2147)),0)),"")</f>
        <v>Medium</v>
      </c>
      <c r="E2147" t="str">
        <f t="shared" si="33"/>
        <v>0.095</v>
      </c>
    </row>
    <row r="2148" spans="1:5" x14ac:dyDescent="0.3">
      <c r="A2148" t="s">
        <v>2146</v>
      </c>
      <c r="B2148" t="str" cm="1">
        <f t="array" ref="B2148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hemlock"},A2148)),0)),"")</f>
        <v>Alder</v>
      </c>
      <c r="C2148" t="str" cm="1">
        <f t="array" ref="C2148">IFERROR(INDEX({"Ridgetop","Other"},MATCH(TRUE,ISNUMBER(SEARCH({"Ridgetop","Other"},A2148)),0)),"")</f>
        <v>Other</v>
      </c>
      <c r="D2148" t="str" cm="1">
        <f t="array" ref="D2148">IFERROR(INDEX({"Small","Medium","Large"},MATCH(TRUE,ISNUMBER(SEARCH({"Small","Medium","Large"},A2148)),0)),"")</f>
        <v>Large</v>
      </c>
      <c r="E2148" t="str">
        <f t="shared" si="33"/>
        <v>0.074</v>
      </c>
    </row>
    <row r="2149" spans="1:5" x14ac:dyDescent="0.3">
      <c r="A2149" t="s">
        <v>2147</v>
      </c>
      <c r="B2149" t="str" cm="1">
        <f t="array" ref="B2149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hemlock"},A2149)),0)),"")</f>
        <v>Alder</v>
      </c>
      <c r="C2149" t="str" cm="1">
        <f t="array" ref="C2149">IFERROR(INDEX({"Ridgetop","Other"},MATCH(TRUE,ISNUMBER(SEARCH({"Ridgetop","Other"},A2149)),0)),"")</f>
        <v>Other</v>
      </c>
      <c r="D2149" t="str" cm="1">
        <f t="array" ref="D2149">IFERROR(INDEX({"Small","Medium","Large"},MATCH(TRUE,ISNUMBER(SEARCH({"Small","Medium","Large"},A2149)),0)),"")</f>
        <v>Small</v>
      </c>
      <c r="E2149" t="str">
        <f t="shared" si="33"/>
        <v>0.167</v>
      </c>
    </row>
    <row r="2150" spans="1:5" x14ac:dyDescent="0.3">
      <c r="A2150" t="s">
        <v>2148</v>
      </c>
      <c r="B2150" t="str" cm="1">
        <f t="array" ref="B2150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hemlock"},A2150)),0)),"")</f>
        <v>Alder</v>
      </c>
      <c r="C2150" t="str" cm="1">
        <f t="array" ref="C2150">IFERROR(INDEX({"Ridgetop","Other"},MATCH(TRUE,ISNUMBER(SEARCH({"Ridgetop","Other"},A2150)),0)),"")</f>
        <v>Other</v>
      </c>
      <c r="D2150" t="str" cm="1">
        <f t="array" ref="D2150">IFERROR(INDEX({"Small","Medium","Large"},MATCH(TRUE,ISNUMBER(SEARCH({"Small","Medium","Large"},A2150)),0)),"")</f>
        <v>Medium</v>
      </c>
      <c r="E2150" t="str">
        <f t="shared" si="33"/>
        <v>0.095</v>
      </c>
    </row>
    <row r="2151" spans="1:5" x14ac:dyDescent="0.3">
      <c r="A2151" t="s">
        <v>2149</v>
      </c>
      <c r="B2151" t="str" cm="1">
        <f t="array" ref="B2151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hemlock"},A2151)),0)),"")</f>
        <v>Alder</v>
      </c>
      <c r="C2151" t="str" cm="1">
        <f t="array" ref="C2151">IFERROR(INDEX({"Ridgetop","Other"},MATCH(TRUE,ISNUMBER(SEARCH({"Ridgetop","Other"},A2151)),0)),"")</f>
        <v>Other</v>
      </c>
      <c r="D2151" t="str" cm="1">
        <f t="array" ref="D2151">IFERROR(INDEX({"Small","Medium","Large"},MATCH(TRUE,ISNUMBER(SEARCH({"Small","Medium","Large"},A2151)),0)),"")</f>
        <v>Large</v>
      </c>
      <c r="E2151" t="str">
        <f t="shared" si="33"/>
        <v>0.074</v>
      </c>
    </row>
    <row r="2152" spans="1:5" x14ac:dyDescent="0.3">
      <c r="A2152" t="s">
        <v>2150</v>
      </c>
      <c r="B2152" t="str" cm="1">
        <f t="array" ref="B2152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hemlock"},A2152)),0)),"")</f>
        <v>Alder</v>
      </c>
      <c r="C2152" t="str" cm="1">
        <f t="array" ref="C2152">IFERROR(INDEX({"Ridgetop","Other"},MATCH(TRUE,ISNUMBER(SEARCH({"Ridgetop","Other"},A2152)),0)),"")</f>
        <v>Ridgetop</v>
      </c>
      <c r="D2152" t="str" cm="1">
        <f t="array" ref="D2152">IFERROR(INDEX({"Small","Medium","Large"},MATCH(TRUE,ISNUMBER(SEARCH({"Small","Medium","Large"},A2152)),0)),"")</f>
        <v>Small</v>
      </c>
      <c r="E2152" t="str">
        <f t="shared" si="33"/>
        <v>0.278</v>
      </c>
    </row>
    <row r="2153" spans="1:5" x14ac:dyDescent="0.3">
      <c r="A2153" t="s">
        <v>2151</v>
      </c>
      <c r="B2153" t="str" cm="1">
        <f t="array" ref="B2153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hemlock"},A2153)),0)),"")</f>
        <v>Alder</v>
      </c>
      <c r="C2153" t="str" cm="1">
        <f t="array" ref="C2153">IFERROR(INDEX({"Ridgetop","Other"},MATCH(TRUE,ISNUMBER(SEARCH({"Ridgetop","Other"},A2153)),0)),"")</f>
        <v>Ridgetop</v>
      </c>
      <c r="D2153" t="str" cm="1">
        <f t="array" ref="D2153">IFERROR(INDEX({"Small","Medium","Large"},MATCH(TRUE,ISNUMBER(SEARCH({"Small","Medium","Large"},A2153)),0)),"")</f>
        <v>Medium</v>
      </c>
      <c r="E2153" t="str">
        <f t="shared" si="33"/>
        <v>0.158</v>
      </c>
    </row>
    <row r="2154" spans="1:5" x14ac:dyDescent="0.3">
      <c r="A2154" t="s">
        <v>2152</v>
      </c>
      <c r="B2154" t="str" cm="1">
        <f t="array" ref="B2154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hemlock"},A2154)),0)),"")</f>
        <v>Alder</v>
      </c>
      <c r="C2154" t="str" cm="1">
        <f t="array" ref="C2154">IFERROR(INDEX({"Ridgetop","Other"},MATCH(TRUE,ISNUMBER(SEARCH({"Ridgetop","Other"},A2154)),0)),"")</f>
        <v>Ridgetop</v>
      </c>
      <c r="D2154" t="str" cm="1">
        <f t="array" ref="D2154">IFERROR(INDEX({"Small","Medium","Large"},MATCH(TRUE,ISNUMBER(SEARCH({"Small","Medium","Large"},A2154)),0)),"")</f>
        <v>Large</v>
      </c>
      <c r="E2154" t="str">
        <f t="shared" si="33"/>
        <v>0.124</v>
      </c>
    </row>
    <row r="2155" spans="1:5" x14ac:dyDescent="0.3">
      <c r="A2155" t="s">
        <v>2153</v>
      </c>
      <c r="B2155" t="str" cm="1">
        <f t="array" ref="B2155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hemlock"},A2155)),0)),"")</f>
        <v>Alder</v>
      </c>
      <c r="C2155" t="str" cm="1">
        <f t="array" ref="C2155">IFERROR(INDEX({"Ridgetop","Other"},MATCH(TRUE,ISNUMBER(SEARCH({"Ridgetop","Other"},A2155)),0)),"")</f>
        <v>Ridgetop</v>
      </c>
      <c r="D2155" t="str" cm="1">
        <f t="array" ref="D2155">IFERROR(INDEX({"Small","Medium","Large"},MATCH(TRUE,ISNUMBER(SEARCH({"Small","Medium","Large"},A2155)),0)),"")</f>
        <v>Small</v>
      </c>
      <c r="E2155" t="str">
        <f t="shared" si="33"/>
        <v>0.278</v>
      </c>
    </row>
    <row r="2156" spans="1:5" x14ac:dyDescent="0.3">
      <c r="A2156" t="s">
        <v>2154</v>
      </c>
      <c r="B2156" t="str" cm="1">
        <f t="array" ref="B2156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hemlock"},A2156)),0)),"")</f>
        <v>Alder</v>
      </c>
      <c r="C2156" t="str" cm="1">
        <f t="array" ref="C2156">IFERROR(INDEX({"Ridgetop","Other"},MATCH(TRUE,ISNUMBER(SEARCH({"Ridgetop","Other"},A2156)),0)),"")</f>
        <v>Ridgetop</v>
      </c>
      <c r="D2156" t="str" cm="1">
        <f t="array" ref="D2156">IFERROR(INDEX({"Small","Medium","Large"},MATCH(TRUE,ISNUMBER(SEARCH({"Small","Medium","Large"},A2156)),0)),"")</f>
        <v>Medium</v>
      </c>
      <c r="E2156" t="str">
        <f t="shared" si="33"/>
        <v>0.158</v>
      </c>
    </row>
    <row r="2157" spans="1:5" x14ac:dyDescent="0.3">
      <c r="A2157" t="s">
        <v>2155</v>
      </c>
      <c r="B2157" t="str" cm="1">
        <f t="array" ref="B2157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hemlock"},A2157)),0)),"")</f>
        <v>Alder</v>
      </c>
      <c r="C2157" t="str" cm="1">
        <f t="array" ref="C2157">IFERROR(INDEX({"Ridgetop","Other"},MATCH(TRUE,ISNUMBER(SEARCH({"Ridgetop","Other"},A2157)),0)),"")</f>
        <v>Ridgetop</v>
      </c>
      <c r="D2157" t="str" cm="1">
        <f t="array" ref="D2157">IFERROR(INDEX({"Small","Medium","Large"},MATCH(TRUE,ISNUMBER(SEARCH({"Small","Medium","Large"},A2157)),0)),"")</f>
        <v>Large</v>
      </c>
      <c r="E2157" t="str">
        <f t="shared" si="33"/>
        <v>0.124</v>
      </c>
    </row>
    <row r="2158" spans="1:5" x14ac:dyDescent="0.3">
      <c r="A2158" t="s">
        <v>2156</v>
      </c>
      <c r="B2158" t="str" cm="1">
        <f t="array" ref="B2158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hemlock"},A2158)),0)),"")</f>
        <v>Alder</v>
      </c>
      <c r="C2158" t="str" cm="1">
        <f t="array" ref="C2158">IFERROR(INDEX({"Ridgetop","Other"},MATCH(TRUE,ISNUMBER(SEARCH({"Ridgetop","Other"},A2158)),0)),"")</f>
        <v>Ridgetop</v>
      </c>
      <c r="D2158" t="str" cm="1">
        <f t="array" ref="D2158">IFERROR(INDEX({"Small","Medium","Large"},MATCH(TRUE,ISNUMBER(SEARCH({"Small","Medium","Large"},A2158)),0)),"")</f>
        <v>Small</v>
      </c>
      <c r="E2158" t="str">
        <f t="shared" si="33"/>
        <v>0.278</v>
      </c>
    </row>
    <row r="2159" spans="1:5" x14ac:dyDescent="0.3">
      <c r="A2159" t="s">
        <v>2157</v>
      </c>
      <c r="B2159" t="str" cm="1">
        <f t="array" ref="B2159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hemlock"},A2159)),0)),"")</f>
        <v>Alder</v>
      </c>
      <c r="C2159" t="str" cm="1">
        <f t="array" ref="C2159">IFERROR(INDEX({"Ridgetop","Other"},MATCH(TRUE,ISNUMBER(SEARCH({"Ridgetop","Other"},A2159)),0)),"")</f>
        <v>Ridgetop</v>
      </c>
      <c r="D2159" t="str" cm="1">
        <f t="array" ref="D2159">IFERROR(INDEX({"Small","Medium","Large"},MATCH(TRUE,ISNUMBER(SEARCH({"Small","Medium","Large"},A2159)),0)),"")</f>
        <v>Medium</v>
      </c>
      <c r="E2159" t="str">
        <f t="shared" si="33"/>
        <v>0.158</v>
      </c>
    </row>
    <row r="2160" spans="1:5" x14ac:dyDescent="0.3">
      <c r="A2160" t="s">
        <v>2158</v>
      </c>
      <c r="B2160" t="str" cm="1">
        <f t="array" ref="B2160">IFERROR(INDEX({"Douglas-fir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hemlock"},MATCH(TRUE,ISNUMBER(SEARCH({"Douglas-fir (east WA)","Douglas-fir (west WA)","Douglas-fir (east OR)","Douglas-fir (west OR)","Western larch","Western white pine","Alder","Populus","Misc hardwoods","Grand/white fir","Pacific silver fir (WA)","Pacific silver fir (OR)","Ponderosa pine (OR)","Ponderosa pine (WA)","Mountain hemlock","Spruce","Lodgepole pine","Pacific madrone","Western redcedar","Western hemlock"},A2160)),0)),"")</f>
        <v>Alder</v>
      </c>
      <c r="C2160" t="str" cm="1">
        <f t="array" ref="C2160">IFERROR(INDEX({"Ridgetop","Other"},MATCH(TRUE,ISNUMBER(SEARCH({"Ridgetop","Other"},A2160)),0)),"")</f>
        <v>Ridgetop</v>
      </c>
      <c r="D2160" t="str" cm="1">
        <f t="array" ref="D2160">IFERROR(INDEX({"Small","Medium","Large"},MATCH(TRUE,ISNUMBER(SEARCH({"Small","Medium","Large"},A2160)),0)),"")</f>
        <v>Large</v>
      </c>
      <c r="E2160" t="str">
        <f t="shared" si="33"/>
        <v>0.124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Sven Rodne</dc:creator>
  <cp:lastModifiedBy>Sven Rodne</cp:lastModifiedBy>
  <dcterms:created xsi:type="dcterms:W3CDTF">2024-04-21T23:27:47Z</dcterms:created>
  <dcterms:modified xsi:type="dcterms:W3CDTF">2024-04-22T05:03:38Z</dcterms:modified>
</cp:coreProperties>
</file>